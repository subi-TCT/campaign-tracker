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embers" sheetId="2" state="visible" r:id="rId4"/>
    <sheet name="Lists" sheetId="3" state="visible" r:id="rId5"/>
  </sheets>
  <definedNames>
    <definedName function="false" hidden="true" localSheetId="1" name="_xlnm._FilterDatabase" vbProcedure="false">Members!$A$3:$T$1876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<sst xmlns="http://schemas.openxmlformats.org/spreadsheetml/2006/main" count="19068" uniqueCount="8557">
  <si>
    <t xml:space="preserve">IAS ELECTION CAMPAIGN — LIVE CONTACT DASHBOARD</t>
  </si>
  <si>
    <t xml:space="preserve">1,873 members from the register dated 28/04/2026  ·  every figure recalculates as the team fills in column O of the Members sheet</t>
  </si>
  <si>
    <t xml:space="preserve">TOTAL MEMBERS</t>
  </si>
  <si>
    <t xml:space="preserve">CONTACTED</t>
  </si>
  <si>
    <t xml:space="preserve">POSITIVE</t>
  </si>
  <si>
    <t xml:space="preserve">TO FOLLOW UP</t>
  </si>
  <si>
    <t xml:space="preserve">BY EMIRATE</t>
  </si>
  <si>
    <t xml:space="preserve">Emirate</t>
  </si>
  <si>
    <t xml:space="preserve">Members</t>
  </si>
  <si>
    <t xml:space="preserve">Contacted</t>
  </si>
  <si>
    <t xml:space="preserve">Positive</t>
  </si>
  <si>
    <t xml:space="preserve">Contact rate</t>
  </si>
  <si>
    <t xml:space="preserve">Positive rate</t>
  </si>
  <si>
    <t xml:space="preserve">Negative</t>
  </si>
  <si>
    <t xml:space="preserve">Still to call</t>
  </si>
  <si>
    <t xml:space="preserve">Sharjah</t>
  </si>
  <si>
    <t xml:space="preserve">Dubai</t>
  </si>
  <si>
    <t xml:space="preserve">RESPONSE BREAKDOWN</t>
  </si>
  <si>
    <t xml:space="preserve">Ajman</t>
  </si>
  <si>
    <t xml:space="preserve">Call status</t>
  </si>
  <si>
    <t xml:space="preserve">Share</t>
  </si>
  <si>
    <t xml:space="preserve">Progress</t>
  </si>
  <si>
    <t xml:space="preserve">Abu Dhabi</t>
  </si>
  <si>
    <t xml:space="preserve">Not Contacted</t>
  </si>
  <si>
    <t xml:space="preserve">Umm Al Quwain</t>
  </si>
  <si>
    <t xml:space="preserve">Ras Al Khaimah</t>
  </si>
  <si>
    <t xml:space="preserve">To Be Followed Up</t>
  </si>
  <si>
    <t xml:space="preserve">Fujairah</t>
  </si>
  <si>
    <t xml:space="preserve">Undecided</t>
  </si>
  <si>
    <t xml:space="preserve">Not recorded</t>
  </si>
  <si>
    <t xml:space="preserve">Unreachable</t>
  </si>
  <si>
    <t xml:space="preserve">BY CALLER</t>
  </si>
  <si>
    <t xml:space="preserve">Not Eligible / Inactive</t>
  </si>
  <si>
    <t xml:space="preserve">Assigned to</t>
  </si>
  <si>
    <t xml:space="preserve">Assigned</t>
  </si>
  <si>
    <t xml:space="preserve">Done</t>
  </si>
  <si>
    <t xml:space="preserve">TOTAL</t>
  </si>
  <si>
    <t xml:space="preserve">BY HOME DISTRICT IN KERALA</t>
  </si>
  <si>
    <t xml:space="preserve">District</t>
  </si>
  <si>
    <t xml:space="preserve">Follow up</t>
  </si>
  <si>
    <t xml:space="preserve">Not called</t>
  </si>
  <si>
    <t xml:space="preserve">% contacted</t>
  </si>
  <si>
    <t xml:space="preserve">% positive</t>
  </si>
  <si>
    <t xml:space="preserve">Alappuzha</t>
  </si>
  <si>
    <t xml:space="preserve">Ernakulam</t>
  </si>
  <si>
    <t xml:space="preserve">Idukki</t>
  </si>
  <si>
    <t xml:space="preserve">Kannur</t>
  </si>
  <si>
    <t xml:space="preserve">Kasaragod</t>
  </si>
  <si>
    <t xml:space="preserve">Kollam</t>
  </si>
  <si>
    <t xml:space="preserve">Kottayam</t>
  </si>
  <si>
    <t xml:space="preserve">Kozhikode</t>
  </si>
  <si>
    <t xml:space="preserve">Malappuram</t>
  </si>
  <si>
    <t xml:space="preserve">Palakkad</t>
  </si>
  <si>
    <t xml:space="preserve">Pathanamthitta</t>
  </si>
  <si>
    <t xml:space="preserve">Thiruvananthapuram</t>
  </si>
  <si>
    <t xml:space="preserve">Thrissur</t>
  </si>
  <si>
    <t xml:space="preserve">Wayanad</t>
  </si>
  <si>
    <t xml:space="preserve">Outside Kerala</t>
  </si>
  <si>
    <t xml:space="preserve">Unmatched — check</t>
  </si>
  <si>
    <t xml:space="preserve">HOW TO USE THIS WORKBOOK</t>
  </si>
  <si>
    <t xml:space="preserve">1.</t>
  </si>
  <si>
    <t xml:space="preserve">Open the Members sheet. Filter column L (District) or column J (Emirate) to split the list between callers.</t>
  </si>
  <si>
    <t xml:space="preserve">2.</t>
  </si>
  <si>
    <t xml:space="preserve">Set column P (Assigned To) for each block. Rename the volunteers on the Lists sheet first.</t>
  </si>
  <si>
    <t xml:space="preserve">3.</t>
  </si>
  <si>
    <t xml:space="preserve">After each call, set column O (Call Status) from the drop-down. That single entry drives every number here.</t>
  </si>
  <si>
    <t xml:space="preserve">4.</t>
  </si>
  <si>
    <t xml:space="preserve">Record the date in Q, how you reached them in R, and anything useful in T (Remarks).</t>
  </si>
  <si>
    <t xml:space="preserve">5.</t>
  </si>
  <si>
    <t xml:space="preserve">For "To Be Followed Up", always put a date in S. Past-dated follow-ups turn red automatically.</t>
  </si>
  <si>
    <t xml:space="preserve">Example row:</t>
  </si>
  <si>
    <t xml:space="preserve">IAS ID 3115 · RAJENDRAN.P · Status "Positive" · Assigned "Volunteer 3" · Date 12/08/2026 · Method "WhatsApp" · Remarks "Confirmed, will bring wife too"</t>
  </si>
  <si>
    <t xml:space="preserve">DATA QUALITY NOTES</t>
  </si>
  <si>
    <t xml:space="preserve">·</t>
  </si>
  <si>
    <t xml:space="preserve">Source: Members_28_04_2026.pdf (232 pages, Crystal Reports export). 1,873 of 1,880 member cards parsed — 99.6%.</t>
  </si>
  <si>
    <t xml:space="preserve">District is derived from the India address text, not a field in the source PDF. 115 addresses could not be matched and show "Unmatched — check" in red.</t>
  </si>
  <si>
    <t xml:space="preserve">UAE mobiles normalised to 05XXXXXXXX. 2 members have no UAE mobile; 1 has no phone number at all.</t>
  </si>
  <si>
    <t xml:space="preserve">Emirate is inferred from the PO Box line. 180 members have no emirate recorded in the source.</t>
  </si>
  <si>
    <t xml:space="preserve">Age is a live formula from date of birth, so it stays correct over time. Median age is 56.</t>
  </si>
  <si>
    <t xml:space="preserve">INDIAN ASSOCIATION SHARJAH  |  ELECTION CAMPAIGN — MEMBER CONTACT REGISTER</t>
  </si>
  <si>
    <t xml:space="preserve">Columns A–N are extracted from the membership PDF — do not edit.   Columns O–T (shaded) are for the campaign team to fill in.   Every entry updates the Dashboard automatically.</t>
  </si>
  <si>
    <t xml:space="preserve">S.No</t>
  </si>
  <si>
    <t xml:space="preserve">IAS ID</t>
  </si>
  <si>
    <t xml:space="preserve">Member Name</t>
  </si>
  <si>
    <t xml:space="preserve">Type</t>
  </si>
  <si>
    <t xml:space="preserve">Date of Birth</t>
  </si>
  <si>
    <t xml:space="preserve">Age</t>
  </si>
  <si>
    <t xml:space="preserve">Mobile (UAE)</t>
  </si>
  <si>
    <t xml:space="preserve">Phone (India)</t>
  </si>
  <si>
    <t xml:space="preserve">Email</t>
  </si>
  <si>
    <t xml:space="preserve">Place / Address</t>
  </si>
  <si>
    <t xml:space="preserve">Blood Grp</t>
  </si>
  <si>
    <t xml:space="preserve">Member Since</t>
  </si>
  <si>
    <t xml:space="preserve">Call Status</t>
  </si>
  <si>
    <t xml:space="preserve">Assigned To</t>
  </si>
  <si>
    <t xml:space="preserve">Contact Date</t>
  </si>
  <si>
    <t xml:space="preserve">Contact Method</t>
  </si>
  <si>
    <t xml:space="preserve">Next Follow-up</t>
  </si>
  <si>
    <t xml:space="preserve">Remarks</t>
  </si>
  <si>
    <t xml:space="preserve">GEORGE K.T.</t>
  </si>
  <si>
    <t xml:space="preserve">L</t>
  </si>
  <si>
    <t xml:space="preserve">0506464369</t>
  </si>
  <si>
    <t xml:space="preserve">5413320471</t>
  </si>
  <si>
    <t xml:space="preserve">T.C.3/1004, OPPOSITE HOLY CROSS, CHURCH, MUTTADA, TRIVANDRUM</t>
  </si>
  <si>
    <t xml:space="preserve">B+</t>
  </si>
  <si>
    <t xml:space="preserve">Unassigned</t>
  </si>
  <si>
    <t xml:space="preserve">KASIM KUNJU M.M.</t>
  </si>
  <si>
    <t xml:space="preserve">0504817685</t>
  </si>
  <si>
    <t xml:space="preserve">4702692004</t>
  </si>
  <si>
    <t xml:space="preserve">kassim@binmalik.ae</t>
  </si>
  <si>
    <t xml:space="preserve">K.V.P.HOUSE, PERROR.PO,KILIMANOOR, TRIVANDRUM DISTRICT, KERALA</t>
  </si>
  <si>
    <t xml:space="preserve">NAVINCHANDRA NARAINDAS RAIPANCHO L I LAL</t>
  </si>
  <si>
    <t xml:space="preserve">0506324580</t>
  </si>
  <si>
    <t xml:space="preserve">9869770775</t>
  </si>
  <si>
    <t xml:space="preserve">RAMCHANDRA LANE, S.C.MALAD, BOMBAY.</t>
  </si>
  <si>
    <t xml:space="preserve">SHAMSUDHEEN K.V.</t>
  </si>
  <si>
    <t xml:space="preserve">0506467801</t>
  </si>
  <si>
    <t xml:space="preserve">9745131310</t>
  </si>
  <si>
    <t xml:space="preserve">kvshams@gmail.com</t>
  </si>
  <si>
    <t xml:space="preserve">GLANDALE POINT, 7C-6/235 G3, BANK STREET, CALICUT-673001</t>
  </si>
  <si>
    <t xml:space="preserve">O+</t>
  </si>
  <si>
    <t xml:space="preserve">Adv. Y.A.RAHIM</t>
  </si>
  <si>
    <t xml:space="preserve">0506320994</t>
  </si>
  <si>
    <t xml:space="preserve">471433316</t>
  </si>
  <si>
    <t xml:space="preserve">adv.yarahim@gmail.com</t>
  </si>
  <si>
    <t xml:space="preserve">T.C.5/1568 AMBALAMUKKU, KOWDIAR, TRIVANDRUM DISTRICT, KERALA</t>
  </si>
  <si>
    <t xml:space="preserve">MOHAMMEDUNNI M.C.</t>
  </si>
  <si>
    <t xml:space="preserve">0506460753</t>
  </si>
  <si>
    <t xml:space="preserve">indane2016@gmail.com</t>
  </si>
  <si>
    <t xml:space="preserve">MANALATHU VALAPPIL HOUSE,, POST CHALISSERY, PALAKKAD, 00914662256119</t>
  </si>
  <si>
    <t xml:space="preserve">MOIDUNNI K.</t>
  </si>
  <si>
    <t xml:space="preserve">0504630151</t>
  </si>
  <si>
    <t xml:space="preserve">494681354</t>
  </si>
  <si>
    <t xml:space="preserve">KALAKKAT HOUSE, EDAPPAL CHUNGAM, SUKAPURAM POST, MALAPPURAM</t>
  </si>
  <si>
    <t xml:space="preserve">V.T.JACOB</t>
  </si>
  <si>
    <t xml:space="preserve">0507977146</t>
  </si>
  <si>
    <t xml:space="preserve">4885242208</t>
  </si>
  <si>
    <t xml:space="preserve">jacob.vazhappilly@oce.ae</t>
  </si>
  <si>
    <t xml:space="preserve">VAZHAPPILLY HOUSE, ERANELLUR POST, VIA KECHERY, TRICHUR DISTRICT</t>
  </si>
  <si>
    <t xml:space="preserve">N.ABDUL KADER</t>
  </si>
  <si>
    <t xml:space="preserve">0504974412</t>
  </si>
  <si>
    <t xml:space="preserve">4942440756</t>
  </si>
  <si>
    <t xml:space="preserve">nabdulkader@crescent.ae</t>
  </si>
  <si>
    <t xml:space="preserve">NALAKATH HOUSE, MOOLAKKAL, POST K-PURAM, VIA TANALUR-676307</t>
  </si>
  <si>
    <t xml:space="preserve">TEL (O): 600548888</t>
  </si>
  <si>
    <t xml:space="preserve">EXT</t>
  </si>
  <si>
    <t xml:space="preserve">0507000205</t>
  </si>
  <si>
    <t xml:space="preserve">9895557000</t>
  </si>
  <si>
    <t xml:space="preserve">bash@safetymarine.com</t>
  </si>
  <si>
    <t xml:space="preserve">PADIYATH PARAVANNUR,PO.KALPAKANCHERY, MALAPPURAM DT, KERALA</t>
  </si>
  <si>
    <t xml:space="preserve">VARGHESE T.V.</t>
  </si>
  <si>
    <t xml:space="preserve">0566727011</t>
  </si>
  <si>
    <t xml:space="preserve">485959140</t>
  </si>
  <si>
    <t xml:space="preserve">THOTTANKARA HOUSE, CHERANALLOOR, PERUMBAVOOR-683544, ERNAKULAM</t>
  </si>
  <si>
    <t xml:space="preserve">YOUSEPH SAGHEER K.S.</t>
  </si>
  <si>
    <t xml:space="preserve">0506287595</t>
  </si>
  <si>
    <t xml:space="preserve">yousephsageer@gmail.com</t>
  </si>
  <si>
    <t xml:space="preserve">KAKKASSERY HOUSE, MATHILAKAM, POST, TRICHUR DISTRICT, KERALA, 0091 9744287595</t>
  </si>
  <si>
    <t xml:space="preserve">SUBHAS CHANDRABOSE .P.V.</t>
  </si>
  <si>
    <t xml:space="preserve">0507967459</t>
  </si>
  <si>
    <t xml:space="preserve">shyamsubash@yahoo.com</t>
  </si>
  <si>
    <t xml:space="preserve">PARAMEL HOUSE, POST ADAT, TRICHUR, ,KERALA STATE., 0091 9846 447755</t>
  </si>
  <si>
    <t xml:space="preserve">MOHAMMED JALEEL .M.C.</t>
  </si>
  <si>
    <t xml:space="preserve">0506526385</t>
  </si>
  <si>
    <t xml:space="preserve">91490332696</t>
  </si>
  <si>
    <t xml:space="preserve">jaleelmcm60@gmail.com</t>
  </si>
  <si>
    <t xml:space="preserve">'SANTHOSH', POST PERINGADI, NEW MAHE, KERALA.</t>
  </si>
  <si>
    <t xml:space="preserve">MANOHARAN .V.</t>
  </si>
  <si>
    <t xml:space="preserve">0557661249</t>
  </si>
  <si>
    <t xml:space="preserve">4972860383</t>
  </si>
  <si>
    <t xml:space="preserve">m.velutheri@gmail.com</t>
  </si>
  <si>
    <t xml:space="preserve">VELUTHERI HOUSE, KATTAMPALLY, POST, KANNUR DISTRICT, KERALA</t>
  </si>
  <si>
    <t xml:space="preserve">JACOB GEORGE</t>
  </si>
  <si>
    <t xml:space="preserve">0506348037</t>
  </si>
  <si>
    <t xml:space="preserve">4735227453</t>
  </si>
  <si>
    <t xml:space="preserve">mushiraf@emirates.net.ae</t>
  </si>
  <si>
    <t xml:space="preserve">KANJIKUZHIYIL HOUSE, THEKKEPURAM, RANNY POST, PATHANAMTHITTA</t>
  </si>
  <si>
    <t xml:space="preserve">A+</t>
  </si>
  <si>
    <t xml:space="preserve">SIVANKUTTY NAIR P.R.</t>
  </si>
  <si>
    <t xml:space="preserve">0506267142</t>
  </si>
  <si>
    <t xml:space="preserve">novelemllc@yahoo.com</t>
  </si>
  <si>
    <t xml:space="preserve">FLAT NO, C 2 bHAGEERATHA APARTMENT kANJIRAMPARA P, VATTIYOORKAVU,TRIVANDRUM DT</t>
  </si>
  <si>
    <t xml:space="preserve">UNNIKRISHNAN M.</t>
  </si>
  <si>
    <t xml:space="preserve">0506790491</t>
  </si>
  <si>
    <t xml:space="preserve">KALLARMANGALAM POST, VIA, KADAMPUZHA, MALAPPURAM DISTRICT, 0091-494 -61014</t>
  </si>
  <si>
    <t xml:space="preserve">JOSE K.K.</t>
  </si>
  <si>
    <t xml:space="preserve">0501859931</t>
  </si>
  <si>
    <t xml:space="preserve">42322311279487872123</t>
  </si>
  <si>
    <t xml:space="preserve">kkjose39@yahoo.com</t>
  </si>
  <si>
    <t xml:space="preserve">HIGH FIELD COTTAGE#26, HIGH FIELD - COONOOR-643101, NILGIRIS DISTRICT</t>
  </si>
  <si>
    <t xml:space="preserve">AB-</t>
  </si>
  <si>
    <t xml:space="preserve">SADANANDAN T. K.</t>
  </si>
  <si>
    <t xml:space="preserve">0506461680</t>
  </si>
  <si>
    <t xml:space="preserve">9446125437</t>
  </si>
  <si>
    <t xml:space="preserve">sadantk@hotmail.com</t>
  </si>
  <si>
    <t xml:space="preserve">THOTTINTE KIZHAKETHIL HOUSE, POST PUNTHALA, VIA KULANADA-689503</t>
  </si>
  <si>
    <t xml:space="preserve">RAVINDRAN K.V.</t>
  </si>
  <si>
    <t xml:space="preserve">0504554410</t>
  </si>
  <si>
    <t xml:space="preserve">497800071</t>
  </si>
  <si>
    <t xml:space="preserve">ravindrankv48@yahoo.com</t>
  </si>
  <si>
    <t xml:space="preserve">POST EDAT, VIA PAYYANNOOR, KANNUR DISTRICT, KERALA</t>
  </si>
  <si>
    <t xml:space="preserve">TEL (O): 06 5588888</t>
  </si>
  <si>
    <t xml:space="preserve">0505178700</t>
  </si>
  <si>
    <t xml:space="preserve">8943804638</t>
  </si>
  <si>
    <t xml:space="preserve">aslamakattil@yahoo.com</t>
  </si>
  <si>
    <t xml:space="preserve">ANDIKATTIL HOUSE, MANNENGODE POST, PALAKKAD DT, EKRALA</t>
  </si>
  <si>
    <t xml:space="preserve">KOLAVAYAL HASSAN</t>
  </si>
  <si>
    <t xml:space="preserve">0506324975</t>
  </si>
  <si>
    <t xml:space="preserve">MONOKOTH KOTHIL HOUSE, KANHANGAD, KASARGOD DISTRICT</t>
  </si>
  <si>
    <t xml:space="preserve">MATHEW THOMAS</t>
  </si>
  <si>
    <t xml:space="preserve">0506797491</t>
  </si>
  <si>
    <t xml:space="preserve">mathewtc@hotmail.com</t>
  </si>
  <si>
    <t xml:space="preserve">CHENGANDAYIL HOUSE, PONGA POST, VIA THEKKEKARA, ALLEPPEY, 762050</t>
  </si>
  <si>
    <t xml:space="preserve">JACOB KURIEN .K</t>
  </si>
  <si>
    <t xml:space="preserve">0555555836</t>
  </si>
  <si>
    <t xml:space="preserve">jkk1504@gmail.com</t>
  </si>
  <si>
    <t xml:space="preserve">PALATHUMTHALAKKAL, THIRPPARAPU, KULASEKHARAM, KANYAKUMARY</t>
  </si>
  <si>
    <t xml:space="preserve">MADHAVAN THACHANGAD</t>
  </si>
  <si>
    <t xml:space="preserve">0504580399</t>
  </si>
  <si>
    <t xml:space="preserve">madhavan.kodorban@ricoh-europe.com</t>
  </si>
  <si>
    <t xml:space="preserve">THACHANGAD HOUSE, POST PANAYAL, VIA BEKAL, KASARGOD DISTRICT</t>
  </si>
  <si>
    <t xml:space="preserve">P.M.JOSE</t>
  </si>
  <si>
    <t xml:space="preserve">0506464569</t>
  </si>
  <si>
    <t xml:space="preserve">475712017</t>
  </si>
  <si>
    <t xml:space="preserve">seasonpllc@gmail.com</t>
  </si>
  <si>
    <t xml:space="preserve">PLAMMOOTTIL HOUSE, KULANADA POST, PANDALAM, PATHANAMTHITTA DISTRICT</t>
  </si>
  <si>
    <t xml:space="preserve">P.C.SIMON</t>
  </si>
  <si>
    <t xml:space="preserve">0502772525</t>
  </si>
  <si>
    <t xml:space="preserve">488574348</t>
  </si>
  <si>
    <t xml:space="preserve">pcsimon@eim.ae</t>
  </si>
  <si>
    <t xml:space="preserve">28/564, EZHUTHACHAN NAGAR, NEAR, VADAKKECHIRA, TRICHUR-680001</t>
  </si>
  <si>
    <t xml:space="preserve">AB+</t>
  </si>
  <si>
    <t xml:space="preserve">RAJAN M K</t>
  </si>
  <si>
    <t xml:space="preserve">0506464958</t>
  </si>
  <si>
    <t xml:space="preserve">474482089</t>
  </si>
  <si>
    <t xml:space="preserve">mkrajan@eim.ae</t>
  </si>
  <si>
    <t xml:space="preserve">MUKALIL HOUSE, CHITTAKODE, KARUVELIL POST, EZHUKONE-691505</t>
  </si>
  <si>
    <t xml:space="preserve">JOHN MATHAI</t>
  </si>
  <si>
    <t xml:space="preserve">0504811206</t>
  </si>
  <si>
    <t xml:space="preserve">johnmcm@eim.ae</t>
  </si>
  <si>
    <t xml:space="preserve">PAITAYIL DHANYA, FIRST MILE, PERINGALA-PO.,, KAYAMKULAM, ALLEPPEY DT,KERALA, 0091 9645455559</t>
  </si>
  <si>
    <t xml:space="preserve">O</t>
  </si>
  <si>
    <t xml:space="preserve">JALEEL T. M. A.</t>
  </si>
  <si>
    <t xml:space="preserve">0508933479</t>
  </si>
  <si>
    <t xml:space="preserve">POST PALAPPETTY, VELIANKODE, MALAPPURAM DISTRICT-679579</t>
  </si>
  <si>
    <t xml:space="preserve">HAMZA PUTHOOR</t>
  </si>
  <si>
    <t xml:space="preserve">0554326086</t>
  </si>
  <si>
    <t xml:space="preserve">8089080139</t>
  </si>
  <si>
    <t xml:space="preserve">puthoorhamza@gmail.com</t>
  </si>
  <si>
    <t xml:space="preserve">BEKAL FORT POST, THUTTE,, KASARGOD DISTRICT, KERALA</t>
  </si>
  <si>
    <t xml:space="preserve">TEL (O): 06 5325353 -</t>
  </si>
  <si>
    <t xml:space="preserve">0506337813</t>
  </si>
  <si>
    <t xml:space="preserve">9447225499</t>
  </si>
  <si>
    <t xml:space="preserve">okhaneef@yahoo.com</t>
  </si>
  <si>
    <t xml:space="preserve">AL HILAL, MUKKOOD P.O, RAVANESHWAR, PALLIKERE VIA KASARAGOD DT.</t>
  </si>
  <si>
    <t xml:space="preserve">CHERIAN THOMAS</t>
  </si>
  <si>
    <t xml:space="preserve">0506263398</t>
  </si>
  <si>
    <t xml:space="preserve">9961263635</t>
  </si>
  <si>
    <t xml:space="preserve">regicheri@gmail.com</t>
  </si>
  <si>
    <t xml:space="preserve">PEEDIKAYIL PLAMMOOTTIL, KOZHENCHERY, POST, PATHANAMTHITTA DISTRICT</t>
  </si>
  <si>
    <t xml:space="preserve">ABRAHAM KURIAN</t>
  </si>
  <si>
    <t xml:space="preserve">0506360886</t>
  </si>
  <si>
    <t xml:space="preserve">4842642742</t>
  </si>
  <si>
    <t xml:space="preserve">chirackalkurian@gmail.com</t>
  </si>
  <si>
    <t xml:space="preserve">CHIRACKAL HOUSE, KOOVAPPADY POST, AYATHUPADY, PERUMBAVOOR VIA</t>
  </si>
  <si>
    <t xml:space="preserve">R.P.MURALY</t>
  </si>
  <si>
    <t xml:space="preserve">0506265615</t>
  </si>
  <si>
    <t xml:space="preserve">9048887537</t>
  </si>
  <si>
    <t xml:space="preserve">muralyputhuvelil@gmail.com</t>
  </si>
  <si>
    <t xml:space="preserve">MURALEERAVAM PUTHUVELIL,MALLASSERY P.O.,, PRAMADOM,VELAN KADAVU, PATHANAMTHITTA.</t>
  </si>
  <si>
    <t xml:space="preserve">M.HARIDAS</t>
  </si>
  <si>
    <t xml:space="preserve">0555548916</t>
  </si>
  <si>
    <t xml:space="preserve">4942451903</t>
  </si>
  <si>
    <t xml:space="preserve">haridas_melepat@hotmail.com</t>
  </si>
  <si>
    <t xml:space="preserve">MELEPAT HOUSE, POST VALIYORA, MALAPPURAM DISTRICT-676308,KERALA</t>
  </si>
  <si>
    <t xml:space="preserve">KUNJU NAIR RAJAN</t>
  </si>
  <si>
    <t xml:space="preserve">0506968044</t>
  </si>
  <si>
    <t xml:space="preserve">4872540713</t>
  </si>
  <si>
    <t xml:space="preserve">kunjunairrajan@yahoo.com</t>
  </si>
  <si>
    <t xml:space="preserve">"AMRITHA" KOOLIYAT, POST, VADAKKEKKAD, TRICHUR DISTRICT</t>
  </si>
  <si>
    <t xml:space="preserve">ABDUL HAMEED T.K.</t>
  </si>
  <si>
    <t xml:space="preserve">0502885007</t>
  </si>
  <si>
    <t xml:space="preserve">9747400279</t>
  </si>
  <si>
    <t xml:space="preserve">mexicobm@yahoo.com</t>
  </si>
  <si>
    <t xml:space="preserve">KOPPARA HOUSE, MANATHALA, POST, CHAVAKKAD-680506, TRICHUR DISTRICT</t>
  </si>
  <si>
    <t xml:space="preserve">KUNHIKANNAN NAIR V.</t>
  </si>
  <si>
    <t xml:space="preserve">0544779990</t>
  </si>
  <si>
    <t xml:space="preserve">467227441</t>
  </si>
  <si>
    <t xml:space="preserve">vengeiln@yahoo.com</t>
  </si>
  <si>
    <t xml:space="preserve">T.M.SAIDU MOHAMED</t>
  </si>
  <si>
    <t xml:space="preserve">4928369</t>
  </si>
  <si>
    <t xml:space="preserve">sanad1859@hotmail.com</t>
  </si>
  <si>
    <t xml:space="preserve">III/193 THEKKEPEEDIKAIL, CHALISSERY, POST-679536, PALAKKAD DISTRICT</t>
  </si>
  <si>
    <t xml:space="preserve">K.KUNHIRAMAN</t>
  </si>
  <si>
    <t xml:space="preserve">0506965906</t>
  </si>
  <si>
    <t xml:space="preserve">THACHANGAD HOUSE, POST PANIYAL, VIA BEKAL, KASARGOD DISTRICT</t>
  </si>
  <si>
    <t xml:space="preserve">VARGHESE SAMUEL</t>
  </si>
  <si>
    <t xml:space="preserve">0507278925</t>
  </si>
  <si>
    <t xml:space="preserve">4792325591</t>
  </si>
  <si>
    <t xml:space="preserve">sujaraj@eim.ae</t>
  </si>
  <si>
    <t xml:space="preserve">VALLIATH, CHERUKOLE, MAVELIKARA, ALLEPPEY DISTRICT, KERALA</t>
  </si>
  <si>
    <t xml:space="preserve">M.ABDUL VAHEED</t>
  </si>
  <si>
    <t xml:space="preserve">0506328937</t>
  </si>
  <si>
    <t xml:space="preserve">9400350765</t>
  </si>
  <si>
    <t xml:space="preserve">abdul.vahid@snoc.ae</t>
  </si>
  <si>
    <t xml:space="preserve">VILAYIL VEEDU, THONNAKKAL,, KADAVOOR, POST MURUKKUMPUZHA.</t>
  </si>
  <si>
    <t xml:space="preserve">V.SUBRAMANIAN</t>
  </si>
  <si>
    <t xml:space="preserve">0507585106</t>
  </si>
  <si>
    <t xml:space="preserve">manivakayil@yahoo.com</t>
  </si>
  <si>
    <t xml:space="preserve">VAKAYIL HOUSE, AMBALAVAYAL POST, PIN-673593, WAYANAD DISTRICT</t>
  </si>
  <si>
    <t xml:space="preserve">C.THOMAS THOMAS</t>
  </si>
  <si>
    <t xml:space="preserve">0562605166</t>
  </si>
  <si>
    <t xml:space="preserve">thomas.sajin@yahoo.com</t>
  </si>
  <si>
    <t xml:space="preserve">CHERUPUZHATHU HOUSE, KURUNGAZHA, POST, PULLAD, TIRUVALLA, DISTRICT</t>
  </si>
  <si>
    <t xml:space="preserve">PARAYIL MOHANAN</t>
  </si>
  <si>
    <t xml:space="preserve">0504951581</t>
  </si>
  <si>
    <t xml:space="preserve">497862920</t>
  </si>
  <si>
    <t xml:space="preserve">parayilmohanan@yahoo.com</t>
  </si>
  <si>
    <t xml:space="preserve">PARAYIL HOUSE, AYYOTH, KANNAPURAM, POST CHERUKUNNU, KANNUR DISTRICT</t>
  </si>
  <si>
    <t xml:space="preserve">M.HAMEED</t>
  </si>
  <si>
    <t xml:space="preserve">0505998921</t>
  </si>
  <si>
    <t xml:space="preserve">MANGAD, POST BARE, UDMA, KASARGOD DISTRICT, KERALA</t>
  </si>
  <si>
    <t xml:space="preserve">P.P.HYDRU</t>
  </si>
  <si>
    <t xml:space="preserve">0504620155</t>
  </si>
  <si>
    <t xml:space="preserve">4942454405</t>
  </si>
  <si>
    <t xml:space="preserve">pphydru@yahoo.com</t>
  </si>
  <si>
    <t xml:space="preserve">PUTHUPOTTAYIL HOUSE, POST VENGARA, MALAPPURAM DISTRICT, KERALA</t>
  </si>
  <si>
    <t xml:space="preserve">K.KUNHIKANNAN</t>
  </si>
  <si>
    <t xml:space="preserve">0503029875</t>
  </si>
  <si>
    <t xml:space="preserve">9895774683</t>
  </si>
  <si>
    <t xml:space="preserve">kunhikannank@ae.lulumea.com</t>
  </si>
  <si>
    <t xml:space="preserve">ARUN NIVAS, KIZHAKKUMKARA, AJANNUR, POST, KANHANGAD VIA, KASARGOD</t>
  </si>
  <si>
    <t xml:space="preserve">V.NARAYANAN</t>
  </si>
  <si>
    <t xml:space="preserve">0559807363</t>
  </si>
  <si>
    <t xml:space="preserve">vnarayan35@hotmail.com</t>
  </si>
  <si>
    <t xml:space="preserve">NAVEENAM ERIYANATE, NELLIKATE, POST BALLA, VIA KANHANGAD, 0091-499-705204</t>
  </si>
  <si>
    <t xml:space="preserve">T.A.ABDU RAHIMAN</t>
  </si>
  <si>
    <t xml:space="preserve">0506344323</t>
  </si>
  <si>
    <t xml:space="preserve">9544442729</t>
  </si>
  <si>
    <t xml:space="preserve">polyclinic1@gmail.com</t>
  </si>
  <si>
    <t xml:space="preserve">10 C, ABAD SILVER CRUST,, KADAVANTHRA, ERNAKULAM, KERALA</t>
  </si>
  <si>
    <t xml:space="preserve">K.K.KARUNAKARAN</t>
  </si>
  <si>
    <t xml:space="preserve">0506312957</t>
  </si>
  <si>
    <t xml:space="preserve">488574535</t>
  </si>
  <si>
    <t xml:space="preserve">KKODATHOOR@YAHOO.COM</t>
  </si>
  <si>
    <t xml:space="preserve">KODATHOOR HOUSE, CHERUTHURUTHY, DESAM, POST PAZHANJI, TRICHUR</t>
  </si>
  <si>
    <t xml:space="preserve">N.SUDEVAN</t>
  </si>
  <si>
    <t xml:space="preserve">0506352126</t>
  </si>
  <si>
    <t xml:space="preserve">4712551560</t>
  </si>
  <si>
    <t xml:space="preserve">jbwoodworks@gmail.com</t>
  </si>
  <si>
    <t xml:space="preserve">T.C.NO.2/2059(1) "SAROVARAM", JEEVAN NAGAR, POTTAKUZHI, PATTOM POST, TRIVANDRUM DISTRICT</t>
  </si>
  <si>
    <t xml:space="preserve">K.VALSAKUMAR</t>
  </si>
  <si>
    <t xml:space="preserve">0506286411</t>
  </si>
  <si>
    <t xml:space="preserve">kvkmenon99@gmail.com</t>
  </si>
  <si>
    <t xml:space="preserve">LAKSHMI NIVAS, POST KURUMALA, CHELAKARA, TRICHUR DISTRICT</t>
  </si>
  <si>
    <t xml:space="preserve">N.P.HAMEED</t>
  </si>
  <si>
    <t xml:space="preserve">0555782820</t>
  </si>
  <si>
    <t xml:space="preserve">4872555545</t>
  </si>
  <si>
    <t xml:space="preserve">nphameed@gmail.com</t>
  </si>
  <si>
    <t xml:space="preserve">POOVATHOOR POST, VIA CHAVAKAD, TRICHUR DISTRICT, KERALA</t>
  </si>
  <si>
    <t xml:space="preserve">M.V.USMAN</t>
  </si>
  <si>
    <t xml:space="preserve">0506973008</t>
  </si>
  <si>
    <t xml:space="preserve">4872555984</t>
  </si>
  <si>
    <t xml:space="preserve">aljasarsm@gmail.com</t>
  </si>
  <si>
    <t xml:space="preserve">M.V.HOUSE, KARAKKAD, POST, GURUVAYOOR, TRICHUR DISTRICT</t>
  </si>
  <si>
    <t xml:space="preserve">M.HAMZA</t>
  </si>
  <si>
    <t xml:space="preserve">0503624796</t>
  </si>
  <si>
    <t xml:space="preserve">4872556895</t>
  </si>
  <si>
    <t xml:space="preserve">hamza1hibanas@yahoo.co.in</t>
  </si>
  <si>
    <t xml:space="preserve">MUSLEM VEETTIL HOUSE, KARAKKAD, POST, GURUVAYOOR, TRICHUR</t>
  </si>
  <si>
    <t xml:space="preserve">M.V.RASHEED</t>
  </si>
  <si>
    <t xml:space="preserve">0508642880</t>
  </si>
  <si>
    <t xml:space="preserve">M.V.HOUSE, KARAKKAD, POST, GURUVAYOOR, TRICHUR DISTRICT, PLIN. 680101</t>
  </si>
  <si>
    <t xml:space="preserve">M.UMMER</t>
  </si>
  <si>
    <t xml:space="preserve">0504975997</t>
  </si>
  <si>
    <t xml:space="preserve">487552169</t>
  </si>
  <si>
    <t xml:space="preserve">T.K.ABDUL RAHIMAN</t>
  </si>
  <si>
    <t xml:space="preserve">0506363628</t>
  </si>
  <si>
    <t xml:space="preserve">falconms@emirates.net.ae</t>
  </si>
  <si>
    <t xml:space="preserve">POST KAIPAMANGALAM, TRICHUR, DISTRICT, PIN-680681, KERALA, 488-814669</t>
  </si>
  <si>
    <t xml:space="preserve">K.MUSTHAFA</t>
  </si>
  <si>
    <t xml:space="preserve">0502568608</t>
  </si>
  <si>
    <t xml:space="preserve">"SAMEERA MANZIL", MULLAKKODI, POST, MAYYIL VIA, KANNUR DISTRICT, 498-275312</t>
  </si>
  <si>
    <t xml:space="preserve">M.S.ANIRUDHAN</t>
  </si>
  <si>
    <t xml:space="preserve">0503611367</t>
  </si>
  <si>
    <t xml:space="preserve">4802829207</t>
  </si>
  <si>
    <t xml:space="preserve">marathanil@gmail.com</t>
  </si>
  <si>
    <t xml:space="preserve">MARATH HOUSE, NEAR CHRIST COLLEGE, POST IRINJALAKUDA, TRICHUR DISTRICT</t>
  </si>
  <si>
    <t xml:space="preserve">LALU ABRAHAM</t>
  </si>
  <si>
    <t xml:space="preserve">0506946456</t>
  </si>
  <si>
    <t xml:space="preserve">473319032</t>
  </si>
  <si>
    <t xml:space="preserve">lalu1956@hotmail.com</t>
  </si>
  <si>
    <t xml:space="preserve">THIRUVALLA KALAYIL HOUSE, ARANMULA POST, PATHANAMTHITTA</t>
  </si>
  <si>
    <t xml:space="preserve">THOMAS P. JOHN</t>
  </si>
  <si>
    <t xml:space="preserve">0505298766</t>
  </si>
  <si>
    <t xml:space="preserve">POONITHARA HOUSE, KUMARAKOM, POST, KOTTAYAM DISTRICT, KERALA</t>
  </si>
  <si>
    <t xml:space="preserve">A.P.RAJAN</t>
  </si>
  <si>
    <t xml:space="preserve">0557930639</t>
  </si>
  <si>
    <t xml:space="preserve">aprajan55@gmail.com</t>
  </si>
  <si>
    <t xml:space="preserve">PALAYUR SOUTH, POST CHAVAKKAD, TRICHUR-680506.</t>
  </si>
  <si>
    <t xml:space="preserve">K.SUKUMARAN</t>
  </si>
  <si>
    <t xml:space="preserve">0507571974</t>
  </si>
  <si>
    <t xml:space="preserve">9446001136</t>
  </si>
  <si>
    <t xml:space="preserve">alinshrah@gmail.com</t>
  </si>
  <si>
    <t xml:space="preserve">KUNNAMPATH HOUSE, KIZHAKKUMPATTUKAR, TRICHUR DISTRICT-680005, KERALA</t>
  </si>
  <si>
    <t xml:space="preserve">V.NARAYANAN NAIR</t>
  </si>
  <si>
    <t xml:space="preserve">0506978021</t>
  </si>
  <si>
    <t xml:space="preserve">4672239679</t>
  </si>
  <si>
    <t xml:space="preserve">narayananvengayil@yahoo.com</t>
  </si>
  <si>
    <t xml:space="preserve">KRISHNABHAVANAM, ADUKKATH VAYAL, POST MYLATTY, KASARGOD DISTRICT, KERALA</t>
  </si>
  <si>
    <t xml:space="preserve">S.SREEKANTAN NAIR</t>
  </si>
  <si>
    <t xml:space="preserve">0558378229</t>
  </si>
  <si>
    <t xml:space="preserve">4742573495</t>
  </si>
  <si>
    <t xml:space="preserve">vishnu_slam@hotmail.com</t>
  </si>
  <si>
    <t xml:space="preserve">KRISHNA VILASOM, MEVANAKONAM, KALLUVATHUKKAL POST, KOLLAM</t>
  </si>
  <si>
    <t xml:space="preserve">MOHAMMED HANIF QURESHI</t>
  </si>
  <si>
    <t xml:space="preserve">0507460236</t>
  </si>
  <si>
    <t xml:space="preserve">499774193</t>
  </si>
  <si>
    <t xml:space="preserve">THAYAL THOTTI, THOTTI POST, POST PALLIKERE, KASARGOD</t>
  </si>
  <si>
    <t xml:space="preserve">S.ABOOBACKER MOHAMED</t>
  </si>
  <si>
    <t xml:space="preserve">0503083531</t>
  </si>
  <si>
    <t xml:space="preserve">P.A.SHAMSUDEEN</t>
  </si>
  <si>
    <t xml:space="preserve">0506327323</t>
  </si>
  <si>
    <t xml:space="preserve">4802844748</t>
  </si>
  <si>
    <t xml:space="preserve">shams@alshamsmedical.com</t>
  </si>
  <si>
    <t xml:space="preserve">PUTHIYA VEETTIL HOUSE, PERINGANAM, TRICHUR DISTRICT, KERALA</t>
  </si>
  <si>
    <t xml:space="preserve">P.A.MOIDEENKUTTY</t>
  </si>
  <si>
    <t xml:space="preserve">0503844749</t>
  </si>
  <si>
    <t xml:space="preserve">4802844749</t>
  </si>
  <si>
    <t xml:space="preserve">shihadmoideen@gmail.com</t>
  </si>
  <si>
    <t xml:space="preserve">PUTHIYA VEETIL HOUSE, POST, KAIPAMANGALAM BEACH , KALAMURI,THRISSUR,KERALA</t>
  </si>
  <si>
    <t xml:space="preserve">HAMZA P.P.</t>
  </si>
  <si>
    <t xml:space="preserve">0557419185</t>
  </si>
  <si>
    <t xml:space="preserve">PEEDIKAYIL PUTHIYA PURAYIL HOUSE, MATTUL POST, KANNUR DISTRICT, 0091 497 284 2792/9995316184</t>
  </si>
  <si>
    <t xml:space="preserve">THOMAS CHACKO</t>
  </si>
  <si>
    <t xml:space="preserve">0507871028</t>
  </si>
  <si>
    <t xml:space="preserve">473630918</t>
  </si>
  <si>
    <t xml:space="preserve">thoms.shaji@gmail.com</t>
  </si>
  <si>
    <t xml:space="preserve">THOMPIL HOUSE, PODIYADI POST, TIRUVALLA, PATHANAMTHITTA</t>
  </si>
  <si>
    <t xml:space="preserve">K.S.MOHAMED ASHRAF</t>
  </si>
  <si>
    <t xml:space="preserve">0507963953</t>
  </si>
  <si>
    <t xml:space="preserve">4882803535</t>
  </si>
  <si>
    <t xml:space="preserve">ashrafnims1@gmail.com</t>
  </si>
  <si>
    <t xml:space="preserve">KARAPPAMVEETTIL, PATHAZHAKKAD POST., KODUNGALLUR</t>
  </si>
  <si>
    <t xml:space="preserve">K.ASOKAN</t>
  </si>
  <si>
    <t xml:space="preserve">0505970135</t>
  </si>
  <si>
    <t xml:space="preserve">46722667399747523339</t>
  </si>
  <si>
    <t xml:space="preserve">asokankayyil@gmail.com</t>
  </si>
  <si>
    <t xml:space="preserve">KAYYIL HOUSE, EDAPPANI, AJANUR, POST, HARIPURAM, KASARGOD</t>
  </si>
  <si>
    <t xml:space="preserve">V.A.MOIDEEN</t>
  </si>
  <si>
    <t xml:space="preserve">0508071000</t>
  </si>
  <si>
    <t xml:space="preserve">9995599678</t>
  </si>
  <si>
    <t xml:space="preserve">jas4u@gmail.com</t>
  </si>
  <si>
    <t xml:space="preserve">VALLOPPILLY HOUSE, ELAMAKKARA P.O.,, DESHABHIMANI ROAD,KALOOR, ERNAKULAM.</t>
  </si>
  <si>
    <t xml:space="preserve">P.V.ARAVINDAKSHAN</t>
  </si>
  <si>
    <t xml:space="preserve">4872305719</t>
  </si>
  <si>
    <t xml:space="preserve">araviparamel@yahoo.com</t>
  </si>
  <si>
    <t xml:space="preserve">PARAMEL HOUSE, POST ADAT, TRICHUR DISTRICT, KERALA</t>
  </si>
  <si>
    <t xml:space="preserve">K.R.VASUDEVAN</t>
  </si>
  <si>
    <t xml:space="preserve">0506796897</t>
  </si>
  <si>
    <t xml:space="preserve">VASUDEVAN, KALEERAKATH HOUSE, POST KUNDALIYUR, ENGANDIYOOR, TRICHUR DT KERALA ST. *, 00914872292089</t>
  </si>
  <si>
    <t xml:space="preserve">K.A.SULAIMAN</t>
  </si>
  <si>
    <t xml:space="preserve">0505887360</t>
  </si>
  <si>
    <t xml:space="preserve">9447079185</t>
  </si>
  <si>
    <t xml:space="preserve">karsulaiman@gmail.com</t>
  </si>
  <si>
    <t xml:space="preserve">KAVALAKKAL, SAJID VILLA, ALACODE, JUNCTION, KOLLAKADAVU POST,ALAPPUZHA, KERALA</t>
  </si>
  <si>
    <t xml:space="preserve">MATHEW PHILIP</t>
  </si>
  <si>
    <t xml:space="preserve">0504821247</t>
  </si>
  <si>
    <t xml:space="preserve">9497271253</t>
  </si>
  <si>
    <t xml:space="preserve">mphilip@emirates.net.ae</t>
  </si>
  <si>
    <t xml:space="preserve">PALACKATHARAYIL, THADATHIL HOUSE, THADIYOOR POST, TIRUVALLA</t>
  </si>
  <si>
    <t xml:space="preserve">M.VENU</t>
  </si>
  <si>
    <t xml:space="preserve">0563625273</t>
  </si>
  <si>
    <t xml:space="preserve">4672201512</t>
  </si>
  <si>
    <t xml:space="preserve">vmkanjangad@gmail.com</t>
  </si>
  <si>
    <t xml:space="preserve">MOOLAN VEEDU, RAM NAGAR ROAD, KOTTACHERY, KANHANGAD</t>
  </si>
  <si>
    <t xml:space="preserve">S.HUMAYUN KABIR</t>
  </si>
  <si>
    <t xml:space="preserve">0507269100</t>
  </si>
  <si>
    <t xml:space="preserve">kabir.offshore2017@gmail.com</t>
  </si>
  <si>
    <t xml:space="preserve">JAZIYA MAHAL, KANNANALLOOR POST, KOLLAM DISTRICT, KERALA-691576, 0091 94 95270966</t>
  </si>
  <si>
    <t xml:space="preserve">SIMON CHACKO</t>
  </si>
  <si>
    <t xml:space="preserve">0506247895</t>
  </si>
  <si>
    <t xml:space="preserve">sssrs348@emirates.net.ae</t>
  </si>
  <si>
    <t xml:space="preserve">OONNUKALLIL HOUSE, VELLIYARA POST, PATHANAMTHITTA DISTRICT, KERALA, 04842421781 / 9447121781</t>
  </si>
  <si>
    <t xml:space="preserve">P.K.NAJMUDHEEN</t>
  </si>
  <si>
    <t xml:space="preserve">0505866417</t>
  </si>
  <si>
    <t xml:space="preserve">704496</t>
  </si>
  <si>
    <t xml:space="preserve">BHAMASE HOUSE, KASANA KOTTA, POST, KANNUR-2, PIN-670002, KERALA</t>
  </si>
  <si>
    <t xml:space="preserve">SREEDHARAN K.</t>
  </si>
  <si>
    <t xml:space="preserve">0505378079</t>
  </si>
  <si>
    <t xml:space="preserve">4952855666</t>
  </si>
  <si>
    <t xml:space="preserve">sreeviharsreedharan@gmail.com</t>
  </si>
  <si>
    <t xml:space="preserve">SRIVIHARAM NELLIKUNNUMAL, POST NANMINDA, PIN-673613</t>
  </si>
  <si>
    <t xml:space="preserve">B-</t>
  </si>
  <si>
    <t xml:space="preserve">DAVID THOMAS</t>
  </si>
  <si>
    <t xml:space="preserve">0506340281</t>
  </si>
  <si>
    <t xml:space="preserve">4742615124</t>
  </si>
  <si>
    <t xml:space="preserve">joedavis@emirates.ae</t>
  </si>
  <si>
    <t xml:space="preserve">IMMANUVEL HOUSE, EAST KULAKADA, POST, KOTTARAKARA, KOLLAM</t>
  </si>
  <si>
    <t xml:space="preserve">M.MOHAMMEDALI</t>
  </si>
  <si>
    <t xml:space="preserve">0557509027</t>
  </si>
  <si>
    <t xml:space="preserve">4672310376</t>
  </si>
  <si>
    <t xml:space="preserve">POST KEEKAN, VIA PALLIKERE, KASARGOD DISTRICT, KERALA</t>
  </si>
  <si>
    <t xml:space="preserve">K.SULAIMAN</t>
  </si>
  <si>
    <t xml:space="preserve">0521438843</t>
  </si>
  <si>
    <t xml:space="preserve">4672310023</t>
  </si>
  <si>
    <t xml:space="preserve">BEKAL KUNNIL HOUSE, POST, PALLIKERE-670316, KASARGOD</t>
  </si>
  <si>
    <t xml:space="preserve">MOHAMMAD KUNHI A.</t>
  </si>
  <si>
    <t xml:space="preserve">0503532614</t>
  </si>
  <si>
    <t xml:space="preserve">CHMOHAMMEDK@GMAIL.COM</t>
  </si>
  <si>
    <t xml:space="preserve">CHETTUKUNDIL HOUSE, POST, PALLIKERE, KASARGOD DISTRICT, 984745858</t>
  </si>
  <si>
    <t xml:space="preserve">VIJAYAN C. NARAYANAN</t>
  </si>
  <si>
    <t xml:space="preserve">0506319326</t>
  </si>
  <si>
    <t xml:space="preserve">cnvijayan55@gmail.com</t>
  </si>
  <si>
    <t xml:space="preserve">MADHAVI VILASAM, KUNNAMTHANAM , THIRUVALLA, 00914692692299</t>
  </si>
  <si>
    <t xml:space="preserve">JACOB C.K.</t>
  </si>
  <si>
    <t xml:space="preserve">0559427317</t>
  </si>
  <si>
    <t xml:space="preserve">marianjan@gmail.com</t>
  </si>
  <si>
    <t xml:space="preserve">CHANGARAMPALLIL HOUSE, ANAPUZHAKKAL, ANCHAL.PO KOLLAM, KERALA</t>
  </si>
  <si>
    <t xml:space="preserve">ABDURAHIMAN MACHIL</t>
  </si>
  <si>
    <t xml:space="preserve">0509835666</t>
  </si>
  <si>
    <t xml:space="preserve">4962968559</t>
  </si>
  <si>
    <t xml:space="preserve">rahmanmachil@gmail.com</t>
  </si>
  <si>
    <t xml:space="preserve">MACHIL HOUSE, POST MEMUNDA, VIA BADAKARA</t>
  </si>
  <si>
    <t xml:space="preserve">JOSE K.T.</t>
  </si>
  <si>
    <t xml:space="preserve">0506260965</t>
  </si>
  <si>
    <t xml:space="preserve">4672225584919495051131</t>
  </si>
  <si>
    <t xml:space="preserve">josekt58@yahoo.com</t>
  </si>
  <si>
    <t xml:space="preserve">KUZHIKKATIL HOUSE, RAJAPURAM POST, KASARGOD DISTRICT, KERALA</t>
  </si>
  <si>
    <t xml:space="preserve">KANNANUNNI C.</t>
  </si>
  <si>
    <t xml:space="preserve">0562030211</t>
  </si>
  <si>
    <t xml:space="preserve">46722664089605427987</t>
  </si>
  <si>
    <t xml:space="preserve">P.O. BOX., KANNIKULANGARA HOUSE, POST AJANOOR, KANJANGAD</t>
  </si>
  <si>
    <t xml:space="preserve">MURALEEDHARAN E.</t>
  </si>
  <si>
    <t xml:space="preserve">0502510053</t>
  </si>
  <si>
    <t xml:space="preserve">496250336656</t>
  </si>
  <si>
    <t xml:space="preserve">edavanaa@gmail.com</t>
  </si>
  <si>
    <t xml:space="preserve">EDAVANA HOUSE, MUDUVADATHUR- POST</t>
  </si>
  <si>
    <t xml:space="preserve">VARGHESE VARGHESE.P.</t>
  </si>
  <si>
    <t xml:space="preserve">0507967137</t>
  </si>
  <si>
    <t xml:space="preserve">mosaic@emirates.net.ae</t>
  </si>
  <si>
    <t xml:space="preserve">FLAT NO.7B, STAR PARADISE, KOCHU KADAVANTHRA, SOHDARAN AYYAPPAN RD, ERNAKULAM.</t>
  </si>
  <si>
    <t xml:space="preserve">MOHAMED ASHRAF V.M.</t>
  </si>
  <si>
    <t xml:space="preserve">0555656400</t>
  </si>
  <si>
    <t xml:space="preserve">4842228222</t>
  </si>
  <si>
    <t xml:space="preserve">herald82@eim.ae</t>
  </si>
  <si>
    <t xml:space="preserve">10/ 11, CHULLIKKAL,, COCHIN - 682005, KERALA</t>
  </si>
  <si>
    <t xml:space="preserve">DEVADATHAN S.</t>
  </si>
  <si>
    <t xml:space="preserve">0506316938</t>
  </si>
  <si>
    <t xml:space="preserve">472601672</t>
  </si>
  <si>
    <t xml:space="preserve">sddathan@gmail.com</t>
  </si>
  <si>
    <t xml:space="preserve">LATHIKA VILLA, MUNDAYIL, VARKALA POST</t>
  </si>
  <si>
    <t xml:space="preserve">ALAVIKUTTY E.K.</t>
  </si>
  <si>
    <t xml:space="preserve">0506773408</t>
  </si>
  <si>
    <t xml:space="preserve">494451370</t>
  </si>
  <si>
    <t xml:space="preserve">linkasia1@live.com</t>
  </si>
  <si>
    <t xml:space="preserve">EDAKKANDAN, POST ERINGALLUR,, Via VENGARA, MALAPPURAM DT.</t>
  </si>
  <si>
    <t xml:space="preserve">HAMZA K.P.</t>
  </si>
  <si>
    <t xml:space="preserve">0561916535</t>
  </si>
  <si>
    <t xml:space="preserve">49625030633648</t>
  </si>
  <si>
    <t xml:space="preserve">kavilkph@gmail.com</t>
  </si>
  <si>
    <t xml:space="preserve">KAVIL PEEDIKAYIL, KUNNUMMAKKARA , POST VADAKARA, CALICUT</t>
  </si>
  <si>
    <t xml:space="preserve">MAHAMOOD K.</t>
  </si>
  <si>
    <t xml:space="preserve">0558846750</t>
  </si>
  <si>
    <t xml:space="preserve">ameerkp001@gmail.com</t>
  </si>
  <si>
    <t xml:space="preserve">SUMAYYA MANZIL, POST MAYYIL, PIN-670602, KANNUR DISTRICT, 498-276073</t>
  </si>
  <si>
    <t xml:space="preserve">VARUGHESE ABRAHAM</t>
  </si>
  <si>
    <t xml:space="preserve">0508944601</t>
  </si>
  <si>
    <t xml:space="preserve">9846351956</t>
  </si>
  <si>
    <t xml:space="preserve">avabraham1956@gmail.com</t>
  </si>
  <si>
    <t xml:space="preserve">AMPALATHINKAL HOUSE, PULLAD, THIRUVALLA, KERALA STATE</t>
  </si>
  <si>
    <t xml:space="preserve">ABDURAHIMAN T.</t>
  </si>
  <si>
    <t xml:space="preserve">0503434484</t>
  </si>
  <si>
    <t xml:space="preserve">9656390000</t>
  </si>
  <si>
    <t xml:space="preserve">theyyempattil@gmail.com</t>
  </si>
  <si>
    <t xml:space="preserve">PARAVANNUR, P.O. KALPAKANCHERY, MALAPURAM DIST.</t>
  </si>
  <si>
    <t xml:space="preserve">JOSE THOMAS</t>
  </si>
  <si>
    <t xml:space="preserve">0508500249</t>
  </si>
  <si>
    <t xml:space="preserve">9633233359</t>
  </si>
  <si>
    <t xml:space="preserve">josethomas54@gmail.com</t>
  </si>
  <si>
    <t xml:space="preserve">PALAMOOTTIL HOUSE, YGRA 23A, KURAVANKONAM, KOWDIAR,TRIVANDRUM, KERALA</t>
  </si>
  <si>
    <t xml:space="preserve">VENUGOPALAN NAIR</t>
  </si>
  <si>
    <t xml:space="preserve">0506327359</t>
  </si>
  <si>
    <t xml:space="preserve">473614715</t>
  </si>
  <si>
    <t xml:space="preserve">nairkvg@emirates.net.ae</t>
  </si>
  <si>
    <t xml:space="preserve">SOWPARNIKA (KAMALALAYAM), KUTTOR POST, THIRUVALLA, -6</t>
  </si>
  <si>
    <t xml:space="preserve">JOYKUTTY T. M.</t>
  </si>
  <si>
    <t xml:space="preserve">0523154565</t>
  </si>
  <si>
    <t xml:space="preserve">4735227229</t>
  </si>
  <si>
    <t xml:space="preserve">highness1948@gmail.com</t>
  </si>
  <si>
    <t xml:space="preserve">THUNDIYIL MANNIL HOUSE, PUTHUSSERIMALA POST</t>
  </si>
  <si>
    <t xml:space="preserve">SAYED ABDUL RASHEED</t>
  </si>
  <si>
    <t xml:space="preserve">0506310324</t>
  </si>
  <si>
    <t xml:space="preserve">9895064464</t>
  </si>
  <si>
    <t xml:space="preserve">hamshad@yahoo.com</t>
  </si>
  <si>
    <t xml:space="preserve">NEAR HOLY FAMILY CHURCH,, THALAPPU, SOUTH BAZAAR,KANNUR-670002</t>
  </si>
  <si>
    <t xml:space="preserve">EAPEN JOHN</t>
  </si>
  <si>
    <t xml:space="preserve">0506324347</t>
  </si>
  <si>
    <t xml:space="preserve">eapenjohnuaq@yahoo.com</t>
  </si>
  <si>
    <t xml:space="preserve">KODURUZHATHIL HOUSE, KEEKOZHOOR POST, 0091 4682277841</t>
  </si>
  <si>
    <t xml:space="preserve">SALEEM C.P.R.</t>
  </si>
  <si>
    <t xml:space="preserve">0559269400</t>
  </si>
  <si>
    <t xml:space="preserve">46823426709656822462</t>
  </si>
  <si>
    <t xml:space="preserve">arbat.quran@gmail.com</t>
  </si>
  <si>
    <t xml:space="preserve">SALEEM MANZIL, IRAVAN POST, KONNY-689691, PATHANAMTHITTA</t>
  </si>
  <si>
    <t xml:space="preserve">DAVID VINCENT P.</t>
  </si>
  <si>
    <t xml:space="preserve">0506572104</t>
  </si>
  <si>
    <t xml:space="preserve">4842663605</t>
  </si>
  <si>
    <t xml:space="preserve">vpalayur@gmail.com</t>
  </si>
  <si>
    <t xml:space="preserve">PALAYUR HOUSE, CHAVAKKAD POST</t>
  </si>
  <si>
    <t xml:space="preserve">VIDYASAGAR.T.P.</t>
  </si>
  <si>
    <t xml:space="preserve">0506263139</t>
  </si>
  <si>
    <t xml:space="preserve">4912505192</t>
  </si>
  <si>
    <t xml:space="preserve">tpvsagar@gmail.com</t>
  </si>
  <si>
    <t xml:space="preserve">LEKSHMI NILAYAM, KUMBALACODE POST, PAZHAYANNOOU, TRICHUR</t>
  </si>
  <si>
    <t xml:space="preserve">KUNHAMBU C.</t>
  </si>
  <si>
    <t xml:space="preserve">0508948433</t>
  </si>
  <si>
    <t xml:space="preserve">499410346</t>
  </si>
  <si>
    <t xml:space="preserve">ckunhambu@gmail.com</t>
  </si>
  <si>
    <t xml:space="preserve">MUNDAMANI, POST RAJAPURAM, VIA ANANDASRAM, KASARGOD</t>
  </si>
  <si>
    <t xml:space="preserve">Z. HUSSAIN</t>
  </si>
  <si>
    <t xml:space="preserve">0505774164</t>
  </si>
  <si>
    <t xml:space="preserve">7212661168</t>
  </si>
  <si>
    <t xml:space="preserve">haneefa.group@yahoo.com</t>
  </si>
  <si>
    <t xml:space="preserve">Z.A.INDUSTRIES, AJMAL HUSSAIN HAJI, HAJI MANSION CAMP, AMRAVATI (M.S.)</t>
  </si>
  <si>
    <t xml:space="preserve">CHERIAN S.M.</t>
  </si>
  <si>
    <t xml:space="preserve">0504532556</t>
  </si>
  <si>
    <t xml:space="preserve">ssmcn@hotmail.com</t>
  </si>
  <si>
    <t xml:space="preserve">SANTHI SADANAM HOUSE, ATTHIPALLI, POST, GUDALLUR, NILGIRIS, 00919747424058</t>
  </si>
  <si>
    <t xml:space="preserve">SASIDHARAN K.K.</t>
  </si>
  <si>
    <t xml:space="preserve">0506321260</t>
  </si>
  <si>
    <t xml:space="preserve">48722124989745098033</t>
  </si>
  <si>
    <t xml:space="preserve">sagcare1@emirates.net.ae</t>
  </si>
  <si>
    <t xml:space="preserve">KANJIRA PARAMBIL HOUSE, THIRUVATHRA POST, CHAVAKADU</t>
  </si>
  <si>
    <t xml:space="preserve">MOHAMED UNAS K.N.</t>
  </si>
  <si>
    <t xml:space="preserve">0506330326</t>
  </si>
  <si>
    <t xml:space="preserve">9037444004</t>
  </si>
  <si>
    <t xml:space="preserve">unas.mohd@gmail.com</t>
  </si>
  <si>
    <t xml:space="preserve">'AMAN', NEAR GOVT.PRESS, PODIKKUNNU, PALLIKKUNNU.PO.,KANNUR DT, KERALA</t>
  </si>
  <si>
    <t xml:space="preserve">MOHAMED C.V.</t>
  </si>
  <si>
    <t xml:space="preserve">0506323721</t>
  </si>
  <si>
    <t xml:space="preserve">mohammedcv@hotmail.com</t>
  </si>
  <si>
    <t xml:space="preserve">POST KADANCHERY, VIA KALADY, MALAPPURAM, KERALA</t>
  </si>
  <si>
    <t xml:space="preserve">SHAH SIVARAMAN V.P.</t>
  </si>
  <si>
    <t xml:space="preserve">0507689598</t>
  </si>
  <si>
    <t xml:space="preserve">4702661111</t>
  </si>
  <si>
    <t xml:space="preserve">shah58in@gmail.com</t>
  </si>
  <si>
    <t xml:space="preserve">NEDIYAVARUVILA HOUSE, VENKULAM, EDAVA POST, TRIVANDRUM-695311, KERALA</t>
  </si>
  <si>
    <t xml:space="preserve">HAMZA M. K</t>
  </si>
  <si>
    <t xml:space="preserve">0556740561</t>
  </si>
  <si>
    <t xml:space="preserve">4994237032</t>
  </si>
  <si>
    <t xml:space="preserve">hamzaaps@gmail.com</t>
  </si>
  <si>
    <t xml:space="preserve">PEARL VILLA, ORAVANGARA, POST KALANAD</t>
  </si>
  <si>
    <t xml:space="preserve">BEKAL SHEIK IMAM</t>
  </si>
  <si>
    <t xml:space="preserve">0506791490</t>
  </si>
  <si>
    <t xml:space="preserve">4952572313</t>
  </si>
  <si>
    <t xml:space="preserve">alqasimiasharjah@gmail.com</t>
  </si>
  <si>
    <t xml:space="preserve">BLUEMOON VILLA 17,KARANTHOOR, KUNNAMANGALAM, CALICUT, KERALA</t>
  </si>
  <si>
    <t xml:space="preserve">CHACKO P.K.</t>
  </si>
  <si>
    <t xml:space="preserve">0507961950</t>
  </si>
  <si>
    <t xml:space="preserve">9188795033</t>
  </si>
  <si>
    <t xml:space="preserve">chackoporathoor@gmail.com</t>
  </si>
  <si>
    <t xml:space="preserve">PORATHOOR HOUSE, POST PALLUVAI, CHAVAKKAD (VIA)</t>
  </si>
  <si>
    <t xml:space="preserve">ABUL KARIM M.P.</t>
  </si>
  <si>
    <t xml:space="preserve">0506458298</t>
  </si>
  <si>
    <t xml:space="preserve">4872603442602</t>
  </si>
  <si>
    <t xml:space="preserve">MUSLIMVEETIL, POST VENGITANGU -680510</t>
  </si>
  <si>
    <t xml:space="preserve">MADHAVAN NAIR V.</t>
  </si>
  <si>
    <t xml:space="preserve">0506343893</t>
  </si>
  <si>
    <t xml:space="preserve">9746327295</t>
  </si>
  <si>
    <t xml:space="preserve">rajnamadhu@hotmail.com</t>
  </si>
  <si>
    <t xml:space="preserve">VENGAYIL HOUSE,, THACHANGAD, POST PANAYAL</t>
  </si>
  <si>
    <t xml:space="preserve">BHANUVIKRAMAN NAIR</t>
  </si>
  <si>
    <t xml:space="preserve">0504776140</t>
  </si>
  <si>
    <t xml:space="preserve">9847399196</t>
  </si>
  <si>
    <t xml:space="preserve">bvnair019@gmail.com</t>
  </si>
  <si>
    <t xml:space="preserve">MAPRAMPALLIL, CHAITHANYA, MALLAPPALLY (EAST) POST.- 689584</t>
  </si>
  <si>
    <t xml:space="preserve">MOHAMED BASHEER T.P.</t>
  </si>
  <si>
    <t xml:space="preserve">0505678719</t>
  </si>
  <si>
    <t xml:space="preserve">9539544445</t>
  </si>
  <si>
    <t xml:space="preserve">bashirtp@emirates.net.ae</t>
  </si>
  <si>
    <t xml:space="preserve">THAIKANDY PARAMBIL,, MUTHUVATTOOR POST, CHAVAKKAD.</t>
  </si>
  <si>
    <t xml:space="preserve">NAIR G.R.</t>
  </si>
  <si>
    <t xml:space="preserve">0556990881</t>
  </si>
  <si>
    <t xml:space="preserve">vimalraj3030@gmail.com</t>
  </si>
  <si>
    <t xml:space="preserve">PANAYARAKONATHU PUTHEN VEEDU, ALTHARAMOODU POST, ALAMCODU VIA, *</t>
  </si>
  <si>
    <t xml:space="preserve">LUKOSE K.J.</t>
  </si>
  <si>
    <t xml:space="preserve">0506337729</t>
  </si>
  <si>
    <t xml:space="preserve">4815735874629</t>
  </si>
  <si>
    <t xml:space="preserve">kjlukose@hotmail.com</t>
  </si>
  <si>
    <t xml:space="preserve">NAVAMANA, PUTHUPPALLY-68601, KOTTAYAM DISTRICT, KERALA</t>
  </si>
  <si>
    <t xml:space="preserve">SAJEEV C. BHASKARAN</t>
  </si>
  <si>
    <t xml:space="preserve">0506966124</t>
  </si>
  <si>
    <t xml:space="preserve">487630605</t>
  </si>
  <si>
    <t xml:space="preserve">sajeev64@gmail.com</t>
  </si>
  <si>
    <t xml:space="preserve">CHIRUKANDATH HOUSE, POST, MANALUR NORTH, THRISSUR</t>
  </si>
  <si>
    <t xml:space="preserve">DINESHAN P.C.</t>
  </si>
  <si>
    <t xml:space="preserve">0508604571</t>
  </si>
  <si>
    <t xml:space="preserve">4972747449</t>
  </si>
  <si>
    <t xml:space="preserve">pcdineshan@gmail.com</t>
  </si>
  <si>
    <t xml:space="preserve">CHATHOTH HOUSE, PALLIKUNNU, KANNUR DISTRICT-670004, KERALA</t>
  </si>
  <si>
    <t xml:space="preserve">RAVINDRAN N.G.</t>
  </si>
  <si>
    <t xml:space="preserve">0504117840</t>
  </si>
  <si>
    <t xml:space="preserve">4802876942</t>
  </si>
  <si>
    <t xml:space="preserve">beena.beenaravi@gmail.com</t>
  </si>
  <si>
    <t xml:space="preserve">NAYARU PARAMBIL HOUSE, POST KARANCHIRA,THRISSUR.</t>
  </si>
  <si>
    <t xml:space="preserve">MOHAMED KUNHI K.</t>
  </si>
  <si>
    <t xml:space="preserve">0558748481</t>
  </si>
  <si>
    <t xml:space="preserve">46722055968606220762</t>
  </si>
  <si>
    <t xml:space="preserve">C.H.NAGAR, OLD BEACH, POST KANHANGAD SOUTH, VIA</t>
  </si>
  <si>
    <t xml:space="preserve">JAYAPRASAD V.</t>
  </si>
  <si>
    <t xml:space="preserve">0506791287</t>
  </si>
  <si>
    <t xml:space="preserve">4742596752</t>
  </si>
  <si>
    <t xml:space="preserve">jayan.ahi2012@yahoo.com</t>
  </si>
  <si>
    <t xml:space="preserve">J.S. BEITH,KALLUVATHUKKAL-P.O.,, NEAR U.P.SCHOOL,KOLLAM.</t>
  </si>
  <si>
    <t xml:space="preserve">VIDHYADHARAN</t>
  </si>
  <si>
    <t xml:space="preserve">0505761195</t>
  </si>
  <si>
    <t xml:space="preserve">47026776518086150474</t>
  </si>
  <si>
    <t xml:space="preserve">cpvidhya8@gmail.com</t>
  </si>
  <si>
    <t xml:space="preserve">KADAYIL VEEDU, KODUVAZHAVOOR POST, KILIMANOOR</t>
  </si>
  <si>
    <t xml:space="preserve">THAHIR T.P.</t>
  </si>
  <si>
    <t xml:space="preserve">0507969951</t>
  </si>
  <si>
    <t xml:space="preserve">THAIKANDI PARAMBIL HOUSE, HOSPITAL ROAD, CHAVAKKADU POST</t>
  </si>
  <si>
    <t xml:space="preserve">KRISHNAN A.</t>
  </si>
  <si>
    <t xml:space="preserve">0507264437</t>
  </si>
  <si>
    <t xml:space="preserve">SREEKRISHNA NIVAS,, Nr. RANJEES THEATRE, PALLAM,KASARAGOD, 0091 9946128977</t>
  </si>
  <si>
    <t xml:space="preserve">ABDULLA V.P. (CHELERY)</t>
  </si>
  <si>
    <t xml:space="preserve">0506975349</t>
  </si>
  <si>
    <t xml:space="preserve">4972768372</t>
  </si>
  <si>
    <t xml:space="preserve">abdullavpchelery@hotmail.com</t>
  </si>
  <si>
    <t xml:space="preserve">PEETIYIL HOUSE, CHELERI POST, PIN-670604</t>
  </si>
  <si>
    <t xml:space="preserve">A</t>
  </si>
  <si>
    <t xml:space="preserve">DR.MATHEWS ABRAHAM</t>
  </si>
  <si>
    <t xml:space="preserve">0504624357</t>
  </si>
  <si>
    <t xml:space="preserve">roymathews@yahoo.com</t>
  </si>
  <si>
    <t xml:space="preserve">A/ 12 INDIRA NAGAR, KOTTAYAM -38</t>
  </si>
  <si>
    <t xml:space="preserve">DR. ANNAMMA MATHEWS</t>
  </si>
  <si>
    <t xml:space="preserve">0504976434</t>
  </si>
  <si>
    <t xml:space="preserve">sunshine20055@gmail.com</t>
  </si>
  <si>
    <t xml:space="preserve">A/12, INDIRA NAGAR, KOTTAYAM -38, KERALA STATE</t>
  </si>
  <si>
    <t xml:space="preserve">ABRAHAM V.A.</t>
  </si>
  <si>
    <t xml:space="preserve">0506325987</t>
  </si>
  <si>
    <t xml:space="preserve">4828234464</t>
  </si>
  <si>
    <t xml:space="preserve">implog@eim.ae</t>
  </si>
  <si>
    <t xml:space="preserve">11/173K, ASSERT CITADEL, VADAKKEMUNDAKATHIL,, KAIRALI SOCIETY, PODIMATTOM, PARATHODU P.O.,KANJIRAPA</t>
  </si>
  <si>
    <t xml:space="preserve">A-</t>
  </si>
  <si>
    <t xml:space="preserve">VINAY KUMAR GUPTA</t>
  </si>
  <si>
    <t xml:space="preserve">0506324674</t>
  </si>
  <si>
    <t xml:space="preserve">9811366622</t>
  </si>
  <si>
    <t xml:space="preserve">vinay9716@yahoo.com</t>
  </si>
  <si>
    <t xml:space="preserve">40/1 MEHRAULI, NEW DELHI-30, INDIA</t>
  </si>
  <si>
    <t xml:space="preserve">MOHINUDIN E.K.</t>
  </si>
  <si>
    <t xml:space="preserve">0507457177</t>
  </si>
  <si>
    <t xml:space="preserve">moin2hr@eim.ae</t>
  </si>
  <si>
    <t xml:space="preserve">T.C. 20/1195 (1) RACHANA,MELARANNOOR ROAD, KARAMANA POST,TRIVANDRUM,KERALA, 471-343572</t>
  </si>
  <si>
    <t xml:space="preserve">BHARATH RAM K.</t>
  </si>
  <si>
    <t xml:space="preserve">0502873455</t>
  </si>
  <si>
    <t xml:space="preserve">4734247490</t>
  </si>
  <si>
    <t xml:space="preserve">krishnanbharath1965@gmail.com</t>
  </si>
  <si>
    <t xml:space="preserve">ROSHAN VILLA, PALACE RD.,, ATTINGAL, TRIVANDRUM</t>
  </si>
  <si>
    <t xml:space="preserve">VIJAYAKUMAR.V.</t>
  </si>
  <si>
    <t xml:space="preserve">0568969943</t>
  </si>
  <si>
    <t xml:space="preserve">4672237896</t>
  </si>
  <si>
    <t xml:space="preserve">v.jayakumarvaniyan@gmail.com</t>
  </si>
  <si>
    <t xml:space="preserve">MUKKUNNOTH HOUSE, BARE POST, UDMA VIA, KASARGOD, KERALA INDIA</t>
  </si>
  <si>
    <t xml:space="preserve">MADHU P.V.</t>
  </si>
  <si>
    <t xml:space="preserve">0506796624</t>
  </si>
  <si>
    <t xml:space="preserve">46722371638086386423</t>
  </si>
  <si>
    <t xml:space="preserve">PERILA VALAPPIL HOUSE, POST UDMA,KASARAGOD,KERALA</t>
  </si>
  <si>
    <t xml:space="preserve">P.P.RAFI</t>
  </si>
  <si>
    <t xml:space="preserve">0507472572</t>
  </si>
  <si>
    <t xml:space="preserve">48725585339946163164</t>
  </si>
  <si>
    <t xml:space="preserve">rafipallikkal@gmail.com</t>
  </si>
  <si>
    <t xml:space="preserve">PALLIKKAL HOUSE, PRINCE VILLA,, POST CHITTATTUKARA-680511,TRICHUR</t>
  </si>
  <si>
    <t xml:space="preserve">BALAKRISHNAN E.M.</t>
  </si>
  <si>
    <t xml:space="preserve">0507268110</t>
  </si>
  <si>
    <t xml:space="preserve">9495112276</t>
  </si>
  <si>
    <t xml:space="preserve">balakrishnanerattapanakal@gmail.com</t>
  </si>
  <si>
    <t xml:space="preserve">ABILASHAM ERATTAPANAKKAL,, POST BARE, VIA-UDMA, KASARAGOD</t>
  </si>
  <si>
    <t xml:space="preserve">JAYAN S.</t>
  </si>
  <si>
    <t xml:space="preserve">0506967565</t>
  </si>
  <si>
    <t xml:space="preserve">jayansia@gmail.com</t>
  </si>
  <si>
    <t xml:space="preserve">K.P.5-33, KARAKULAM, NEDUMANGAD, TRIVANDRUM DISTRICT, KERALA, 0091 471 2439437</t>
  </si>
  <si>
    <t xml:space="preserve">UMMER..P.M.</t>
  </si>
  <si>
    <t xml:space="preserve">0504882007</t>
  </si>
  <si>
    <t xml:space="preserve">4872602194956290350</t>
  </si>
  <si>
    <t xml:space="preserve">ummermohamed007@gmail.com</t>
  </si>
  <si>
    <t xml:space="preserve">PANIKKAVEETIL HOUSE, THRITHALLOOR, TRICHUR DIST,KERALA</t>
  </si>
  <si>
    <t xml:space="preserve">O-</t>
  </si>
  <si>
    <t xml:space="preserve">JAMALUDEEN T.P.</t>
  </si>
  <si>
    <t xml:space="preserve">0504583188</t>
  </si>
  <si>
    <t xml:space="preserve">jamaltp@eim.ae</t>
  </si>
  <si>
    <t xml:space="preserve">THAVALATHIL, MUTHUVATTOOR, POST CHAVAKKAD, THRISSUR</t>
  </si>
  <si>
    <t xml:space="preserve">K.M. RAFI</t>
  </si>
  <si>
    <t xml:space="preserve">0505869439</t>
  </si>
  <si>
    <t xml:space="preserve">8281415221</t>
  </si>
  <si>
    <t xml:space="preserve">safwanshamna@gmail.com</t>
  </si>
  <si>
    <t xml:space="preserve">KOLAYATH HOUSE, POST CHERUVATHUR, KASARGOD DISTRICT, KERALA</t>
  </si>
  <si>
    <t xml:space="preserve">ABDUL JABBAR T.P.</t>
  </si>
  <si>
    <t xml:space="preserve">0506776702</t>
  </si>
  <si>
    <t xml:space="preserve">9605060929</t>
  </si>
  <si>
    <t xml:space="preserve">jabbartaj@gmail.com</t>
  </si>
  <si>
    <t xml:space="preserve">THAJ MANZIL, POST IRINGAPURAM, VIA PUTHAMPALLI, PIN-680103</t>
  </si>
  <si>
    <t xml:space="preserve">LAKSHMANAN K.</t>
  </si>
  <si>
    <t xml:space="preserve">0505290084</t>
  </si>
  <si>
    <t xml:space="preserve">4672205760</t>
  </si>
  <si>
    <t xml:space="preserve">laxmankolavayal@yahoo.com</t>
  </si>
  <si>
    <t xml:space="preserve">KOLAVAYAL HOUSE, CHITHARI POST, POST CHITHARI, VIA- KANHAGAD</t>
  </si>
  <si>
    <t xml:space="preserve">K.V.VIJAYAKUMAR</t>
  </si>
  <si>
    <t xml:space="preserve">0506318589</t>
  </si>
  <si>
    <t xml:space="preserve">455</t>
  </si>
  <si>
    <t xml:space="preserve">kanoonme@emirates.net.ae</t>
  </si>
  <si>
    <t xml:space="preserve">MADHAVI NIVAS, PALAKKUNU, BEKAL POST, PIN 671318</t>
  </si>
  <si>
    <t xml:space="preserve">GOPALAKRISHNAN K.</t>
  </si>
  <si>
    <t xml:space="preserve">0505487803</t>
  </si>
  <si>
    <t xml:space="preserve">gopuraj@emirates.net.ae</t>
  </si>
  <si>
    <t xml:space="preserve">GOPEEKRISHNA, VARAM ROAD, POST KANNADI PARAMBA</t>
  </si>
  <si>
    <t xml:space="preserve">GOPINATHAN M.</t>
  </si>
  <si>
    <t xml:space="preserve">0508732837</t>
  </si>
  <si>
    <t xml:space="preserve">MADATHIL HOUSE, MADIKAR, KANHANGAD, KERALA, 0091467 2269016</t>
  </si>
  <si>
    <t xml:space="preserve">VASANTHAN.V.V.</t>
  </si>
  <si>
    <t xml:space="preserve">0502135427</t>
  </si>
  <si>
    <t xml:space="preserve">VADAKEY VALAPPIL HOUE, POST UDMA, KASARGOD</t>
  </si>
  <si>
    <t xml:space="preserve">KRISHNAN P.</t>
  </si>
  <si>
    <t xml:space="preserve">0506993585</t>
  </si>
  <si>
    <t xml:space="preserve">9744358426</t>
  </si>
  <si>
    <t xml:space="preserve">PAKYARA HOUSE, POST BACKAL, KASARGOD</t>
  </si>
  <si>
    <t xml:space="preserve">AHAMED KHAN O.Y.</t>
  </si>
  <si>
    <t xml:space="preserve">0506261250</t>
  </si>
  <si>
    <t xml:space="preserve">9037852308</t>
  </si>
  <si>
    <t xml:space="preserve">iaajman@gmail.com</t>
  </si>
  <si>
    <t xml:space="preserve">H. NO.6/1496, OPP. PUTHIYA PALLI,, IRUMBICHI ROAD, MATTANCHERY, COCHIN-2</t>
  </si>
  <si>
    <t xml:space="preserve">MOHAMED ASHRAF T.V.</t>
  </si>
  <si>
    <t xml:space="preserve">0553556995</t>
  </si>
  <si>
    <t xml:space="preserve">9847722287</t>
  </si>
  <si>
    <t xml:space="preserve">ashrafchithari786@gmail.com</t>
  </si>
  <si>
    <t xml:space="preserve">HAPPY HOUSE, ETTAMMAL, KOLAVAYAL.PO, KANHANGAD,KASARAGOD DT, KERALA</t>
  </si>
  <si>
    <t xml:space="preserve">MOHAMMED ALI C.</t>
  </si>
  <si>
    <t xml:space="preserve">0505198980</t>
  </si>
  <si>
    <t xml:space="preserve">497462302</t>
  </si>
  <si>
    <t xml:space="preserve">asmamol@yahoo.com</t>
  </si>
  <si>
    <t xml:space="preserve">ASMA MANZIL, CHOKRANANDIYIL HOUSE, POST CHERUPARAMBA, VIA- THUVAKUNNU</t>
  </si>
  <si>
    <t xml:space="preserve">JACOB MATHAI</t>
  </si>
  <si>
    <t xml:space="preserve">0506342755</t>
  </si>
  <si>
    <t xml:space="preserve">8943188641</t>
  </si>
  <si>
    <t xml:space="preserve">beracah2011@gmail.com</t>
  </si>
  <si>
    <t xml:space="preserve">PAYITAYIL BERACAH, ERUVA EAST,, POST KAYAMKULAM, ALAUPPUZHA-690572.</t>
  </si>
  <si>
    <t xml:space="preserve">ABDUL HAMEED T.V.</t>
  </si>
  <si>
    <t xml:space="preserve">0504902630</t>
  </si>
  <si>
    <t xml:space="preserve">4982416</t>
  </si>
  <si>
    <t xml:space="preserve">THAZHATHU VEETTIL, CHELLERI POST PIN 670604</t>
  </si>
  <si>
    <t xml:space="preserve">MOOSA K.</t>
  </si>
  <si>
    <t xml:space="preserve">0504961097</t>
  </si>
  <si>
    <t xml:space="preserve">85474065289048220107</t>
  </si>
  <si>
    <t xml:space="preserve">KOTTAKKALANDAVIDE, POST PALLIKKARA, KOZHIKODE, KERALA</t>
  </si>
  <si>
    <t xml:space="preserve">MOHANAN B.K.</t>
  </si>
  <si>
    <t xml:space="preserve">0505353841</t>
  </si>
  <si>
    <t xml:space="preserve">4872290625</t>
  </si>
  <si>
    <t xml:space="preserve">bkmohanan@yahoo.com</t>
  </si>
  <si>
    <t xml:space="preserve">BLANKATUKARAN HOUSE, POST KUNDALIYOOR, ENGANDIYOOR</t>
  </si>
  <si>
    <t xml:space="preserve">MOOSSA P.</t>
  </si>
  <si>
    <t xml:space="preserve">0505472867</t>
  </si>
  <si>
    <t xml:space="preserve">49046480999613238377025040020</t>
  </si>
  <si>
    <t xml:space="preserve">munr2007@gmail.com</t>
  </si>
  <si>
    <t xml:space="preserve">POOTHIKANDIYIL HOUSE, POST KADAVATHOOR ,KANNUR,KERALA</t>
  </si>
  <si>
    <t xml:space="preserve">AZIZKUTTY A.T.</t>
  </si>
  <si>
    <t xml:space="preserve">0507861383</t>
  </si>
  <si>
    <t xml:space="preserve">azizkutty_2049@yahoo.com</t>
  </si>
  <si>
    <t xml:space="preserve">BARKATH MANZIL, CHARUMOODU, POST, PIN-690505, ALAPPUZHA, 479-382570</t>
  </si>
  <si>
    <t xml:space="preserve">BALAKRISHNAN K.</t>
  </si>
  <si>
    <t xml:space="preserve">0559513148</t>
  </si>
  <si>
    <t xml:space="preserve">9400117615</t>
  </si>
  <si>
    <t xml:space="preserve">KANNIKULANGARA, POST UDAMA, KASARGOD DISTRICT, KERALA</t>
  </si>
  <si>
    <t xml:space="preserve">ABDUL KADER A.</t>
  </si>
  <si>
    <t xml:space="preserve">0554072550</t>
  </si>
  <si>
    <t xml:space="preserve">khaliq2015@yandex.com</t>
  </si>
  <si>
    <t xml:space="preserve">THANEEM, C/O JALASSOOR HOUSE, POST CHITHARI, VIA PALLIKKARA</t>
  </si>
  <si>
    <t xml:space="preserve">MOHAMMED KUNHI P.</t>
  </si>
  <si>
    <t xml:space="preserve">0502781481</t>
  </si>
  <si>
    <t xml:space="preserve">thottymohd@gmail.com</t>
  </si>
  <si>
    <t xml:space="preserve">THOTTIL HOUSE,OPP. JUMA MASJID, THOTTI, PALLIKKARA POST.KASARAGOD DT</t>
  </si>
  <si>
    <t xml:space="preserve">ASHRAF K.</t>
  </si>
  <si>
    <t xml:space="preserve">0544537336</t>
  </si>
  <si>
    <t xml:space="preserve">499772931</t>
  </si>
  <si>
    <t xml:space="preserve">ashrafkallingal112@gmail.com</t>
  </si>
  <si>
    <t xml:space="preserve">A.K.HOUSE, KALLINGA, POST PALLIKKARA</t>
  </si>
  <si>
    <t xml:space="preserve">AHAMED AYYUB</t>
  </si>
  <si>
    <t xml:space="preserve">0504810512</t>
  </si>
  <si>
    <t xml:space="preserve">4875513289847618279</t>
  </si>
  <si>
    <t xml:space="preserve">ahmedayub786@gmail.com</t>
  </si>
  <si>
    <t xml:space="preserve">POST ERINGHAPURAM, VIA, PUTHANPALLY, PIN- 680103</t>
  </si>
  <si>
    <t xml:space="preserve">ISAHAC K.V.</t>
  </si>
  <si>
    <t xml:space="preserve">0507657438</t>
  </si>
  <si>
    <t xml:space="preserve">issack60@eim.ae</t>
  </si>
  <si>
    <t xml:space="preserve">KADAMPAKATTU HOUSE, KEEZHILLAM, POST, ERNAKULAM DISTRICT, 0091-484-653546</t>
  </si>
  <si>
    <t xml:space="preserve">MOHAMED KUNHI B.</t>
  </si>
  <si>
    <t xml:space="preserve">0508671726</t>
  </si>
  <si>
    <t xml:space="preserve">junaidbekal@gmail.com</t>
  </si>
  <si>
    <t xml:space="preserve">'AL AMEEN HOSE',BEKAL FORT,, POST PALLIKERE - 671316, 773847 772302/9400439502</t>
  </si>
  <si>
    <t xml:space="preserve">MOHAMED S.THEYYAB</t>
  </si>
  <si>
    <t xml:space="preserve">0506329135</t>
  </si>
  <si>
    <t xml:space="preserve">487290339</t>
  </si>
  <si>
    <t xml:space="preserve">thayyeb1@gmail.com</t>
  </si>
  <si>
    <t xml:space="preserve">METRO HOUSE CHETTUWAY, KUNDALIYUR POST</t>
  </si>
  <si>
    <t xml:space="preserve">ISMAIL IBRAHIM NAIK</t>
  </si>
  <si>
    <t xml:space="preserve">0509644134</t>
  </si>
  <si>
    <t xml:space="preserve">2225003442</t>
  </si>
  <si>
    <t xml:space="preserve">naikismail@gmail.com</t>
  </si>
  <si>
    <t xml:space="preserve">605/606-A Sagar Park,Amrith Nagar, Ghatkoper (West), Mumbai -400086</t>
  </si>
  <si>
    <t xml:space="preserve">K.BALAKRISHNAN (BALAN)</t>
  </si>
  <si>
    <t xml:space="preserve">0508663062</t>
  </si>
  <si>
    <t xml:space="preserve">499794224</t>
  </si>
  <si>
    <t xml:space="preserve">balansharjah@gmail.com</t>
  </si>
  <si>
    <t xml:space="preserve">KAYIL VEEDU, THACHANGAD, P.O. PANIYAL, VIA BEKAL</t>
  </si>
  <si>
    <t xml:space="preserve">ABDUL KAREEM KOCHUKUNJU</t>
  </si>
  <si>
    <t xml:space="preserve">0505845832</t>
  </si>
  <si>
    <t xml:space="preserve">zamankk@gmail.com</t>
  </si>
  <si>
    <t xml:space="preserve">CC VII/1033, KAPPALANDIMUKKU, COCHIN-2, ERNAKULAM DISTRICT, 0091-484-223323</t>
  </si>
  <si>
    <t xml:space="preserve">SHAKEER K.U.</t>
  </si>
  <si>
    <t xml:space="preserve">0506461197</t>
  </si>
  <si>
    <t xml:space="preserve">shakeerveetil@gmail.com</t>
  </si>
  <si>
    <t xml:space="preserve">KARAPPAM VEETTIL, POST KATTOOR, THRISSUR DISTRICT, PIN-680702, 0091 996 1936666</t>
  </si>
  <si>
    <t xml:space="preserve">ABDUL KADER P.K.</t>
  </si>
  <si>
    <t xml:space="preserve">0506469772</t>
  </si>
  <si>
    <t xml:space="preserve">9048577111</t>
  </si>
  <si>
    <t xml:space="preserve">mzsons@emirates.net.ae</t>
  </si>
  <si>
    <t xml:space="preserve">PANIKKAVEETIL KURUPATH, POST KUNDALIYOOR, TRICHUR DIST.</t>
  </si>
  <si>
    <t xml:space="preserve">UMMER.P.</t>
  </si>
  <si>
    <t xml:space="preserve">0506316170</t>
  </si>
  <si>
    <t xml:space="preserve">493327274</t>
  </si>
  <si>
    <t xml:space="preserve">pottayilummer@gmail.com</t>
  </si>
  <si>
    <t xml:space="preserve">POTTAYIL HOUSE, HOUSING COLONY, PERINTHALMANNA, MALLAPPURAM, KERALA STATE</t>
  </si>
  <si>
    <t xml:space="preserve">VELAYUDHAN.V.V.</t>
  </si>
  <si>
    <t xml:space="preserve">0552403639</t>
  </si>
  <si>
    <t xml:space="preserve">499774750</t>
  </si>
  <si>
    <t xml:space="preserve">s_hamad@emirates.net.ae</t>
  </si>
  <si>
    <t xml:space="preserve">KANADAPPAD HOUSE, PANAYAL, VIA BEKAL , KASARGOD DISTRICT</t>
  </si>
  <si>
    <t xml:space="preserve">SAJI CHERIAN</t>
  </si>
  <si>
    <t xml:space="preserve">0505769549</t>
  </si>
  <si>
    <t xml:space="preserve">4692643209</t>
  </si>
  <si>
    <t xml:space="preserve">sajijessy79@gmail.com</t>
  </si>
  <si>
    <t xml:space="preserve">THUNDIYIL HOUSE, PODIYADI POST, TIRUVALLA. PATHANAMTHITTA DIST.</t>
  </si>
  <si>
    <t xml:space="preserve">MOHAMMED K.</t>
  </si>
  <si>
    <t xml:space="preserve">0566066173</t>
  </si>
  <si>
    <t xml:space="preserve">7736388627</t>
  </si>
  <si>
    <t xml:space="preserve">suhaibkm676@gmail.com</t>
  </si>
  <si>
    <t xml:space="preserve">BAKEL KUNNU, PALLIKERE POST</t>
  </si>
  <si>
    <t xml:space="preserve">MUHAMMED OTHIYOTH</t>
  </si>
  <si>
    <t xml:space="preserve">0502045895</t>
  </si>
  <si>
    <t xml:space="preserve">496548792</t>
  </si>
  <si>
    <t xml:space="preserve">OTHIYOTH AMMAD, POST EDACHERI - 673502, VADAKARA VIA</t>
  </si>
  <si>
    <t xml:space="preserve">HARIS P.P</t>
  </si>
  <si>
    <t xml:space="preserve">0506507363</t>
  </si>
  <si>
    <t xml:space="preserve">pharispp@hotmail.com</t>
  </si>
  <si>
    <t xml:space="preserve">PUZHAKELPARAMBATH HOUSE, MANJACKEL, MAHE, 0091-490-332391</t>
  </si>
  <si>
    <t xml:space="preserve">0507105949</t>
  </si>
  <si>
    <t xml:space="preserve">4952355817</t>
  </si>
  <si>
    <t xml:space="preserve">mahamoodk2477@gmail.com</t>
  </si>
  <si>
    <t xml:space="preserve">SHAH, METHOTTU THAZHAM, POST NELLIKODE, KOZHIKODE</t>
  </si>
  <si>
    <t xml:space="preserve">IBRAHIM P.K.</t>
  </si>
  <si>
    <t xml:space="preserve">0554040785</t>
  </si>
  <si>
    <t xml:space="preserve">496553083</t>
  </si>
  <si>
    <t xml:space="preserve">pkibrahim2@gmail.com</t>
  </si>
  <si>
    <t xml:space="preserve">AL SAFA, POST PURAMERI-673503, VIA BADAGARA, KOZHIKODE DISTRICT</t>
  </si>
  <si>
    <t xml:space="preserve">AHAMEDUL KABEER K.V.</t>
  </si>
  <si>
    <t xml:space="preserve">0505991255</t>
  </si>
  <si>
    <t xml:space="preserve">8472532006</t>
  </si>
  <si>
    <t xml:space="preserve">ahamedulkabeer@hotmail.com</t>
  </si>
  <si>
    <t xml:space="preserve">COZY NEST HOUSE, POST BLANGAD, CHAVAKKAD-680506</t>
  </si>
  <si>
    <t xml:space="preserve">0506319635</t>
  </si>
  <si>
    <t xml:space="preserve">490311814</t>
  </si>
  <si>
    <t xml:space="preserve">madina06@emirates.net.ae</t>
  </si>
  <si>
    <t xml:space="preserve">ASARINTAVIDA HOUSE, EAST CHAMPAD, POST. CHAMPAD 670694</t>
  </si>
  <si>
    <t xml:space="preserve">DAMODARAN NAIR K.</t>
  </si>
  <si>
    <t xml:space="preserve">0506341132</t>
  </si>
  <si>
    <t xml:space="preserve">4672204803</t>
  </si>
  <si>
    <t xml:space="preserve">damu@hotmail.com</t>
  </si>
  <si>
    <t xml:space="preserve">LAXMI VILLA, NEAR KAILAS THEATRE, KANHANGAD, KASARGOD DISTRICT</t>
  </si>
  <si>
    <t xml:space="preserve">NAZIR E.K.</t>
  </si>
  <si>
    <t xml:space="preserve">0585636556</t>
  </si>
  <si>
    <t xml:space="preserve">4902471683</t>
  </si>
  <si>
    <t xml:space="preserve">cknazeer@hotmail.com</t>
  </si>
  <si>
    <t xml:space="preserve">E.K. HOUSE, CHAVASSERY- 670702 KANNUR DT</t>
  </si>
  <si>
    <t xml:space="preserve">RACHEL MATHEWS</t>
  </si>
  <si>
    <t xml:space="preserve">0505271981</t>
  </si>
  <si>
    <t xml:space="preserve">sam37156@emirates.net.ae</t>
  </si>
  <si>
    <t xml:space="preserve">THOMBIL HOUSE, AZHOOR, PATHANAM-, THITTA DIST, KERALA STATE, 9946466192</t>
  </si>
  <si>
    <t xml:space="preserve">SOMADAS N.R.</t>
  </si>
  <si>
    <t xml:space="preserve">0502231364</t>
  </si>
  <si>
    <t xml:space="preserve">487272514</t>
  </si>
  <si>
    <t xml:space="preserve">somadas.nr@gmail.com</t>
  </si>
  <si>
    <t xml:space="preserve">NATTUVETTI HOUSE, THANNIYAM, POST PERINGOTTUKARA</t>
  </si>
  <si>
    <t xml:space="preserve">AKBAR S.I.</t>
  </si>
  <si>
    <t xml:space="preserve">0502545300</t>
  </si>
  <si>
    <t xml:space="preserve">487509096</t>
  </si>
  <si>
    <t xml:space="preserve">hpower4u@gmail.com</t>
  </si>
  <si>
    <t xml:space="preserve">POST THIRUVATHRA, VIA CHAVAKAD</t>
  </si>
  <si>
    <t xml:space="preserve">ABRAHAM P.T.</t>
  </si>
  <si>
    <t xml:space="preserve">0508942337</t>
  </si>
  <si>
    <t xml:space="preserve">475354875</t>
  </si>
  <si>
    <t xml:space="preserve">ptabraham@hotmail.com</t>
  </si>
  <si>
    <t xml:space="preserve">KIZHAKETATHU VEEDU, PUTHUVEL, PATHANAPURAM.P.O.</t>
  </si>
  <si>
    <t xml:space="preserve">RAJAGOPALAN NAIR C.</t>
  </si>
  <si>
    <t xml:space="preserve">0506442628</t>
  </si>
  <si>
    <t xml:space="preserve">47683065083064</t>
  </si>
  <si>
    <t xml:space="preserve">crgnair@emirates.net.ae</t>
  </si>
  <si>
    <t xml:space="preserve">KUNNUMVILAYIL, PERUVELIKKARA POST</t>
  </si>
  <si>
    <t xml:space="preserve">MAHAMOOD T.V.</t>
  </si>
  <si>
    <t xml:space="preserve">0505768409</t>
  </si>
  <si>
    <t xml:space="preserve">tvmahamood262@yahoo.com</t>
  </si>
  <si>
    <t xml:space="preserve">P.O. MATTOOL NORTH, CANNONORE DIST., 04970284 2277</t>
  </si>
  <si>
    <t xml:space="preserve">ABUBACKER C.P.</t>
  </si>
  <si>
    <t xml:space="preserve">0505864133</t>
  </si>
  <si>
    <t xml:space="preserve">321230</t>
  </si>
  <si>
    <t xml:space="preserve">pockootty@yahoo.com</t>
  </si>
  <si>
    <t xml:space="preserve">BABY MAHEL, NEAR CITY BUS STAND</t>
  </si>
  <si>
    <t xml:space="preserve">MOHAMMED IQBAL C.K.</t>
  </si>
  <si>
    <t xml:space="preserve">0504772944</t>
  </si>
  <si>
    <t xml:space="preserve">4902325715</t>
  </si>
  <si>
    <t xml:space="preserve">iqbalceekey@hotmail.com</t>
  </si>
  <si>
    <t xml:space="preserve">SHAMEEM HOUSE, OPP : MUBARAKA HIIGH SCHOOL</t>
  </si>
  <si>
    <t xml:space="preserve">MATHEW JOHN</t>
  </si>
  <si>
    <t xml:space="preserve">0505478985</t>
  </si>
  <si>
    <t xml:space="preserve">474415656</t>
  </si>
  <si>
    <t xml:space="preserve">mjmathewjohn@gmail.com</t>
  </si>
  <si>
    <t xml:space="preserve">KALLUVILA HOUSE, KAITHACODE POST, PUTHOOR</t>
  </si>
  <si>
    <t xml:space="preserve">MOHAMED RAFI A.</t>
  </si>
  <si>
    <t xml:space="preserve">0504976570</t>
  </si>
  <si>
    <t xml:space="preserve">9048414131</t>
  </si>
  <si>
    <t xml:space="preserve">kochurafi@gmail.com</t>
  </si>
  <si>
    <t xml:space="preserve">BUNGLOWIL HOUSE, VETTU ROAD, KANIYAPURAM POST</t>
  </si>
  <si>
    <t xml:space="preserve">ABDU P.</t>
  </si>
  <si>
    <t xml:space="preserve">0506339423</t>
  </si>
  <si>
    <t xml:space="preserve">4875413578086428773</t>
  </si>
  <si>
    <t xml:space="preserve">abdu.mlt@gmail.com</t>
  </si>
  <si>
    <t xml:space="preserve">PERUMPARAMPATH HOUSE, P.O. KALLUR</t>
  </si>
  <si>
    <t xml:space="preserve">MOHAMMED SHEFY T.P.</t>
  </si>
  <si>
    <t xml:space="preserve">0505797569</t>
  </si>
  <si>
    <t xml:space="preserve">490332842</t>
  </si>
  <si>
    <t xml:space="preserve">mohammedshefy@yahoo.com</t>
  </si>
  <si>
    <t xml:space="preserve">AQSA, POST PARAL - 670671, CHEMBRA</t>
  </si>
  <si>
    <t xml:space="preserve">MOHAMED IQBAL V.A.</t>
  </si>
  <si>
    <t xml:space="preserve">0506453767</t>
  </si>
  <si>
    <t xml:space="preserve">VALIYA VEETIL, S.R.M. ROAD, COCHIN - 682018</t>
  </si>
  <si>
    <t xml:space="preserve">RAJAN P.K.</t>
  </si>
  <si>
    <t xml:space="preserve">0506282728</t>
  </si>
  <si>
    <t xml:space="preserve">rmrajanecs99@gmail.com</t>
  </si>
  <si>
    <t xml:space="preserve">KUTTIPARAMBIL, NEDUVAMKODE POST, KODUKULANJI, 0091-479-2465192</t>
  </si>
  <si>
    <t xml:space="preserve">SAMI K.R.</t>
  </si>
  <si>
    <t xml:space="preserve">0506976894</t>
  </si>
  <si>
    <t xml:space="preserve">487590063</t>
  </si>
  <si>
    <t xml:space="preserve">KALEERAKATH HOUSE, KADAPPURAM, POST, TRICHUR DISTRICT</t>
  </si>
  <si>
    <t xml:space="preserve">SHAMSUDDIN N.</t>
  </si>
  <si>
    <t xml:space="preserve">0502989680</t>
  </si>
  <si>
    <t xml:space="preserve">49023067379895276003</t>
  </si>
  <si>
    <t xml:space="preserve">SEENASS, PONNAYAM WEST, TELLICHERRY - 670641</t>
  </si>
  <si>
    <t xml:space="preserve">NAJEEM V.A.K.</t>
  </si>
  <si>
    <t xml:space="preserve">0506246393</t>
  </si>
  <si>
    <t xml:space="preserve">najemvaliyaveettil@gmail.com</t>
  </si>
  <si>
    <t xml:space="preserve">VALIYA VEETTIL, S.R.M. ROAD, COCHIN - 682018</t>
  </si>
  <si>
    <t xml:space="preserve">MOHAMED JALEEL V.A.</t>
  </si>
  <si>
    <t xml:space="preserve">0506246131</t>
  </si>
  <si>
    <t xml:space="preserve">vamjaleel@gmail.com</t>
  </si>
  <si>
    <t xml:space="preserve">VALIYAVEETTIL HOUSE, FORT VALLEY HOUSING COLONY, ATTANI JUNCTION, KAKKANAD, KERALA</t>
  </si>
  <si>
    <t xml:space="preserve">BABY THOMAS</t>
  </si>
  <si>
    <t xml:space="preserve">0506311285</t>
  </si>
  <si>
    <t xml:space="preserve">50474412124</t>
  </si>
  <si>
    <t xml:space="preserve">baby.zionil@gmail.com</t>
  </si>
  <si>
    <t xml:space="preserve">ZIONIL, IMMANUEL HOUSE, EAST KULAKKADA. POST</t>
  </si>
  <si>
    <t xml:space="preserve">MOHAMEDALI N.P.</t>
  </si>
  <si>
    <t xml:space="preserve">0506729154</t>
  </si>
  <si>
    <t xml:space="preserve">9605717321</t>
  </si>
  <si>
    <t xml:space="preserve">npmohamedali@gmail.com</t>
  </si>
  <si>
    <t xml:space="preserve">P.O. BOX. 3706, ADU DHABI, NHARAPPULAN HOUSE, KUTTALOOR,POST OORAGAM, KIZHUMU, MALAPURAM</t>
  </si>
  <si>
    <t xml:space="preserve">BHUVANENDRAN B.</t>
  </si>
  <si>
    <t xml:space="preserve">0506358371</t>
  </si>
  <si>
    <t xml:space="preserve">48426065938547775747</t>
  </si>
  <si>
    <t xml:space="preserve">aamsterdamfg@gmail.com</t>
  </si>
  <si>
    <t xml:space="preserve">LALIL, WARD 2/231, THOTTAKKATTUKARA, ALUVA- 8</t>
  </si>
  <si>
    <t xml:space="preserve">HEMACHANDRAN P.R.</t>
  </si>
  <si>
    <t xml:space="preserve">0505344346</t>
  </si>
  <si>
    <t xml:space="preserve">9947684202</t>
  </si>
  <si>
    <t xml:space="preserve">heman.mini@gmail.com</t>
  </si>
  <si>
    <t xml:space="preserve">PATTATHIL HOUSE, POST ORUMANAYOOR</t>
  </si>
  <si>
    <t xml:space="preserve">MOIDU K.</t>
  </si>
  <si>
    <t xml:space="preserve">0504799693</t>
  </si>
  <si>
    <t xml:space="preserve">499437299</t>
  </si>
  <si>
    <t xml:space="preserve">KATTAKKAL, POST KALANAD</t>
  </si>
  <si>
    <t xml:space="preserve">SUNDARESAN BASI V.</t>
  </si>
  <si>
    <t xml:space="preserve">0504976062</t>
  </si>
  <si>
    <t xml:space="preserve">8921660711</t>
  </si>
  <si>
    <t xml:space="preserve">VENU SADANAM, POST PUNAYUR KULAM, TRICHUR DIST</t>
  </si>
  <si>
    <t xml:space="preserve">PAPPAN BINO</t>
  </si>
  <si>
    <t xml:space="preserve">0506348635</t>
  </si>
  <si>
    <t xml:space="preserve">4734225144</t>
  </si>
  <si>
    <t xml:space="preserve">bino7133@yahoo.com</t>
  </si>
  <si>
    <t xml:space="preserve">LIZZY BUNGLOW, KARUVATTA, ADOOR POST, ADOOR , KERALA</t>
  </si>
  <si>
    <t xml:space="preserve">MADHAVAN M.</t>
  </si>
  <si>
    <t xml:space="preserve">0506346694</t>
  </si>
  <si>
    <t xml:space="preserve">madhavanae@yahoo.com</t>
  </si>
  <si>
    <t xml:space="preserve">THACHANGAD HOUSE, POST PANIYAL, VIA- BEKAL, 0467 2275792</t>
  </si>
  <si>
    <t xml:space="preserve">ABDURAHIMAN C.K.</t>
  </si>
  <si>
    <t xml:space="preserve">0507723443</t>
  </si>
  <si>
    <t xml:space="preserve">ckarahman786@gmail.com</t>
  </si>
  <si>
    <t xml:space="preserve">THIRUTHY, POST- KODINHI- 676309, MALAPURAM DIST., 494 460093 / 9895900026</t>
  </si>
  <si>
    <t xml:space="preserve">ABBAS M.V</t>
  </si>
  <si>
    <t xml:space="preserve">0506783823</t>
  </si>
  <si>
    <t xml:space="preserve">9747443060</t>
  </si>
  <si>
    <t xml:space="preserve">mvabbas@gmail.com</t>
  </si>
  <si>
    <t xml:space="preserve">MANAGATTU VALAPPIL HOUSE ARAFAH POST PALAPPURAM, OTTAPPALAM PIN 679103 PALAKKAD</t>
  </si>
  <si>
    <t xml:space="preserve">THOMAS KUNJU KUNJU .P</t>
  </si>
  <si>
    <t xml:space="preserve">0506347424</t>
  </si>
  <si>
    <t xml:space="preserve">4752271638</t>
  </si>
  <si>
    <t xml:space="preserve">tompulikkoottil@yahoo.com</t>
  </si>
  <si>
    <t xml:space="preserve">PULIKOOTTIL BELSSY COTTAGE, ALAYAMON POST, ANCHAL, QUILON DIST, KERALA</t>
  </si>
  <si>
    <t xml:space="preserve">ABDUL MUNEER ABBAS</t>
  </si>
  <si>
    <t xml:space="preserve">0506464734</t>
  </si>
  <si>
    <t xml:space="preserve">abdulmuneerabbas@gmail.com</t>
  </si>
  <si>
    <t xml:space="preserve">KOTTAKUNNIL HOUSE, KOTTAKKUNNU, MOGRAL, PUTHUR, KASARAGODE,KERALA.</t>
  </si>
  <si>
    <t xml:space="preserve">ABDUL JABBAR M.V</t>
  </si>
  <si>
    <t xml:space="preserve">0507974791</t>
  </si>
  <si>
    <t xml:space="preserve">4972861485</t>
  </si>
  <si>
    <t xml:space="preserve">jabbarmv@gmail.com</t>
  </si>
  <si>
    <t xml:space="preserve">PAALANGAT HOUSE, ODAYAMMADAM,, CHERUKUNNU POST, KANNUR, KERALA</t>
  </si>
  <si>
    <t xml:space="preserve">ABDUL AZIZ YOONUS KUNJU</t>
  </si>
  <si>
    <t xml:space="preserve">0506283069</t>
  </si>
  <si>
    <t xml:space="preserve">4762661194</t>
  </si>
  <si>
    <t xml:space="preserve">SALIM MANZIL, KALLELI BHAGAM, EDAKKULANGARA POST, KARUNAGAPPALLY, KOLLAM DIST, KERALA STATE</t>
  </si>
  <si>
    <t xml:space="preserve">BHASKARAN NAIR K.</t>
  </si>
  <si>
    <t xml:space="preserve">0551052460</t>
  </si>
  <si>
    <t xml:space="preserve">nair.inframe.ae@gmail.com</t>
  </si>
  <si>
    <t xml:space="preserve">GOPALAYAM PERUMBALA POST, KALANAD VIA KASARGOD DIST KERALA STATE, 4994237528/9567560333</t>
  </si>
  <si>
    <t xml:space="preserve">BIBIN ABRAHAM VARGHESE</t>
  </si>
  <si>
    <t xml:space="preserve">0505440992</t>
  </si>
  <si>
    <t xml:space="preserve">bibinab@gmail.com</t>
  </si>
  <si>
    <t xml:space="preserve">MAMMOTIL HOUSE S-57 J.P.NAGAR TIRUVALLA, RAILWAY STATION POST KERALA STATE, 0091 4692630983</t>
  </si>
  <si>
    <t xml:space="preserve">REJI JOSEPH</t>
  </si>
  <si>
    <t xml:space="preserve">0504974213</t>
  </si>
  <si>
    <t xml:space="preserve">9496267439</t>
  </si>
  <si>
    <t xml:space="preserve">vjreji@gmail.com</t>
  </si>
  <si>
    <t xml:space="preserve">VENGASSERIL HOUSE PANDANAD POST, CHENGANNUR KERALA STATE</t>
  </si>
  <si>
    <t xml:space="preserve">JINU CHACKO</t>
  </si>
  <si>
    <t xml:space="preserve">0508417047</t>
  </si>
  <si>
    <t xml:space="preserve">4692631246</t>
  </si>
  <si>
    <t xml:space="preserve">jinu57@gmail.com</t>
  </si>
  <si>
    <t xml:space="preserve">ARUVATHALAYIL KALLUMKAL POST, PATHANAMTHITTA DIST KERALA STATE</t>
  </si>
  <si>
    <t xml:space="preserve">ABDUL RAHIMAN U K</t>
  </si>
  <si>
    <t xml:space="preserve">0507072039</t>
  </si>
  <si>
    <t xml:space="preserve">94472863200091462236874</t>
  </si>
  <si>
    <t xml:space="preserve">uk-shafee@yahoo.com</t>
  </si>
  <si>
    <t xml:space="preserve">BANGANATHOTTY HOUSE POST BARE VIA UDMA, KASARAGOD DIST KERALA STATE</t>
  </si>
  <si>
    <t xml:space="preserve">M.P.RAGHAVAN</t>
  </si>
  <si>
    <t xml:space="preserve">0526235555</t>
  </si>
  <si>
    <t xml:space="preserve">7293666777</t>
  </si>
  <si>
    <t xml:space="preserve">raju18182@yahoo.com</t>
  </si>
  <si>
    <t xml:space="preserve">RAWNAK KAKKOLANGARAPPARA ATHANIKKAL WEST HILL, PO PUTHIYANGADI VILLAGE, KOZHIKODE, KERALA</t>
  </si>
  <si>
    <t xml:space="preserve">P.C.HARIDASAN</t>
  </si>
  <si>
    <t xml:space="preserve">0507583600</t>
  </si>
  <si>
    <t xml:space="preserve">9446490068</t>
  </si>
  <si>
    <t xml:space="preserve">pcharidas15@gmail.com</t>
  </si>
  <si>
    <t xml:space="preserve">KUTTIYATTLE HOUSE POST AYANKALAM PIN 679594, MALAPPURAM DIST KERALA STATE</t>
  </si>
  <si>
    <t xml:space="preserve">SHANMUGHAN K.</t>
  </si>
  <si>
    <t xml:space="preserve">0505868122</t>
  </si>
  <si>
    <t xml:space="preserve">shanmudivya@gmail.com</t>
  </si>
  <si>
    <t xml:space="preserve">KOTTEPAT HOUSE, POST AYIROOR, PERUMPADAPPU,, MALAPPURAM DIST., KERALA., 00914942670676</t>
  </si>
  <si>
    <t xml:space="preserve">SHANMUGHAN SUDEVAN</t>
  </si>
  <si>
    <t xml:space="preserve">0505176051</t>
  </si>
  <si>
    <t xml:space="preserve">sudevan.ap@gmail.com</t>
  </si>
  <si>
    <t xml:space="preserve">KOZHINJAL VILLA VEEDU POST PERUNGUZHI, TRIVANDRUM DIST KERALA STATE INDIA, 0091472636337 / 9745825848</t>
  </si>
  <si>
    <t xml:space="preserve">MOHAMMED KUNJU ASHRAF</t>
  </si>
  <si>
    <t xml:space="preserve">0586885657</t>
  </si>
  <si>
    <t xml:space="preserve">96456665159745415242</t>
  </si>
  <si>
    <t xml:space="preserve">ashrafmk1955@gmail.com</t>
  </si>
  <si>
    <t xml:space="preserve">ADHIL HOUSE KANNANALLOOR, KOLLAM DIST KERALA STATE</t>
  </si>
  <si>
    <t xml:space="preserve">NAVEEN KUMAR</t>
  </si>
  <si>
    <t xml:space="preserve">0564845561</t>
  </si>
  <si>
    <t xml:space="preserve">4972746781</t>
  </si>
  <si>
    <t xml:space="preserve">navinkumar77@hotmail.com</t>
  </si>
  <si>
    <t xml:space="preserve">SANAL PALLIKUNNU KANNUR DIST KERALA STATE</t>
  </si>
  <si>
    <t xml:space="preserve">PAULSON A. LONAN</t>
  </si>
  <si>
    <t xml:space="preserve">0506795163</t>
  </si>
  <si>
    <t xml:space="preserve">4842234906</t>
  </si>
  <si>
    <t xml:space="preserve">tiyatania@gmail.com</t>
  </si>
  <si>
    <t xml:space="preserve">ANAMTHURUTHIL HOUSE PALLURUTHY COCHIN, PIN 682006 ERNAKULAM DIST KERALA STATE</t>
  </si>
  <si>
    <t xml:space="preserve">A.M.RAZI</t>
  </si>
  <si>
    <t xml:space="preserve">0506268045</t>
  </si>
  <si>
    <t xml:space="preserve">4722660392</t>
  </si>
  <si>
    <t xml:space="preserve">loyaloptics@yahoo.com</t>
  </si>
  <si>
    <t xml:space="preserve">P.O.BOX-21759,SHJ, SAJEENA MANZIL VENKULAM EDAVA POST TRIVANDRUM, DIST KERALA STATE</t>
  </si>
  <si>
    <t xml:space="preserve">CIBU MATHEWS</t>
  </si>
  <si>
    <t xml:space="preserve">0507867967</t>
  </si>
  <si>
    <t xml:space="preserve">cibu_mathews@yahoo.co.uk</t>
  </si>
  <si>
    <t xml:space="preserve">CHAPRATHU HOUSE THURUTHIKADU POST THIRUVALLA, PATHANAMTHITTA KERALA</t>
  </si>
  <si>
    <t xml:space="preserve">ANIL KUMAR K.S</t>
  </si>
  <si>
    <t xml:space="preserve">0557202189</t>
  </si>
  <si>
    <t xml:space="preserve">anilks4ru@yahoo.com</t>
  </si>
  <si>
    <t xml:space="preserve">LEKHASADANAM, CHIRAYINKEEZHU ,, TRIVANDRUM, KERALA</t>
  </si>
  <si>
    <t xml:space="preserve">ASHARAF T.P</t>
  </si>
  <si>
    <t xml:space="preserve">0506321644</t>
  </si>
  <si>
    <t xml:space="preserve">KASSIM MANZIL SOUTH ROAD POST CHAVAKKAD, KERALA STATE INDIA</t>
  </si>
  <si>
    <t xml:space="preserve">P.S.MOHAMAD</t>
  </si>
  <si>
    <t xml:space="preserve">0503030243</t>
  </si>
  <si>
    <t xml:space="preserve">almarif@gmail.com</t>
  </si>
  <si>
    <t xml:space="preserve">POST CHENDRAPPINNI TRICHUR DIST KERALA STATE, 0091 9747097742</t>
  </si>
  <si>
    <t xml:space="preserve">ASSINAR MOOSA</t>
  </si>
  <si>
    <t xml:space="preserve">0505478311</t>
  </si>
  <si>
    <t xml:space="preserve">assinar@gmail.com</t>
  </si>
  <si>
    <t xml:space="preserve">NOORMAHAL PUNATHIL, POST UDUMBUNTHALA KASARGOD DIST KERALA, 00914672270805</t>
  </si>
  <si>
    <t xml:space="preserve">JAGNNAIVASAN ADIYIL</t>
  </si>
  <si>
    <t xml:space="preserve">0542458582</t>
  </si>
  <si>
    <t xml:space="preserve">9605385825</t>
  </si>
  <si>
    <t xml:space="preserve">jagannideepa@gmail.com</t>
  </si>
  <si>
    <t xml:space="preserve">MANNATH HOUSE, ARIKANNIYOOR, TRICHUR DIST. KERALA STATE</t>
  </si>
  <si>
    <t xml:space="preserve">RAJAN M.</t>
  </si>
  <si>
    <t xml:space="preserve">0509662453</t>
  </si>
  <si>
    <t xml:space="preserve">9656448714</t>
  </si>
  <si>
    <t xml:space="preserve">HOUSE NO. 10/97 MOORIKARA HOUSE, ANANDASHRAMA KASARAGOD DIST KERALA STATE</t>
  </si>
  <si>
    <t xml:space="preserve">SIVAJI N.S</t>
  </si>
  <si>
    <t xml:space="preserve">0506312977</t>
  </si>
  <si>
    <t xml:space="preserve">4872791595</t>
  </si>
  <si>
    <t xml:space="preserve">n.sivaji@yahoo.com</t>
  </si>
  <si>
    <t xml:space="preserve">NATTUKETTY HOUSE, POST KARAYAMUTTAM VIA,, VALAPPAD, TRICHUR DIST. KERALA STATE.</t>
  </si>
  <si>
    <t xml:space="preserve">SUDHAKARAN NAIR</t>
  </si>
  <si>
    <t xml:space="preserve">0503167463</t>
  </si>
  <si>
    <t xml:space="preserve">4672234698</t>
  </si>
  <si>
    <t xml:space="preserve">sudhan68nair@gmail.com</t>
  </si>
  <si>
    <t xml:space="preserve">KUNHIVALAPPIL HOUSE POST PANAYAL VIA BEKAL, KASARAGOD DIST KERALA STATE</t>
  </si>
  <si>
    <t xml:space="preserve">JAFAR VANIYAPATTA</t>
  </si>
  <si>
    <t xml:space="preserve">0508668878</t>
  </si>
  <si>
    <t xml:space="preserve">4962668961</t>
  </si>
  <si>
    <t xml:space="preserve">vpjafar444@gmail.com</t>
  </si>
  <si>
    <t xml:space="preserve">VANIYAPPATTA HOUSE POST PALERI, VIA KUTTIADI PIN 673508 KERALA</t>
  </si>
  <si>
    <t xml:space="preserve">VIJAYAKUMARAN P.P</t>
  </si>
  <si>
    <t xml:space="preserve">0503625937</t>
  </si>
  <si>
    <t xml:space="preserve">vpoyil@yahoo.co.in</t>
  </si>
  <si>
    <t xml:space="preserve">POYIL HOUSE MULLOOL PATTUVAM POST TALIPARAMBA, VIA KANNUR DIST KERALA STATE, 0460 2275712</t>
  </si>
  <si>
    <t xml:space="preserve">USMAN PULLATTUMMAL</t>
  </si>
  <si>
    <t xml:space="preserve">0551266083</t>
  </si>
  <si>
    <t xml:space="preserve">PULLATTUMMAL HOUSE, POST KADAVATHUR,, VIA CHOKLY, KANNUR DIST., KERALA, 0091 9562353750</t>
  </si>
  <si>
    <t xml:space="preserve">HASHIM P.K</t>
  </si>
  <si>
    <t xml:space="preserve">0506318832</t>
  </si>
  <si>
    <t xml:space="preserve">9895222222</t>
  </si>
  <si>
    <t xml:space="preserve">md@abscuae.ae</t>
  </si>
  <si>
    <t xml:space="preserve">POST CHELERI VIA KANNADIPARAMABA, KANNUR DIST KERALA STATE</t>
  </si>
  <si>
    <t xml:space="preserve">V.ABRAHAM THOMAS</t>
  </si>
  <si>
    <t xml:space="preserve">0505379048</t>
  </si>
  <si>
    <t xml:space="preserve">4924238525</t>
  </si>
  <si>
    <t xml:space="preserve">vamattathil@gmail.com</t>
  </si>
  <si>
    <t xml:space="preserve">VAMATTHATHIL HOUSE POONCHOLA POST, PALAKKAD DIST KERALA STATE</t>
  </si>
  <si>
    <t xml:space="preserve">AYUB M.K</t>
  </si>
  <si>
    <t xml:space="preserve">0503558319</t>
  </si>
  <si>
    <t xml:space="preserve">9846160258</t>
  </si>
  <si>
    <t xml:space="preserve">ayubmkallada@yahoo.com</t>
  </si>
  <si>
    <t xml:space="preserve">KALLADA HOUSE KODUMPUZHA FAROOK COLLEGE, POST KOZHIKODE KERALA</t>
  </si>
  <si>
    <t xml:space="preserve">T.APPUTTY KRISHNAN</t>
  </si>
  <si>
    <t xml:space="preserve">0506359392</t>
  </si>
  <si>
    <t xml:space="preserve">4872551190</t>
  </si>
  <si>
    <t xml:space="preserve">mrkrishnan193@gmail.com</t>
  </si>
  <si>
    <t xml:space="preserve">THAYYIL HOUSE POST KOTTAPPADY, TRICHUR DIST KERALA</t>
  </si>
  <si>
    <t xml:space="preserve">MOHAMED KUTTY</t>
  </si>
  <si>
    <t xml:space="preserve">0555028595</t>
  </si>
  <si>
    <t xml:space="preserve">4942490050</t>
  </si>
  <si>
    <t xml:space="preserve">alungalbava973@gmail.com</t>
  </si>
  <si>
    <t xml:space="preserve">AMBALIL HOUSE POST KUTTOOR NORTH, VIA A.R.NAGAR MALAPPURAM DIST KERALA STATE</t>
  </si>
  <si>
    <t xml:space="preserve">DIXON GEORGE</t>
  </si>
  <si>
    <t xml:space="preserve">0555492230</t>
  </si>
  <si>
    <t xml:space="preserve">918848365461</t>
  </si>
  <si>
    <t xml:space="preserve">dxn.george@gmail.com</t>
  </si>
  <si>
    <t xml:space="preserve">CHADHELY HOUSE POST ALOOR TRICHUR DIST, KERALA STATE</t>
  </si>
  <si>
    <t xml:space="preserve">ABDU MANAF</t>
  </si>
  <si>
    <t xml:space="preserve">0507414244</t>
  </si>
  <si>
    <t xml:space="preserve">4972842884</t>
  </si>
  <si>
    <t xml:space="preserve">manafmtl@gmail.com</t>
  </si>
  <si>
    <t xml:space="preserve">K.P.HOUSE NEAR BADAR MASJID MATTOOL NORTH, KANNUR DIST KERALA STATE</t>
  </si>
  <si>
    <t xml:space="preserve">GOPALAKRISHNAN A.G</t>
  </si>
  <si>
    <t xml:space="preserve">0505987288</t>
  </si>
  <si>
    <t xml:space="preserve">gopalakrishnanadithya@gmail.com</t>
  </si>
  <si>
    <t xml:space="preserve">ANALIPARAMBIL HOUSE, POST KALLETTUMKARA, TRICHUR DIST.-680683, KERALA., 0091 8078223615 / 9526460884-WIFE</t>
  </si>
  <si>
    <t xml:space="preserve">JAFER KANNATE</t>
  </si>
  <si>
    <t xml:space="preserve">0506342482</t>
  </si>
  <si>
    <t xml:space="preserve">4872508491</t>
  </si>
  <si>
    <t xml:space="preserve">jefjas@gmail.com</t>
  </si>
  <si>
    <t xml:space="preserve">KANNATE HOUSE, SOUTH ROAD, CHAVAKKAD,, TRICHUR DIST., KERALA STATE.</t>
  </si>
  <si>
    <t xml:space="preserve">REEJO JACOB KOSHY</t>
  </si>
  <si>
    <t xml:space="preserve">0506966306</t>
  </si>
  <si>
    <t xml:space="preserve">rakhee100@hotmail.com</t>
  </si>
  <si>
    <t xml:space="preserve">RAJANS COTTAGE KAIPATOOR POST PATHANAMTHITTA, KERALA</t>
  </si>
  <si>
    <t xml:space="preserve">Dr. PRADEEP KUMAR PILLAI</t>
  </si>
  <si>
    <t xml:space="preserve">0504821611</t>
  </si>
  <si>
    <t xml:space="preserve">pkpp2008@gmail.com</t>
  </si>
  <si>
    <t xml:space="preserve">MUNDUTHARA HOUSE, VALAMKULAM POST,, TIRUVALLA , PATHANAMTHITTA, KERALA</t>
  </si>
  <si>
    <t xml:space="preserve">SAIFUDHEEN CHENGANAMKOTTIL</t>
  </si>
  <si>
    <t xml:space="preserve">0501625934</t>
  </si>
  <si>
    <t xml:space="preserve">CHENGANAMGOTTIL HOUSE, MEZHATHUR POST,, THRITHALA, PALAKKAD, KERALA</t>
  </si>
  <si>
    <t xml:space="preserve">MUHAMMED IQBAL.K</t>
  </si>
  <si>
    <t xml:space="preserve">0506775144</t>
  </si>
  <si>
    <t xml:space="preserve">4602203753</t>
  </si>
  <si>
    <t xml:space="preserve">iquallamkulam@gmail.com</t>
  </si>
  <si>
    <t xml:space="preserve">SAHIDA MANZIL ALLAMKULAM, KARIMBAM POST PIN 67014 KERALA</t>
  </si>
  <si>
    <t xml:space="preserve">SURESH KUMAR S.WARRIER</t>
  </si>
  <si>
    <t xml:space="preserve">0505577807</t>
  </si>
  <si>
    <t xml:space="preserve">4712369844</t>
  </si>
  <si>
    <t xml:space="preserve">swarrier11@gmail.com</t>
  </si>
  <si>
    <t xml:space="preserve">SWATHY KOOTTAMVILA MARUTHANKUZHY, TRIVANDRUM DIST KERALA</t>
  </si>
  <si>
    <t xml:space="preserve">VINOD JOE</t>
  </si>
  <si>
    <t xml:space="preserve">0508623202</t>
  </si>
  <si>
    <t xml:space="preserve">vinodkannampuzha@gmail.com</t>
  </si>
  <si>
    <t xml:space="preserve">KUNNAMPUZHA TC 3/667 TKD ROAD MUTTADA POST, TRIVANDRUM DIST KERALA STATE, 04712590279</t>
  </si>
  <si>
    <t xml:space="preserve">GEOGY JOHN</t>
  </si>
  <si>
    <t xml:space="preserve">0506310924</t>
  </si>
  <si>
    <t xml:space="preserve">geogyukn@emirates.net.ae</t>
  </si>
  <si>
    <t xml:space="preserve">GEO MANSION, UNITY ROAD, KURIACHIRA,, TRICHUR-680006, KERALA, 0091 9526000888</t>
  </si>
  <si>
    <t xml:space="preserve">SHAJAHAN SHAMIR</t>
  </si>
  <si>
    <t xml:space="preserve">0504502842</t>
  </si>
  <si>
    <t xml:space="preserve">9544811748</t>
  </si>
  <si>
    <t xml:space="preserve">sameeronline@live.com</t>
  </si>
  <si>
    <t xml:space="preserve">BLUE BELLS KOLLAM DIST KERALA STATE</t>
  </si>
  <si>
    <t xml:space="preserve">ABDURAZAK THIRUNILATH</t>
  </si>
  <si>
    <t xml:space="preserve">0505763295</t>
  </si>
  <si>
    <t xml:space="preserve">6282520219</t>
  </si>
  <si>
    <t xml:space="preserve">tnabdulrazak@gmail.com</t>
  </si>
  <si>
    <t xml:space="preserve">THIRUNILATHHOUSE, POST KADAMPUZHA, MALAPPURAM-676553, KERALA STATE.</t>
  </si>
  <si>
    <t xml:space="preserve">V.SIDHARTHAN</t>
  </si>
  <si>
    <t xml:space="preserve">0506580809</t>
  </si>
  <si>
    <t xml:space="preserve">4802641802</t>
  </si>
  <si>
    <t xml:space="preserve">sidharthan56@hotmail.com</t>
  </si>
  <si>
    <t xml:space="preserve">VADAKKEDATH HOUSE POST MATHILAKAM, 680685 TRICHUR DIST KERALA STATE</t>
  </si>
  <si>
    <t xml:space="preserve">ROSHAN ABRAHAM</t>
  </si>
  <si>
    <t xml:space="preserve">0505698992</t>
  </si>
  <si>
    <t xml:space="preserve">9946119569</t>
  </si>
  <si>
    <t xml:space="preserve">m3.roshan@gmail.com</t>
  </si>
  <si>
    <t xml:space="preserve">PULLAMPALLIL THADATHIL, NELLICAMON POST,, ANGADI, RANNY, PATHANAMTHITTA, KERALA</t>
  </si>
  <si>
    <t xml:space="preserve">ABDUL MAJEED M.M</t>
  </si>
  <si>
    <t xml:space="preserve">0504624389</t>
  </si>
  <si>
    <t xml:space="preserve">9747965888</t>
  </si>
  <si>
    <t xml:space="preserve">abdulmajeedmoosa@gmail.com</t>
  </si>
  <si>
    <t xml:space="preserve">P.O.BOX- 32942, SHJ, MOOTHEDATH HOUSE, JEWEL WHITE FIELD, FLAT NO. L 1,S.R.M.ROAD, ERNAKULAM, KERALA</t>
  </si>
  <si>
    <t xml:space="preserve">WILSON JOSEPH</t>
  </si>
  <si>
    <t xml:space="preserve">0504814789</t>
  </si>
  <si>
    <t xml:space="preserve">9447378383</t>
  </si>
  <si>
    <t xml:space="preserve">wilsonjoseph@outlook.com</t>
  </si>
  <si>
    <t xml:space="preserve">VILAVINAL BETHEL HOUSE KODUMTHARA, PATHANAMTHITTA DIST KERALA STATE</t>
  </si>
  <si>
    <t xml:space="preserve">BALAKRISHNA MALAR CHANDU</t>
  </si>
  <si>
    <t xml:space="preserve">0502001956</t>
  </si>
  <si>
    <t xml:space="preserve">CHUNDA HOUSE POST KUTTIKKAL VIA CHENGALA, DIST KASARAGOD KERALA STATE, 0091 8281476901</t>
  </si>
  <si>
    <t xml:space="preserve">N.A.HASSAN</t>
  </si>
  <si>
    <t xml:space="preserve">0505764732</t>
  </si>
  <si>
    <t xml:space="preserve">hassan.na62@yahoo.com</t>
  </si>
  <si>
    <t xml:space="preserve">NALAKATH HOUSE POST PERUVALLUR TRICHUR DIST, KERALA STATE, 04872640218</t>
  </si>
  <si>
    <t xml:space="preserve">MOIDOO KOYLOTH</t>
  </si>
  <si>
    <t xml:space="preserve">0506335939</t>
  </si>
  <si>
    <t xml:space="preserve">9447850195</t>
  </si>
  <si>
    <t xml:space="preserve">alrolla@hotmail.com</t>
  </si>
  <si>
    <t xml:space="preserve">KOYLOTH HOUSE POST PARAKKADAVU, CALICUT-673509, KERALA</t>
  </si>
  <si>
    <t xml:space="preserve">JOHN PHILIP</t>
  </si>
  <si>
    <t xml:space="preserve">0507178935</t>
  </si>
  <si>
    <t xml:space="preserve">2615331</t>
  </si>
  <si>
    <t xml:space="preserve">pandisseril@hotmail.com</t>
  </si>
  <si>
    <t xml:space="preserve">PANDISSERIL HOUSE KUTTOOR TIRUVALLA, PATHANAMTHITTA DIST KERALA STATE</t>
  </si>
  <si>
    <t xml:space="preserve">KOSHY KUNJU K.</t>
  </si>
  <si>
    <t xml:space="preserve">0506460165</t>
  </si>
  <si>
    <t xml:space="preserve">96058447278156849056</t>
  </si>
  <si>
    <t xml:space="preserve">koshy@alardhwell.com</t>
  </si>
  <si>
    <t xml:space="preserve">K.S.COTTAGE PUTHUPPADAPPU AYOOR POST KOLLAM, KERALA STATE</t>
  </si>
  <si>
    <t xml:space="preserve">N.N. ABDUL GAFOOR</t>
  </si>
  <si>
    <t xml:space="preserve">0552995681</t>
  </si>
  <si>
    <t xml:space="preserve">9061841592</t>
  </si>
  <si>
    <t xml:space="preserve">abdulgafoornn@gmail.com</t>
  </si>
  <si>
    <t xml:space="preserve">NALAKATH HOUSE, CHITTATTUKARA POST., TRICHUR DIST, KERALA STATE</t>
  </si>
  <si>
    <t xml:space="preserve">VARUN MURUKADASAN</t>
  </si>
  <si>
    <t xml:space="preserve">0505775945</t>
  </si>
  <si>
    <t xml:space="preserve">9961330325</t>
  </si>
  <si>
    <t xml:space="preserve">varunmm@gmail.com</t>
  </si>
  <si>
    <t xml:space="preserve">MELETHIL HOUSE CHITTANDA,, VADAKKANCHERY POST, THRISSUR, KERALA</t>
  </si>
  <si>
    <t xml:space="preserve">K. ABOOBACKER</t>
  </si>
  <si>
    <t xml:space="preserve">0559415435</t>
  </si>
  <si>
    <t xml:space="preserve">9847737523</t>
  </si>
  <si>
    <t xml:space="preserve">POST THAZHEKODE WEST VIA PERITHALMANNA, MALAPPURAM DIST KERALA STATE</t>
  </si>
  <si>
    <t xml:space="preserve">K.R.AJITH KUMAR</t>
  </si>
  <si>
    <t xml:space="preserve">0524525542</t>
  </si>
  <si>
    <t xml:space="preserve">4802844804</t>
  </si>
  <si>
    <t xml:space="preserve">karuvathilajithkumar@hotmail.com</t>
  </si>
  <si>
    <t xml:space="preserve">KARUVATHIL HOUSE POST CHAKKARAPADAM, TRICHUR DIST KERALA STATE</t>
  </si>
  <si>
    <t xml:space="preserve">PLACKAL KURIAN SHAJU</t>
  </si>
  <si>
    <t xml:space="preserve">0562400123</t>
  </si>
  <si>
    <t xml:space="preserve">ligishaju@gmail.com</t>
  </si>
  <si>
    <t xml:space="preserve">PLACKAL HOUSE KARIYAD MEKKAD POST ERNAKULAM, DIST KERALA STATE, 0091 484 2478077</t>
  </si>
  <si>
    <t xml:space="preserve">JOSEPH PANAKKAL</t>
  </si>
  <si>
    <t xml:space="preserve">0505240294</t>
  </si>
  <si>
    <t xml:space="preserve">jlpanakkal@gmail.com</t>
  </si>
  <si>
    <t xml:space="preserve">PANAKKAL HOUSE MAMMIYOOR GURUVAYOOR, THRISSUR DIST KERALA STATE, 04872554589</t>
  </si>
  <si>
    <t xml:space="preserve">KADEEN KHAN.H.M</t>
  </si>
  <si>
    <t xml:space="preserve">0506342781</t>
  </si>
  <si>
    <t xml:space="preserve">4702601431</t>
  </si>
  <si>
    <t xml:space="preserve">kadeenkhan@gmail.com</t>
  </si>
  <si>
    <t xml:space="preserve">EDAPARATHY, KURAKANNI VARKALA POST, TIRVANDRUM DIST KERALA</t>
  </si>
  <si>
    <t xml:space="preserve">ABDUL KAREEM B.</t>
  </si>
  <si>
    <t xml:space="preserve">0506324921</t>
  </si>
  <si>
    <t xml:space="preserve">9562551234</t>
  </si>
  <si>
    <t xml:space="preserve">barikkad786@gmail.com</t>
  </si>
  <si>
    <t xml:space="preserve">RAHMATH MANZIL, BARIKAD, POST CHITHARI, KANHANGAD, KASARAGODE, KERALA</t>
  </si>
  <si>
    <t xml:space="preserve">MOHAMED ALI .P</t>
  </si>
  <si>
    <t xml:space="preserve">0555866448</t>
  </si>
  <si>
    <t xml:space="preserve">pmohdali@gmail.com</t>
  </si>
  <si>
    <t xml:space="preserve">PARAPPADIKKAL HOUSE, OVUNGAL,, THALAKKADATHUR P.O., TIRUR, MALAPPURAM.</t>
  </si>
  <si>
    <t xml:space="preserve">MOHANAN NAIR.N</t>
  </si>
  <si>
    <t xml:space="preserve">0505494439</t>
  </si>
  <si>
    <t xml:space="preserve">4672236706</t>
  </si>
  <si>
    <t xml:space="preserve">mohananinha@gmail.com</t>
  </si>
  <si>
    <t xml:space="preserve">ANINHA PERUMBALA POST KALANAD VIA, KASARAGOD DIST KERALA STATE</t>
  </si>
  <si>
    <t xml:space="preserve">ASHRAF.P.P</t>
  </si>
  <si>
    <t xml:space="preserve">0503661343</t>
  </si>
  <si>
    <t xml:space="preserve">4972843747</t>
  </si>
  <si>
    <t xml:space="preserve">ashrafpp75@yahoo.com</t>
  </si>
  <si>
    <t xml:space="preserve">PEEDIKAYIL PUTHIYAPURAYIL, MATTUL SOUTH P.O.</t>
  </si>
  <si>
    <t xml:space="preserve">PRAMOD KUTTIPARAMBIL</t>
  </si>
  <si>
    <t xml:space="preserve">0557025252</t>
  </si>
  <si>
    <t xml:space="preserve">9846943024</t>
  </si>
  <si>
    <t xml:space="preserve">pramodbnb@gmail.com</t>
  </si>
  <si>
    <t xml:space="preserve">PAIPOTH HOUSE, INCHAMUDI POST., TRICHUR, KERALA STATE</t>
  </si>
  <si>
    <t xml:space="preserve">SREEKUMRAN .M</t>
  </si>
  <si>
    <t xml:space="preserve">0506968258</t>
  </si>
  <si>
    <t xml:space="preserve">4672237378</t>
  </si>
  <si>
    <t xml:space="preserve">sriudma@gmail.com</t>
  </si>
  <si>
    <t xml:space="preserve">SREE NILAYAM POST UDMA, KASARAGOD DIST KERALA STATE</t>
  </si>
  <si>
    <t xml:space="preserve">ABDULLA KUNHI A.M</t>
  </si>
  <si>
    <t xml:space="preserve">0507697605</t>
  </si>
  <si>
    <t xml:space="preserve">amabdula@gmail.com</t>
  </si>
  <si>
    <t xml:space="preserve">HOUSE NO.IX 465 FAIZAL MANZIL KIZHAKKEKARA POST, UDMA KASARAGOD KERALA STATE, 04672 236102</t>
  </si>
  <si>
    <t xml:space="preserve">N.K.MOHAN</t>
  </si>
  <si>
    <t xml:space="preserve">0506341970</t>
  </si>
  <si>
    <t xml:space="preserve">4602277346</t>
  </si>
  <si>
    <t xml:space="preserve">enkemohan@gmail.com</t>
  </si>
  <si>
    <t xml:space="preserve">SREENILAYAM KANNADIPARAMABA POST KANNUR DIST, KERALA STATE</t>
  </si>
  <si>
    <t xml:space="preserve">P.VASUDEVAN SHAJI</t>
  </si>
  <si>
    <t xml:space="preserve">0504627054</t>
  </si>
  <si>
    <t xml:space="preserve">8129873028</t>
  </si>
  <si>
    <t xml:space="preserve">pottekkadan@gmail.com</t>
  </si>
  <si>
    <t xml:space="preserve">POTTEKATTU HOUSE, THANIYAM POST,, PERINGOTTUKARA, TRICHUR, KERALA.</t>
  </si>
  <si>
    <t xml:space="preserve">BABU M.KURUVILLA</t>
  </si>
  <si>
    <t xml:space="preserve">0507787152</t>
  </si>
  <si>
    <t xml:space="preserve">9446600994</t>
  </si>
  <si>
    <t xml:space="preserve">bmanatra@yahoo.com</t>
  </si>
  <si>
    <t xml:space="preserve">MANATHRA BINNY VILLA VALANJAVATTOM, EAST POST THIRUVALLA 4 KERALA STATE</t>
  </si>
  <si>
    <t xml:space="preserve">JACOB VARKEY</t>
  </si>
  <si>
    <t xml:space="preserve">0506465315</t>
  </si>
  <si>
    <t xml:space="preserve">4712434943</t>
  </si>
  <si>
    <t xml:space="preserve">jacobva1954@gmail.com</t>
  </si>
  <si>
    <t xml:space="preserve">B7, KOWDIAR GARDENS,, JAWAHAR NAGAR POST, TRIVANDRUM</t>
  </si>
  <si>
    <t xml:space="preserve">R.K. JAMALUDIN</t>
  </si>
  <si>
    <t xml:space="preserve">0507838758</t>
  </si>
  <si>
    <t xml:space="preserve">jamaluddinrk@gmail.com</t>
  </si>
  <si>
    <t xml:space="preserve">POST THRITHALOOR WEST VIA VADANAPALLY, TRICHUR DIST KERALA STATE, 0091 9846250363</t>
  </si>
  <si>
    <t xml:space="preserve">SHARAFUDEEN ABDUL MANAF</t>
  </si>
  <si>
    <t xml:space="preserve">0506950246</t>
  </si>
  <si>
    <t xml:space="preserve">K.V.HOUSE MANACODE PANGODE POST, TRIVANDRUM DIST KERALA STATE</t>
  </si>
  <si>
    <t xml:space="preserve">THOTTIYIL ASHARAF</t>
  </si>
  <si>
    <t xml:space="preserve">0505975797</t>
  </si>
  <si>
    <t xml:space="preserve">46722664709447889988</t>
  </si>
  <si>
    <t xml:space="preserve">sharaftt@gmail.com</t>
  </si>
  <si>
    <t xml:space="preserve">THOTTY HOUSE POST PALLIKERE KASARAGOD DIST KERALA</t>
  </si>
  <si>
    <t xml:space="preserve">CHANDRA BABU K.S</t>
  </si>
  <si>
    <t xml:space="preserve">0507875987</t>
  </si>
  <si>
    <t xml:space="preserve">4702601608</t>
  </si>
  <si>
    <t xml:space="preserve">sopanam63@gmail.com</t>
  </si>
  <si>
    <t xml:space="preserve">SOPANAM, THACHODE,, VARKALA, TRIVANDRUM.</t>
  </si>
  <si>
    <t xml:space="preserve">REMESHAN K.V</t>
  </si>
  <si>
    <t xml:space="preserve">0506321035</t>
  </si>
  <si>
    <t xml:space="preserve">4902322461</t>
  </si>
  <si>
    <t xml:space="preserve">abap2433@emirates.net.ae</t>
  </si>
  <si>
    <t xml:space="preserve">VIPANCHIKA TELLICHERY 4 KERALA STATE</t>
  </si>
  <si>
    <t xml:space="preserve">SASANKA SEKHAR</t>
  </si>
  <si>
    <t xml:space="preserve">0507643181</t>
  </si>
  <si>
    <t xml:space="preserve">4872291293</t>
  </si>
  <si>
    <t xml:space="preserve">ssnksekhar@hotmail.com</t>
  </si>
  <si>
    <t xml:space="preserve">VATTUKULAM HOUSE POST THRITHALLOOR WEST, TRICHUR DIST KERALA STATE</t>
  </si>
  <si>
    <t xml:space="preserve">RADHAKRISHNAN</t>
  </si>
  <si>
    <t xml:space="preserve">0507644117</t>
  </si>
  <si>
    <t xml:space="preserve">sidvip@emirates.net.ae</t>
  </si>
  <si>
    <t xml:space="preserve">NEERUKETTY HOUSE POST TALIKULAM, TRICHUR DIST KERALA STATE</t>
  </si>
  <si>
    <t xml:space="preserve">THOMAS ABRAHAM</t>
  </si>
  <si>
    <t xml:space="preserve">0505848839</t>
  </si>
  <si>
    <t xml:space="preserve">4692668235</t>
  </si>
  <si>
    <t xml:space="preserve">aksathomas@yahoo.com</t>
  </si>
  <si>
    <t xml:space="preserve">PURATHEY MALAYIL, ERAVIPEROOR POST, THIRUVALLA, PATHANAMTHITTA DIST</t>
  </si>
  <si>
    <t xml:space="preserve">C.MUSTHAPHA</t>
  </si>
  <si>
    <t xml:space="preserve">0507760926</t>
  </si>
  <si>
    <t xml:space="preserve">cvmusthafa04@hotmail.com</t>
  </si>
  <si>
    <t xml:space="preserve">CHEMBILAVALAPPIL HOUSE KADANCHERRY POST, KALADY VIA MALAPPURAM DIST KERALA STATE</t>
  </si>
  <si>
    <t xml:space="preserve">HARIS CHEELEN</t>
  </si>
  <si>
    <t xml:space="preserve">0503833575</t>
  </si>
  <si>
    <t xml:space="preserve">8129768823</t>
  </si>
  <si>
    <t xml:space="preserve">haris_cheelen@hotmail.com</t>
  </si>
  <si>
    <t xml:space="preserve">C.H. HOUSE POST MATOOL NORTH, KANNUR DIST KERALA STATE</t>
  </si>
  <si>
    <t xml:space="preserve">VARGHESE GEORGE</t>
  </si>
  <si>
    <t xml:space="preserve">0506260641</t>
  </si>
  <si>
    <t xml:space="preserve">9447909160</t>
  </si>
  <si>
    <t xml:space="preserve">wisdomcontracting.vg@gmail.com</t>
  </si>
  <si>
    <t xml:space="preserve">KOCHUVEETTIL RIA COTTAGE, MANJADITHARA PALLICAKAL PO KATTANAM KAYAMKULAM</t>
  </si>
  <si>
    <t xml:space="preserve">SHAVAD KHAN .H</t>
  </si>
  <si>
    <t xml:space="preserve">0507965291</t>
  </si>
  <si>
    <t xml:space="preserve">abdullashavad@yahoo.com</t>
  </si>
  <si>
    <t xml:space="preserve">PLAVILA VEEDU MANICKAL,VENJARAMOODU, TRIVANDRUM DT., PIN-695607</t>
  </si>
  <si>
    <t xml:space="preserve">RAMESHAN .V</t>
  </si>
  <si>
    <t xml:space="preserve">0504754169</t>
  </si>
  <si>
    <t xml:space="preserve">4672204179</t>
  </si>
  <si>
    <t xml:space="preserve">ramesh@habtoor.com</t>
  </si>
  <si>
    <t xml:space="preserve">ERIYANTE HOUSE,NELLIKATE,POST BALLA, KANHANGAD DT.</t>
  </si>
  <si>
    <t xml:space="preserve">SURENDRAN NAIR VIJAYAN</t>
  </si>
  <si>
    <t xml:space="preserve">0506289307</t>
  </si>
  <si>
    <t xml:space="preserve">vijayan52@hotmail.com</t>
  </si>
  <si>
    <t xml:space="preserve">SUJATHA MANDIRAM,KPV-33 KALLAYAM PO., TRIVANDRUM, 0091 9495392726</t>
  </si>
  <si>
    <t xml:space="preserve">S.M. RAFI</t>
  </si>
  <si>
    <t xml:space="preserve">0506360481</t>
  </si>
  <si>
    <t xml:space="preserve">9995566666</t>
  </si>
  <si>
    <t xml:space="preserve">smrafi1971@gmail.com</t>
  </si>
  <si>
    <t xml:space="preserve">RAJI MANUIL MATHIRA KADAKKAL, KOLLAM DT</t>
  </si>
  <si>
    <t xml:space="preserve">RAMLA RAZIA BEEVI</t>
  </si>
  <si>
    <t xml:space="preserve">PLAVILA VEEDU MANICKAL VENJARAMOODU, TRIVANDRUM</t>
  </si>
  <si>
    <t xml:space="preserve">P.K.ABDUL LATHEEF</t>
  </si>
  <si>
    <t xml:space="preserve">0506463392</t>
  </si>
  <si>
    <t xml:space="preserve">4942428766</t>
  </si>
  <si>
    <t xml:space="preserve">latheefpk55@yahoo.com</t>
  </si>
  <si>
    <t xml:space="preserve">CRYSTAL HOUSE SOUTH ANNARA PO TIRUR-1</t>
  </si>
  <si>
    <t xml:space="preserve">MUSTHAFAKAMAL BHASHA</t>
  </si>
  <si>
    <t xml:space="preserve">0505277422</t>
  </si>
  <si>
    <t xml:space="preserve">4802877513</t>
  </si>
  <si>
    <t xml:space="preserve">vkamal513@gmail.com</t>
  </si>
  <si>
    <t xml:space="preserve">VALIYAKATH HOUSE KUTTAMANGALAM, EDATHURUTHY PO TRICHUR DT</t>
  </si>
  <si>
    <t xml:space="preserve">MANJURAN JOSEPH JACOB</t>
  </si>
  <si>
    <t xml:space="preserve">0501178375</t>
  </si>
  <si>
    <t xml:space="preserve">jacalp1949@gmail.com</t>
  </si>
  <si>
    <t xml:space="preserve">MANJURAN HOUSE 6/477QA 7TH MUSEUM CROSS LANE, CHEMBUKAVU TRICHUR</t>
  </si>
  <si>
    <t xml:space="preserve">K.MUJEEB RAHIMAN</t>
  </si>
  <si>
    <t xml:space="preserve">0509688807</t>
  </si>
  <si>
    <t xml:space="preserve">4942681354</t>
  </si>
  <si>
    <t xml:space="preserve">mujeeb.jaihoon@gmail.com</t>
  </si>
  <si>
    <t xml:space="preserve">KOLAKATT HOUSE POST SUKAPURAM, VIA EDAPPAL MALAPPURAM DT</t>
  </si>
  <si>
    <t xml:space="preserve">ROOBI P BABY</t>
  </si>
  <si>
    <t xml:space="preserve">0507970467</t>
  </si>
  <si>
    <t xml:space="preserve">4772274267</t>
  </si>
  <si>
    <t xml:space="preserve">pbroobi@aud.edu</t>
  </si>
  <si>
    <t xml:space="preserve">PATHILPARAMPIL KELAMANGALAM PO THAKAZHY, ALLEPPY</t>
  </si>
  <si>
    <t xml:space="preserve">SHYAM SASIDHARAN</t>
  </si>
  <si>
    <t xml:space="preserve">0507879198</t>
  </si>
  <si>
    <t xml:space="preserve">shyam.sasidharan04@gmail.com</t>
  </si>
  <si>
    <t xml:space="preserve">SREE SAILAM, POTHENCODE,, TRIVANDRUM, KERALA.</t>
  </si>
  <si>
    <t xml:space="preserve">HAMEED KUNJU NAZAR</t>
  </si>
  <si>
    <t xml:space="preserve">0507640569</t>
  </si>
  <si>
    <t xml:space="preserve">hnazar2@gmail.com</t>
  </si>
  <si>
    <t xml:space="preserve">THARAYIL VADAKKATHIL HOUSE PADA SOUTH, KARUNAGAPPALLY KOLLAM DT, 919762620249</t>
  </si>
  <si>
    <t xml:space="preserve">ALEXANDER ACHANKUNJU</t>
  </si>
  <si>
    <t xml:space="preserve">0506368262</t>
  </si>
  <si>
    <t xml:space="preserve">benalwyn@emirates.net.ae</t>
  </si>
  <si>
    <t xml:space="preserve">MAHANIYAM CHERRANIKAL HOUSE PPM PO PUNALUR, QUILON DIST</t>
  </si>
  <si>
    <t xml:space="preserve">T.VIJAYARAGHAVAN</t>
  </si>
  <si>
    <t xml:space="preserve">0508293652</t>
  </si>
  <si>
    <t xml:space="preserve">9744712930</t>
  </si>
  <si>
    <t xml:space="preserve">vijayaraghavn@hotmail.com</t>
  </si>
  <si>
    <t xml:space="preserve">THINDIATH HOUSE, P.O- NADUVILKARA,, VADANAPPALLY-680614, THRISSUR.</t>
  </si>
  <si>
    <t xml:space="preserve">HUSSAINAR M.C</t>
  </si>
  <si>
    <t xml:space="preserve">0504993892</t>
  </si>
  <si>
    <t xml:space="preserve">VAYALIL VILLA PO EDACHAKAI TRIKARPUR, KASARAGOD DT</t>
  </si>
  <si>
    <t xml:space="preserve">ISMAIL IBRAHIM KUTTY</t>
  </si>
  <si>
    <t xml:space="preserve">0504839816</t>
  </si>
  <si>
    <t xml:space="preserve">4942464976</t>
  </si>
  <si>
    <t xml:space="preserve">koolismail@gmail.com</t>
  </si>
  <si>
    <t xml:space="preserve">KOOLATH HOUSE, KRIPA, K.C.ROAD,, TIRURANGADI PO, MALAPPURAM DT</t>
  </si>
  <si>
    <t xml:space="preserve">ANTONY T.C</t>
  </si>
  <si>
    <t xml:space="preserve">0507978327</t>
  </si>
  <si>
    <t xml:space="preserve">480877608</t>
  </si>
  <si>
    <t xml:space="preserve">antony_t@eim.ae</t>
  </si>
  <si>
    <t xml:space="preserve">THEKKANATH HOUSE PO KIZHUPPILLIKARA, TRICHUR DT</t>
  </si>
  <si>
    <t xml:space="preserve">P.XAVIER JOSEPH PAMEY</t>
  </si>
  <si>
    <t xml:space="preserve">0504976301</t>
  </si>
  <si>
    <t xml:space="preserve">4842488455</t>
  </si>
  <si>
    <t xml:space="preserve">pamey123@hotmail.com</t>
  </si>
  <si>
    <t xml:space="preserve">PULIKKAL HOUSE, PALLIPORT 683515, E.K.M. DIST</t>
  </si>
  <si>
    <t xml:space="preserve">PREMJI JOYKUTTY</t>
  </si>
  <si>
    <t xml:space="preserve">0558345226</t>
  </si>
  <si>
    <t xml:space="preserve">9744900012</t>
  </si>
  <si>
    <t xml:space="preserve">premji_j@yahoo.com</t>
  </si>
  <si>
    <t xml:space="preserve">MADATHIVILA PUTHEN VEEDU, ELANJAMANGALAM, ENATHU POST, PATHANAMTHITTA DIST</t>
  </si>
  <si>
    <t xml:space="preserve">T.K.BABUKUTTY</t>
  </si>
  <si>
    <t xml:space="preserve">0506313314</t>
  </si>
  <si>
    <t xml:space="preserve">THADATHIL VADAKETHIL, THUMPAMON, 00914734266163</t>
  </si>
  <si>
    <t xml:space="preserve">MUHAMMED HANEEFA</t>
  </si>
  <si>
    <t xml:space="preserve">0507972497</t>
  </si>
  <si>
    <t xml:space="preserve">4802870702</t>
  </si>
  <si>
    <t xml:space="preserve">bashiamal@yahoo.com</t>
  </si>
  <si>
    <t xml:space="preserve">PALLIPARAMBIL KIZHUPPILLIKARA PO, TRISSUR</t>
  </si>
  <si>
    <t xml:space="preserve">MOHAMMED SHAFI HASSAINAR</t>
  </si>
  <si>
    <t xml:space="preserve">0507573847</t>
  </si>
  <si>
    <t xml:space="preserve">4672274423</t>
  </si>
  <si>
    <t xml:space="preserve">KALLINGAL HOUSE PO PALLIKARA, KASARAGOD DT</t>
  </si>
  <si>
    <t xml:space="preserve">T.P.MUHAMMED SAKARIA</t>
  </si>
  <si>
    <t xml:space="preserve">0555033366</t>
  </si>
  <si>
    <t xml:space="preserve">9288858888</t>
  </si>
  <si>
    <t xml:space="preserve">richuzak@gmail.com</t>
  </si>
  <si>
    <t xml:space="preserve">AL FABIRA KAKKADAPURAM MUTTAM, PO VENGARA</t>
  </si>
  <si>
    <t xml:space="preserve">SHAHUL HAMEED.P</t>
  </si>
  <si>
    <t xml:space="preserve">0502216602</t>
  </si>
  <si>
    <t xml:space="preserve">4832762546</t>
  </si>
  <si>
    <t xml:space="preserve">shahulhp4@gmail.com</t>
  </si>
  <si>
    <t xml:space="preserve">PULIKKATHODI HOUSE PALAKKULAM MANJERI 676123, KARUVAMBRAM POST, MALAPPURAM</t>
  </si>
  <si>
    <t xml:space="preserve">DIVAKARAN CHANDRAN</t>
  </si>
  <si>
    <t xml:space="preserve">0506263569</t>
  </si>
  <si>
    <t xml:space="preserve">9846315544</t>
  </si>
  <si>
    <t xml:space="preserve">chandranmony@gmail.com</t>
  </si>
  <si>
    <t xml:space="preserve">VALEL PUTHUVAL MANGALAM PO, THRIKUNNAPUZHA ALLEPPY DIST</t>
  </si>
  <si>
    <t xml:space="preserve">MASHOOD PUTHIYOOTH</t>
  </si>
  <si>
    <t xml:space="preserve">0505773943</t>
  </si>
  <si>
    <t xml:space="preserve">mashood.111@gmail.com</t>
  </si>
  <si>
    <t xml:space="preserve">MAFAZ MANZIL KOYAROAD PUTHIYANGADI, WEST HILL KOZHIKODE DT, 0091 4952391776</t>
  </si>
  <si>
    <t xml:space="preserve">BASHEER .U</t>
  </si>
  <si>
    <t xml:space="preserve">0554830307</t>
  </si>
  <si>
    <t xml:space="preserve">basheerup6@gmail.com</t>
  </si>
  <si>
    <t xml:space="preserve">PO PARAVANNA-676502 TIRUR, MALAPPURAM, 0091 9846355410</t>
  </si>
  <si>
    <t xml:space="preserve">SATISH KONDAYIL</t>
  </si>
  <si>
    <t xml:space="preserve">0551003868</t>
  </si>
  <si>
    <t xml:space="preserve">4872382428</t>
  </si>
  <si>
    <t xml:space="preserve">satish.kondayil@gmail.com</t>
  </si>
  <si>
    <t xml:space="preserve">30/150 GOKULAM VANIAN LANE PUNKUNNAM PO, TRICHUR</t>
  </si>
  <si>
    <t xml:space="preserve">GANGADHARAN NAIR</t>
  </si>
  <si>
    <t xml:space="preserve">0506326738</t>
  </si>
  <si>
    <t xml:space="preserve">nairconcord@gmail.com</t>
  </si>
  <si>
    <t xml:space="preserve">MADATHINGAL HOUSE, PADY PO, EDNEER,, VIA CHERKULAM, KASARAGOD</t>
  </si>
  <si>
    <t xml:space="preserve">P.B.SASIDHARAN</t>
  </si>
  <si>
    <t xml:space="preserve">0506469863</t>
  </si>
  <si>
    <t xml:space="preserve">509688807</t>
  </si>
  <si>
    <t xml:space="preserve">99shs99@gmail.com</t>
  </si>
  <si>
    <t xml:space="preserve">POOVAKATTU HOUSE KEERIKADU SOUTH KAYAMKULAM, PO ALLEPPY</t>
  </si>
  <si>
    <t xml:space="preserve">AHAMMED ABDUL RASHEED</t>
  </si>
  <si>
    <t xml:space="preserve">0505272021</t>
  </si>
  <si>
    <t xml:space="preserve">974610040</t>
  </si>
  <si>
    <t xml:space="preserve">aarasheed77@gmail.com</t>
  </si>
  <si>
    <t xml:space="preserve">SALAMIYA MANZIL PO CHANDIROOR, PIN-688547 ALAPPUZHA DT</t>
  </si>
  <si>
    <t xml:space="preserve">K.K.BALAKRISHNAN</t>
  </si>
  <si>
    <t xml:space="preserve">0506464713</t>
  </si>
  <si>
    <t xml:space="preserve">4872252364</t>
  </si>
  <si>
    <t xml:space="preserve">anoobalan@gmail.com</t>
  </si>
  <si>
    <t xml:space="preserve">AVENUE CREST APARTMENT, AVENUE ROAD,, MUNDUPALAM,KURIACHIRA-P.O.,THRISSUR DT.</t>
  </si>
  <si>
    <t xml:space="preserve">KARATTU ABDULLA</t>
  </si>
  <si>
    <t xml:space="preserve">0558778919</t>
  </si>
  <si>
    <t xml:space="preserve">4962503513</t>
  </si>
  <si>
    <t xml:space="preserve">abdullashamal@gmail.com</t>
  </si>
  <si>
    <t xml:space="preserve">FALLAH MANARRATH MEETHAL (H) PO KANNOOKKARA, VIA VATAKARA KOZHIKODE DT</t>
  </si>
  <si>
    <t xml:space="preserve">SAJI P. OOMMEN</t>
  </si>
  <si>
    <t xml:space="preserve">0506267357</t>
  </si>
  <si>
    <t xml:space="preserve">9847044935</t>
  </si>
  <si>
    <t xml:space="preserve">sajio@eim.ae</t>
  </si>
  <si>
    <t xml:space="preserve">42 SANTHOSH NAGAR MUTTADA, TRIVANDRUM</t>
  </si>
  <si>
    <t xml:space="preserve">IBRAHIM KUTTY ARUVANPALLY</t>
  </si>
  <si>
    <t xml:space="preserve">0556262376</t>
  </si>
  <si>
    <t xml:space="preserve">umbaiap@gmail.com</t>
  </si>
  <si>
    <t xml:space="preserve">ARUVANPALLY HOUSE,PO.NARATH, KANNUR DT, KERALA, 091 460 2243900</t>
  </si>
  <si>
    <t xml:space="preserve">P.P.RAJAN</t>
  </si>
  <si>
    <t xml:space="preserve">0504519794</t>
  </si>
  <si>
    <t xml:space="preserve">rajpovil@gmail.com</t>
  </si>
  <si>
    <t xml:space="preserve">POVIL HOUSE PO PAVARATTY, THRISSUR DT, 04872642572</t>
  </si>
  <si>
    <t xml:space="preserve">SANTHOSH KUMAR K.R.</t>
  </si>
  <si>
    <t xml:space="preserve">0505743164</t>
  </si>
  <si>
    <t xml:space="preserve">4812700340</t>
  </si>
  <si>
    <t xml:space="preserve">sankum55@hotmail.com</t>
  </si>
  <si>
    <t xml:space="preserve">SANTHOSH BHAVAN LAKKATTOOR PO, KOTTAYAM</t>
  </si>
  <si>
    <t xml:space="preserve">SURESH KUMAR T.B.</t>
  </si>
  <si>
    <t xml:space="preserve">0561032625</t>
  </si>
  <si>
    <t xml:space="preserve">4885283681</t>
  </si>
  <si>
    <t xml:space="preserve">japsskumar@gmail.com</t>
  </si>
  <si>
    <t xml:space="preserve">THAZHISSERY HOUSE KIDANGOOR MARATHENCODE PO, THRISSUR DT</t>
  </si>
  <si>
    <t xml:space="preserve">INDER MOHAN B.VIG</t>
  </si>
  <si>
    <t xml:space="preserve">0505916252</t>
  </si>
  <si>
    <t xml:space="preserve">9820010769</t>
  </si>
  <si>
    <t xml:space="preserve">imvengg@gmail.com</t>
  </si>
  <si>
    <t xml:space="preserve">201 RAMESHWAR NEELKANTH VALLEY, 7TH ROAD, RAJAWADI, GATKOPER-EAST,BOMBAY-77,</t>
  </si>
  <si>
    <t xml:space="preserve">SHAMSUDHEEN KAVUNGAL</t>
  </si>
  <si>
    <t xml:space="preserve">0505764318</t>
  </si>
  <si>
    <t xml:space="preserve">9605997470</t>
  </si>
  <si>
    <t xml:space="preserve">sdheen.k@gmail.com</t>
  </si>
  <si>
    <t xml:space="preserve">KAVUNGA HOUSE PONMALA PO ,KOTTAKKAL VIA, MALAPPURAM DT KERALA</t>
  </si>
  <si>
    <t xml:space="preserve">JAFER PUTHIYA VEETTIL</t>
  </si>
  <si>
    <t xml:space="preserve">0505762146</t>
  </si>
  <si>
    <t xml:space="preserve">shebimp07@gmail.com</t>
  </si>
  <si>
    <t xml:space="preserve">PUTHIYA VEETTIL HOUSE, C.P.ROAD,, P.O. CHOKLI, KANNUR DT.</t>
  </si>
  <si>
    <t xml:space="preserve">SAJITH KUMAR</t>
  </si>
  <si>
    <t xml:space="preserve">0505867142</t>
  </si>
  <si>
    <t xml:space="preserve">k.sajith.menon@gmail.com</t>
  </si>
  <si>
    <t xml:space="preserve">RADHA NIVAS CHIRAMANANGAD, TRICHUR DT, 0091 488 5280648</t>
  </si>
  <si>
    <t xml:space="preserve">MOHAMMED MUSTHAFA K.P</t>
  </si>
  <si>
    <t xml:space="preserve">0504730123</t>
  </si>
  <si>
    <t xml:space="preserve">fayizkp234@gmail.com</t>
  </si>
  <si>
    <t xml:space="preserve">KELANPADIKKAL HOUSE EAST VILLUR, VIA KOTTAKKAL MALAPPURAM DT</t>
  </si>
  <si>
    <t xml:space="preserve">SHOWKATH ALI ABDU</t>
  </si>
  <si>
    <t xml:space="preserve">0508260420</t>
  </si>
  <si>
    <t xml:space="preserve">4872507261</t>
  </si>
  <si>
    <t xml:space="preserve">PO ORUMANAYUR, WILLIAMS, TRICHUR DT</t>
  </si>
  <si>
    <t xml:space="preserve">V.A.UNNIKRISHNAN</t>
  </si>
  <si>
    <t xml:space="preserve">0504992061</t>
  </si>
  <si>
    <t xml:space="preserve">47125315009446673700</t>
  </si>
  <si>
    <t xml:space="preserve">unniverger@yahoo.com</t>
  </si>
  <si>
    <t xml:space="preserve">BHASKARA VILASOM BUNGLOW MELILA PO, KOTTARAKARA KOLLAM</t>
  </si>
  <si>
    <t xml:space="preserve">ABU HASHIM MADATHIL</t>
  </si>
  <si>
    <t xml:space="preserve">0506453905</t>
  </si>
  <si>
    <t xml:space="preserve">hashim@steeltradeonline.com</t>
  </si>
  <si>
    <t xml:space="preserve">MADATHIL HOUSE NEAR BRDC PARK, PALLIKERE</t>
  </si>
  <si>
    <t xml:space="preserve">BINOY VARGHESE</t>
  </si>
  <si>
    <t xml:space="preserve">0506356564</t>
  </si>
  <si>
    <t xml:space="preserve">4682244944</t>
  </si>
  <si>
    <t xml:space="preserve">binoy.varghesebk@gmail.com</t>
  </si>
  <si>
    <t xml:space="preserve">KODUMANNETH PEACE COTTAGE VAKAYAR PO, KONNI PATHANAMTHITTA DT</t>
  </si>
  <si>
    <t xml:space="preserve">MALIK OM PRAKASH</t>
  </si>
  <si>
    <t xml:space="preserve">0506356068</t>
  </si>
  <si>
    <t xml:space="preserve">555961493</t>
  </si>
  <si>
    <t xml:space="preserve">opmalik@fosrams.com</t>
  </si>
  <si>
    <t xml:space="preserve">OM NIWAS, RAMNAGAR, KARNAL,HARYANA, INDIA</t>
  </si>
  <si>
    <t xml:space="preserve">MOIDEEN.KP</t>
  </si>
  <si>
    <t xml:space="preserve">0552793579</t>
  </si>
  <si>
    <t xml:space="preserve">8907979797</t>
  </si>
  <si>
    <t xml:space="preserve">kpmoideen279@gmail.com</t>
  </si>
  <si>
    <t xml:space="preserve">VILLOOR PO INDIANOOR, VIA KOTTAKKAL MALAPPURAM DT</t>
  </si>
  <si>
    <t xml:space="preserve">V.M.MOHAMED SADIQUE</t>
  </si>
  <si>
    <t xml:space="preserve">0504507823</t>
  </si>
  <si>
    <t xml:space="preserve">sadique@inter-consort.ae</t>
  </si>
  <si>
    <t xml:space="preserve">HOUSE NO VII/1033 KAPPALANDUMUKKU, KOCHI, 0091 484 2223323</t>
  </si>
  <si>
    <t xml:space="preserve">V.SANKURU SOUMIAN</t>
  </si>
  <si>
    <t xml:space="preserve">0529669458</t>
  </si>
  <si>
    <t xml:space="preserve">jisha75@gmail.com</t>
  </si>
  <si>
    <t xml:space="preserve">VALIYAPARAMBIL HOUSE KAKKATHIRUTHI, EDATHIRINJI PO, KERALA</t>
  </si>
  <si>
    <t xml:space="preserve">KANNAMKULAM NARAYANAN</t>
  </si>
  <si>
    <t xml:space="preserve">0505475145</t>
  </si>
  <si>
    <t xml:space="preserve">46722367248547236724</t>
  </si>
  <si>
    <t xml:space="preserve">naran0205@gmail.com</t>
  </si>
  <si>
    <t xml:space="preserve">PAKYARA HOUSE, MANJALATH VALAPPIL,, P.O.BEKAL, KASARAGOD DT.</t>
  </si>
  <si>
    <t xml:space="preserve">NINAN THOMAS</t>
  </si>
  <si>
    <t xml:space="preserve">0507650931</t>
  </si>
  <si>
    <t xml:space="preserve">4812462418</t>
  </si>
  <si>
    <t xml:space="preserve">thomaskh58@yahoo.com</t>
  </si>
  <si>
    <t xml:space="preserve">CHOORAPPADIL HOUSE KURUMPANADOM PO, CHANGANCHERRY</t>
  </si>
  <si>
    <t xml:space="preserve">CHANDRAN PILLAI SUBBAIYYA</t>
  </si>
  <si>
    <t xml:space="preserve">0504775652</t>
  </si>
  <si>
    <t xml:space="preserve">9544696460</t>
  </si>
  <si>
    <t xml:space="preserve">chandranpillaiwisdom@gmail.com</t>
  </si>
  <si>
    <t xml:space="preserve">KODUNGA MUKALIL HOUSE KARAVALOOR PO, PUNALUR KOLLAM DT</t>
  </si>
  <si>
    <t xml:space="preserve">REJI THOMAS ANJANATHIL</t>
  </si>
  <si>
    <t xml:space="preserve">0505760750</t>
  </si>
  <si>
    <t xml:space="preserve">4792325070</t>
  </si>
  <si>
    <t xml:space="preserve">rejianjans@yahoo.com</t>
  </si>
  <si>
    <t xml:space="preserve">ATTUPURATHU ANJANATHIL, CHERUKOLE PO MAVELIKARA</t>
  </si>
  <si>
    <t xml:space="preserve">P.O.OOMMEN</t>
  </si>
  <si>
    <t xml:space="preserve">0505294179</t>
  </si>
  <si>
    <t xml:space="preserve">468224486</t>
  </si>
  <si>
    <t xml:space="preserve">oommen44@hotmail.com</t>
  </si>
  <si>
    <t xml:space="preserve">PURATHUMMURIYIL HOUSE PO ERAVIPERUR, PATHANAMTHITTA DT</t>
  </si>
  <si>
    <t xml:space="preserve">POZHATH ANANDAN</t>
  </si>
  <si>
    <t xml:space="preserve">0508679587</t>
  </si>
  <si>
    <t xml:space="preserve">9446513004</t>
  </si>
  <si>
    <t xml:space="preserve">anandpozhath@gmail.com</t>
  </si>
  <si>
    <t xml:space="preserve">POZHATH HOUSE PO ARIYANNUR, TRICHUR DT</t>
  </si>
  <si>
    <t xml:space="preserve">P.V.MOHAN DAS</t>
  </si>
  <si>
    <t xml:space="preserve">PARAMEL HOUSE PO ADAT, TRICHUT DT</t>
  </si>
  <si>
    <t xml:space="preserve">BADARUDEEN M.K</t>
  </si>
  <si>
    <t xml:space="preserve">0504999375</t>
  </si>
  <si>
    <t xml:space="preserve">badar_mangattu@yahoo.com</t>
  </si>
  <si>
    <t xml:space="preserve">MANGATTU VEEDU PONGANADU PO, KILIMANOOR VIA TRIVANDRUM DT, 9645726679</t>
  </si>
  <si>
    <t xml:space="preserve">MURALEEDHARAN T.P.</t>
  </si>
  <si>
    <t xml:space="preserve">0506966285</t>
  </si>
  <si>
    <t xml:space="preserve">9714692785011</t>
  </si>
  <si>
    <t xml:space="preserve">m.pillai1961@gmail.com</t>
  </si>
  <si>
    <t xml:space="preserve">NOORUMMAVU PO MALLAPPALLY DIST</t>
  </si>
  <si>
    <t xml:space="preserve">NAVANEETH PRABHAKARAN</t>
  </si>
  <si>
    <t xml:space="preserve">0529288111</t>
  </si>
  <si>
    <t xml:space="preserve">8086998969</t>
  </si>
  <si>
    <t xml:space="preserve">navu@ronacargo.com</t>
  </si>
  <si>
    <t xml:space="preserve">KAIMAPARAMBIL HOUSE PO IRINJALAKUDA, TRICHUR DT</t>
  </si>
  <si>
    <t xml:space="preserve">KRISHNAPILLAI MURALEEDHARAN</t>
  </si>
  <si>
    <t xml:space="preserve">0554067658</t>
  </si>
  <si>
    <t xml:space="preserve">4842623386</t>
  </si>
  <si>
    <t xml:space="preserve">gokulem@emirates.net</t>
  </si>
  <si>
    <t xml:space="preserve">KOTTARAPATTU HOUSE QUARTER S LANE, ALUVA</t>
  </si>
  <si>
    <t xml:space="preserve">ROY GEORGE</t>
  </si>
  <si>
    <t xml:space="preserve">0507864317</t>
  </si>
  <si>
    <t xml:space="preserve">9656332494</t>
  </si>
  <si>
    <t xml:space="preserve">almadaroy@yahoo.com</t>
  </si>
  <si>
    <t xml:space="preserve">WEST THEVALAKARA, KOLLAM DT</t>
  </si>
  <si>
    <t xml:space="preserve">MOHANAN MELATH</t>
  </si>
  <si>
    <t xml:space="preserve">0509577645</t>
  </si>
  <si>
    <t xml:space="preserve">ARAMANGANAM PO BARE VIA UDMA, KASARAGOD DT</t>
  </si>
  <si>
    <t xml:space="preserve">P.K. PRATHEEP KUMAR</t>
  </si>
  <si>
    <t xml:space="preserve">0506262523</t>
  </si>
  <si>
    <t xml:space="preserve">9446724240</t>
  </si>
  <si>
    <t xml:space="preserve">pkpradeep055@gmail.com</t>
  </si>
  <si>
    <t xml:space="preserve">PAYYANADAN HOUSE PORKULAM POST, KUNNAMKULAM TRICHUR DT</t>
  </si>
  <si>
    <t xml:space="preserve">MOHAMED DILSHAD RAHIM</t>
  </si>
  <si>
    <t xml:space="preserve">0556534289</t>
  </si>
  <si>
    <t xml:space="preserve">4602204369</t>
  </si>
  <si>
    <t xml:space="preserve">dilshad@orisme.com</t>
  </si>
  <si>
    <t xml:space="preserve">SUSHAR PO KARIMBAM TALIPARAMBA, KANNUR DT</t>
  </si>
  <si>
    <t xml:space="preserve">MAJEED NOSE</t>
  </si>
  <si>
    <t xml:space="preserve">0506775881</t>
  </si>
  <si>
    <t xml:space="preserve">M.C.MANZIL CHARLADKA PO NEKRAJE, KASARAGOD DT, 00914998285089</t>
  </si>
  <si>
    <t xml:space="preserve">ABDULLA MOHAMED BASHEER</t>
  </si>
  <si>
    <t xml:space="preserve">0506468771</t>
  </si>
  <si>
    <t xml:space="preserve">944747171700914885238238</t>
  </si>
  <si>
    <t xml:space="preserve">bheemaco@emirates.net.ae</t>
  </si>
  <si>
    <t xml:space="preserve">POST KANDANASSERY VIA GURUVAYOOR, TRICHUR DT</t>
  </si>
  <si>
    <t xml:space="preserve">AJAYAKUMAR.G</t>
  </si>
  <si>
    <t xml:space="preserve">0568009970</t>
  </si>
  <si>
    <t xml:space="preserve">828191519500914742530579</t>
  </si>
  <si>
    <t xml:space="preserve">aji@tigrisshipping.com</t>
  </si>
  <si>
    <t xml:space="preserve">LEKSHMI NIVAS KOTTIYAM PO, KOLLAM</t>
  </si>
  <si>
    <t xml:space="preserve">MOHAMMED NASIR</t>
  </si>
  <si>
    <t xml:space="preserve">0506775046</t>
  </si>
  <si>
    <t xml:space="preserve">4722803139</t>
  </si>
  <si>
    <t xml:space="preserve">mohdnasir1965@gmail.com</t>
  </si>
  <si>
    <t xml:space="preserve">ALIF HOUSE, MARUTHINAKAM, CHEKKAKONAM,, ARUVIKKARA-PO.,TRIVANDRUM-695564.</t>
  </si>
  <si>
    <t xml:space="preserve">ABDUL MUNEER</t>
  </si>
  <si>
    <t xml:space="preserve">0506793285</t>
  </si>
  <si>
    <t xml:space="preserve">abdulmuneern@gmail.com</t>
  </si>
  <si>
    <t xml:space="preserve">SHAFEENA'S, Nr. BSNL EXCHANGE,, PAPPINISSERI P.O., KANNUR, 0091-4972787297</t>
  </si>
  <si>
    <t xml:space="preserve">E.R.BOSE</t>
  </si>
  <si>
    <t xml:space="preserve">0507696511</t>
  </si>
  <si>
    <t xml:space="preserve">bosealapad@gmail.com</t>
  </si>
  <si>
    <t xml:space="preserve">EZHAVAPADY HOUSE PO ALAPAD, TRICHUR, KERALA</t>
  </si>
  <si>
    <t xml:space="preserve">ANILAL PURUSHOTHAMAN</t>
  </si>
  <si>
    <t xml:space="preserve">0506379749</t>
  </si>
  <si>
    <t xml:space="preserve">47424225239497135607</t>
  </si>
  <si>
    <t xml:space="preserve">anilp2102@yahoo.com</t>
  </si>
  <si>
    <t xml:space="preserve">VANDITHADATHIL VEEDU ATTUPURAM KADAKKAL PO, KOLLAM DT</t>
  </si>
  <si>
    <t xml:space="preserve">K.V. SAIDU ILLYAS</t>
  </si>
  <si>
    <t xml:space="preserve">0504989621</t>
  </si>
  <si>
    <t xml:space="preserve">4802844501</t>
  </si>
  <si>
    <t xml:space="preserve">illykonath@yahoo.co.in</t>
  </si>
  <si>
    <t xml:space="preserve">KONATHU VEETTIL HOUSE PO CHALINGAD, KAIPAMANGALAM THRISSUR</t>
  </si>
  <si>
    <t xml:space="preserve">VASUDEVAN GIRILAL</t>
  </si>
  <si>
    <t xml:space="preserve">0506465241</t>
  </si>
  <si>
    <t xml:space="preserve">9895943901</t>
  </si>
  <si>
    <t xml:space="preserve">girisuj@hotmail.com</t>
  </si>
  <si>
    <t xml:space="preserve">THOTTARATH HOUSE PO KAZIMBRAM, DT TRICHUR</t>
  </si>
  <si>
    <t xml:space="preserve">SURESH KUMAR. A.V.</t>
  </si>
  <si>
    <t xml:space="preserve">0505341877</t>
  </si>
  <si>
    <t xml:space="preserve">9914402777</t>
  </si>
  <si>
    <t xml:space="preserve">sureshkumar.av14@gmail.com</t>
  </si>
  <si>
    <t xml:space="preserve">ALAYULLAVALAPPIL HOUSE PO KOOTUMMUGHAM, KANNUR</t>
  </si>
  <si>
    <t xml:space="preserve">K.R. ASHOKAN</t>
  </si>
  <si>
    <t xml:space="preserve">0506154886</t>
  </si>
  <si>
    <t xml:space="preserve">4872640387</t>
  </si>
  <si>
    <t xml:space="preserve">kra101@yahoo.com</t>
  </si>
  <si>
    <t xml:space="preserve">KARUMATHL HOUSE POST ELAVALLY, TRISSUR DT</t>
  </si>
  <si>
    <t xml:space="preserve">OLOTH KUNHAMBU NAIR</t>
  </si>
  <si>
    <t xml:space="preserve">0506772438</t>
  </si>
  <si>
    <t xml:space="preserve">nairok01@gmail.com</t>
  </si>
  <si>
    <t xml:space="preserve">OLOTH HOUSE PAZHANGODE PO CHERUKUNNU, CANNANORE DT, 0091497278143</t>
  </si>
  <si>
    <t xml:space="preserve">K.C.GEORGE</t>
  </si>
  <si>
    <t xml:space="preserve">0506964120</t>
  </si>
  <si>
    <t xml:space="preserve">4792454212</t>
  </si>
  <si>
    <t xml:space="preserve">georgekc2502@gmail.com</t>
  </si>
  <si>
    <t xml:space="preserve">PAROOR MELATHETHIL, EDANADU P.O., CHENGANNUR,KERALA</t>
  </si>
  <si>
    <t xml:space="preserve">JAIKIN SASIDHARAN</t>
  </si>
  <si>
    <t xml:space="preserve">0504350749</t>
  </si>
  <si>
    <t xml:space="preserve">4702606567</t>
  </si>
  <si>
    <t xml:space="preserve">thejaikin@hotmail.co</t>
  </si>
  <si>
    <t xml:space="preserve">SASIMANDIRAM KANNAMBA, VARKALA TRIVANDRUM DT</t>
  </si>
  <si>
    <t xml:space="preserve">PREMAN VALATH</t>
  </si>
  <si>
    <t xml:space="preserve">0506460048</t>
  </si>
  <si>
    <t xml:space="preserve">9496752009</t>
  </si>
  <si>
    <t xml:space="preserve">pramodvalath@gmail.com</t>
  </si>
  <si>
    <t xml:space="preserve">VALATH HOUSE PO EDASSERI, THRISSUR DT</t>
  </si>
  <si>
    <t xml:space="preserve">MOHAMMED ASHIC</t>
  </si>
  <si>
    <t xml:space="preserve">0507293723</t>
  </si>
  <si>
    <t xml:space="preserve">9947736759</t>
  </si>
  <si>
    <t xml:space="preserve">mashicnet@gmail.com</t>
  </si>
  <si>
    <t xml:space="preserve">270 SCMD ADCO, PUTHUPOTTAYIL, POST VENGARA, MALAPPURAM DT, KERALA</t>
  </si>
  <si>
    <t xml:space="preserve">THOMAS THARAKAN T.A.</t>
  </si>
  <si>
    <t xml:space="preserve">0563997220</t>
  </si>
  <si>
    <t xml:space="preserve">tharakantat@gmail.com</t>
  </si>
  <si>
    <t xml:space="preserve">THADATHIL VILA PUTHEN VEEDU KUNDARA PO, KOLLAM</t>
  </si>
  <si>
    <t xml:space="preserve">RANI ANNIE EAPEN</t>
  </si>
  <si>
    <t xml:space="preserve">0507264706</t>
  </si>
  <si>
    <t xml:space="preserve">9946293738</t>
  </si>
  <si>
    <t xml:space="preserve">ranieapen2003@yahoo.co.in</t>
  </si>
  <si>
    <t xml:space="preserve">KODURATHIL HOUSE KEEKOZHROOR, RANNY PATHANAMTHITTA DT</t>
  </si>
  <si>
    <t xml:space="preserve">Dr. SUDEEP THOMAS</t>
  </si>
  <si>
    <t xml:space="preserve">0507748977</t>
  </si>
  <si>
    <t xml:space="preserve">4692672043</t>
  </si>
  <si>
    <t xml:space="preserve">drsudeep3@gmail.com</t>
  </si>
  <si>
    <t xml:space="preserve">THEKKETHIL HOUSE, KURIANNOOR PO,, THIRUVALLA, PATHANAMTHITTA-689550, KERALA</t>
  </si>
  <si>
    <t xml:space="preserve">GEOJI THOMAS</t>
  </si>
  <si>
    <t xml:space="preserve">0556843595</t>
  </si>
  <si>
    <t xml:space="preserve">CHULAPARAMBIL HOUSE, 101-JUNCTION, PAROLICKAL, ATHIRAMPUZHA POST, KOTTAYAM DISTRICT</t>
  </si>
  <si>
    <t xml:space="preserve">GEORGE JOSEPH .K.</t>
  </si>
  <si>
    <t xml:space="preserve">0504811346</t>
  </si>
  <si>
    <t xml:space="preserve">9567240780</t>
  </si>
  <si>
    <t xml:space="preserve">georgejosephk50@gmail.com</t>
  </si>
  <si>
    <t xml:space="preserve">NAVAMANA, PUTHUPALLY P.O.,, KOTTAYAM-686011, KERALA</t>
  </si>
  <si>
    <t xml:space="preserve">K.S.UDAYABHANU</t>
  </si>
  <si>
    <t xml:space="preserve">0505861892</t>
  </si>
  <si>
    <t xml:space="preserve">4872346299</t>
  </si>
  <si>
    <t xml:space="preserve">udayankannoli@gmail.com</t>
  </si>
  <si>
    <t xml:space="preserve">KANNOLY HOUSE PO INCHAMUDY, TRICHUR, KERALA</t>
  </si>
  <si>
    <t xml:space="preserve">K.SUNIL KUMAR</t>
  </si>
  <si>
    <t xml:space="preserve">0552703737</t>
  </si>
  <si>
    <t xml:space="preserve">46702238956</t>
  </si>
  <si>
    <t xml:space="preserve">koppalsunilk@yahoo.com</t>
  </si>
  <si>
    <t xml:space="preserve">THEKKEKARA HOUSE P.S.U.NIVAS POST UDMA, DT KASARAGOD</t>
  </si>
  <si>
    <t xml:space="preserve">SALAHUDDEEN KOLAYATH</t>
  </si>
  <si>
    <t xml:space="preserve">0505472762</t>
  </si>
  <si>
    <t xml:space="preserve">4672260039</t>
  </si>
  <si>
    <t xml:space="preserve">salloo37@hotmail.com</t>
  </si>
  <si>
    <t xml:space="preserve">KOLAYATH HOUSE CHERUVATHUR PO, KASARAGOD DT</t>
  </si>
  <si>
    <t xml:space="preserve">SIDHEEQ PALAMADATHIL</t>
  </si>
  <si>
    <t xml:space="preserve">0503061106</t>
  </si>
  <si>
    <t xml:space="preserve">9544284554</t>
  </si>
  <si>
    <t xml:space="preserve">pmsidheeq@gmail.com</t>
  </si>
  <si>
    <t xml:space="preserve">ANNARPOKAT HOUSE PUKAYOOR AREETHODE, PO MAMBURAM VIA THIRURANGADI MALAPPURAM DT</t>
  </si>
  <si>
    <t xml:space="preserve">PRINCE JOSEPH VEYECAL</t>
  </si>
  <si>
    <t xml:space="preserve">0503077655</t>
  </si>
  <si>
    <t xml:space="preserve">centralcommail@gmail.com</t>
  </si>
  <si>
    <t xml:space="preserve">TC 27/1907, PUTHEN RD., VANCHIYOOR, TRIVANDRUM</t>
  </si>
  <si>
    <t xml:space="preserve">MUSTHAFA ABOOBACKER</t>
  </si>
  <si>
    <t xml:space="preserve">0504951582</t>
  </si>
  <si>
    <t xml:space="preserve">must_antc@yahoo.com</t>
  </si>
  <si>
    <t xml:space="preserve">KHADEEJA MANZIL, PO MADAI, 0091 9895305001</t>
  </si>
  <si>
    <t xml:space="preserve">ALI KALATHINGAL</t>
  </si>
  <si>
    <t xml:space="preserve">0504773548</t>
  </si>
  <si>
    <t xml:space="preserve">9567267458</t>
  </si>
  <si>
    <t xml:space="preserve">abuadilk@gmail.com</t>
  </si>
  <si>
    <t xml:space="preserve">KALATHINGAL HOUSE PO THENNALA, MALAPPURAM DT, KERALA</t>
  </si>
  <si>
    <t xml:space="preserve">MOHAN KUMAR P.V.</t>
  </si>
  <si>
    <t xml:space="preserve">0503665490</t>
  </si>
  <si>
    <t xml:space="preserve">8129348999</t>
  </si>
  <si>
    <t xml:space="preserve">mkumar@sdci.gov.ae</t>
  </si>
  <si>
    <t xml:space="preserve">SHANTHI VIHAR PAYYANUR, KANNUR, KERALA</t>
  </si>
  <si>
    <t xml:space="preserve">P.M.MOHAMMED KUNHI</t>
  </si>
  <si>
    <t xml:space="preserve">0558614186</t>
  </si>
  <si>
    <t xml:space="preserve">9656121203</t>
  </si>
  <si>
    <t xml:space="preserve">MADATHIL HOUSE PALLIKERE PO, KASARAGOD DT</t>
  </si>
  <si>
    <t xml:space="preserve">MUHAMED KASIM .K</t>
  </si>
  <si>
    <t xml:space="preserve">0555386250</t>
  </si>
  <si>
    <t xml:space="preserve">9947685169</t>
  </si>
  <si>
    <t xml:space="preserve">KARIMBANCHOLA HOUSE, TRIKKATIRI .PO.,, OTTAPALAM, PALAGHAT, KERALA</t>
  </si>
  <si>
    <t xml:space="preserve">RAJESH NAIR .P.</t>
  </si>
  <si>
    <t xml:space="preserve">0562175571</t>
  </si>
  <si>
    <t xml:space="preserve">4772273061</t>
  </si>
  <si>
    <t xml:space="preserve">rajaroop2002@yahoo.com</t>
  </si>
  <si>
    <t xml:space="preserve">ASRAMAM SOUTH GATE AMBALAPUZHA, ALAPPUZHA DT</t>
  </si>
  <si>
    <t xml:space="preserve">AKBAR HASHEEB</t>
  </si>
  <si>
    <t xml:space="preserve">0508543549</t>
  </si>
  <si>
    <t xml:space="preserve">47026539469995047929</t>
  </si>
  <si>
    <t xml:space="preserve">adhnanasheeb@gmail.com</t>
  </si>
  <si>
    <t xml:space="preserve">A.S.MANZIL MATHERUVILAKOM, VAKKOM PO</t>
  </si>
  <si>
    <t xml:space="preserve">MANOJ T.VARGHESE</t>
  </si>
  <si>
    <t xml:space="preserve">0504545639</t>
  </si>
  <si>
    <t xml:space="preserve">mtvmundur@gmail.com</t>
  </si>
  <si>
    <t xml:space="preserve">THAMARASSERIL, MYLAMPULLY, MUNDUR, PALAKKAD DT, 0091-4912832159</t>
  </si>
  <si>
    <t xml:space="preserve">SAMEESH SHAMSUDHEEN</t>
  </si>
  <si>
    <t xml:space="preserve">0507171421</t>
  </si>
  <si>
    <t xml:space="preserve">9900486326</t>
  </si>
  <si>
    <t xml:space="preserve">sameesh@gmail.com</t>
  </si>
  <si>
    <t xml:space="preserve">ZAHIR KOCHU KUNJU</t>
  </si>
  <si>
    <t xml:space="preserve">0564480707</t>
  </si>
  <si>
    <t xml:space="preserve">4842228632</t>
  </si>
  <si>
    <t xml:space="preserve">zahir_k_k@hotmail.com</t>
  </si>
  <si>
    <t xml:space="preserve">C.C XII/916 PANAYPALLY, KOCHI, ERNAKULAM DISTRICT</t>
  </si>
  <si>
    <t xml:space="preserve">M.ABDULLA MALLACHERY</t>
  </si>
  <si>
    <t xml:space="preserve">0506266546</t>
  </si>
  <si>
    <t xml:space="preserve">4962593005</t>
  </si>
  <si>
    <t xml:space="preserve">mallacheri@hotmail.com</t>
  </si>
  <si>
    <t xml:space="preserve">MALLACHERI HOUSE THIRUVALLUR PO PONMERI, BADAGARA CALICUT</t>
  </si>
  <si>
    <t xml:space="preserve">KALLIYAT MOOSA</t>
  </si>
  <si>
    <t xml:space="preserve">0503529120</t>
  </si>
  <si>
    <t xml:space="preserve">9400618208</t>
  </si>
  <si>
    <t xml:space="preserve">samapress.9@gmail.com</t>
  </si>
  <si>
    <t xml:space="preserve">CHERUKUNNU VILLAGE, PO KANNUR</t>
  </si>
  <si>
    <t xml:space="preserve">P.Y.SHAJAHAN</t>
  </si>
  <si>
    <t xml:space="preserve">0505523109</t>
  </si>
  <si>
    <t xml:space="preserve">9446522111</t>
  </si>
  <si>
    <t xml:space="preserve">shahsubi@gmail.com</t>
  </si>
  <si>
    <t xml:space="preserve">PEEDIKAYILAYYAM, PADA NORTH,, KARUNAGAPALLY-P.O. KOLLAM-690518</t>
  </si>
  <si>
    <t xml:space="preserve">K.MUHAMMED KUNHI</t>
  </si>
  <si>
    <t xml:space="preserve">0558804876</t>
  </si>
  <si>
    <t xml:space="preserve">96331007329567320353</t>
  </si>
  <si>
    <t xml:space="preserve">alsaweecouriershj@gmail.com</t>
  </si>
  <si>
    <t xml:space="preserve">SABIRA MANZIL BALLA BEACH PO KANHANGAD, KASARAGOD DT</t>
  </si>
  <si>
    <t xml:space="preserve">MUNEER C.H.</t>
  </si>
  <si>
    <t xml:space="preserve">0508282678</t>
  </si>
  <si>
    <t xml:space="preserve">muniraldafa@gmail.com</t>
  </si>
  <si>
    <t xml:space="preserve">MUNEER NIVAS, P.O. PANOOR,, KANNUR, KERALA., 0091 8590698475</t>
  </si>
  <si>
    <t xml:space="preserve">SANTHOSH N.Y.</t>
  </si>
  <si>
    <t xml:space="preserve">0551238775</t>
  </si>
  <si>
    <t xml:space="preserve">santhosh@avenueuae.com</t>
  </si>
  <si>
    <t xml:space="preserve">NEDIYAMANNIL, NJAKKUNILAM,, V.KOTTAYAM, PATHANAMTHITTA, 0091 9656524082</t>
  </si>
  <si>
    <t xml:space="preserve">KARAVATH KRISHNAN</t>
  </si>
  <si>
    <t xml:space="preserve">0506455751</t>
  </si>
  <si>
    <t xml:space="preserve">9048147990</t>
  </si>
  <si>
    <t xml:space="preserve">caravann@emirates.net.ae</t>
  </si>
  <si>
    <t xml:space="preserve">KARAVAT HOUSE PARAPPUKARA, TRICHUR DT</t>
  </si>
  <si>
    <t xml:space="preserve">SAMSUDHEEN K.V</t>
  </si>
  <si>
    <t xml:space="preserve">0506127038</t>
  </si>
  <si>
    <t xml:space="preserve">infoparamount@emirates.net.ae</t>
  </si>
  <si>
    <t xml:space="preserve">HI SUM VILLA PACHATRI VIA TIRUR, MALAPPURAM DT</t>
  </si>
  <si>
    <t xml:space="preserve">MOHAMMED KUTTY SHUKOOR</t>
  </si>
  <si>
    <t xml:space="preserve">0507464435</t>
  </si>
  <si>
    <t xml:space="preserve">KALLUMPURATH KOLLAKA, KOLLAM DT</t>
  </si>
  <si>
    <t xml:space="preserve">ABDUL LATHEEF K.P</t>
  </si>
  <si>
    <t xml:space="preserve">0503628968</t>
  </si>
  <si>
    <t xml:space="preserve">4884278327</t>
  </si>
  <si>
    <t xml:space="preserve">KOTTIPPARAKKAL VARAVATTOOR DESAMANGALAM VIA, THRISSUR</t>
  </si>
  <si>
    <t xml:space="preserve">V.R.GOPALAKRISHNAN</t>
  </si>
  <si>
    <t xml:space="preserve">0507746700</t>
  </si>
  <si>
    <t xml:space="preserve">geekay003@gmail.com</t>
  </si>
  <si>
    <t xml:space="preserve">VADASSERI HOUSE, PO PANANGAD, THRISSUR DISTRICT, 0091-4802850265</t>
  </si>
  <si>
    <t xml:space="preserve">SUDHAKARAN K.M</t>
  </si>
  <si>
    <t xml:space="preserve">0507554878</t>
  </si>
  <si>
    <t xml:space="preserve">4672237243</t>
  </si>
  <si>
    <t xml:space="preserve">rahulrohil@gmail.com</t>
  </si>
  <si>
    <t xml:space="preserve">PERILAVALAPPU PO UDMA, KASARAGOD DT</t>
  </si>
  <si>
    <t xml:space="preserve">S. VINOD KUMAR</t>
  </si>
  <si>
    <t xml:space="preserve">0506777527</t>
  </si>
  <si>
    <t xml:space="preserve">4712289411</t>
  </si>
  <si>
    <t xml:space="preserve">vinodgac@gmail.com</t>
  </si>
  <si>
    <t xml:space="preserve">SURABHI ARUVIPURAM PO, PEYAD TVM</t>
  </si>
  <si>
    <t xml:space="preserve">SREEDHARAN MALINGU</t>
  </si>
  <si>
    <t xml:space="preserve">0506780373</t>
  </si>
  <si>
    <t xml:space="preserve">9495723594</t>
  </si>
  <si>
    <t xml:space="preserve">sree31@hotmail.com</t>
  </si>
  <si>
    <t xml:space="preserve">PUKKALAM HOUSE PERIYE PO PALLIKARA VIA, KASARAGOD DT</t>
  </si>
  <si>
    <t xml:space="preserve">SAYED JAVED</t>
  </si>
  <si>
    <t xml:space="preserve">0506343934</t>
  </si>
  <si>
    <t xml:space="preserve">9895886000</t>
  </si>
  <si>
    <t xml:space="preserve">djaav@yahoo.com</t>
  </si>
  <si>
    <t xml:space="preserve">KHAIRJAN MANZIL NR.CHRISTIAN CHURCH, SOUTH BAZAR KANNUR DT</t>
  </si>
  <si>
    <t xml:space="preserve">MANOJ GOPAL</t>
  </si>
  <si>
    <t xml:space="preserve">0505373682</t>
  </si>
  <si>
    <t xml:space="preserve">4682305044</t>
  </si>
  <si>
    <t xml:space="preserve">manojgopal74@gmail.com</t>
  </si>
  <si>
    <t xml:space="preserve">SREENILAYAM, V. KOTTAYAM P.O,, PATHANAMTHITTA DT.,KERALA</t>
  </si>
  <si>
    <t xml:space="preserve">M.P.DEVADAS</t>
  </si>
  <si>
    <t xml:space="preserve">0506263675</t>
  </si>
  <si>
    <t xml:space="preserve">polite123.9@am.com</t>
  </si>
  <si>
    <t xml:space="preserve">MANAMPILLY HOUSE MOTHIRAKANNI PO, CHALAKUDY VIA TRICHUR DT</t>
  </si>
  <si>
    <t xml:space="preserve">MUNAVAR MOTTEMMAL PARAKKAL</t>
  </si>
  <si>
    <t xml:space="preserve">0553103070</t>
  </si>
  <si>
    <t xml:space="preserve">9562334000</t>
  </si>
  <si>
    <t xml:space="preserve">munavarmp@gmail.com</t>
  </si>
  <si>
    <t xml:space="preserve">MAMZAR 7/245/E, CHEMBRA PO, PARAL-670671, MAHE</t>
  </si>
  <si>
    <t xml:space="preserve">SHEBEER .R.V</t>
  </si>
  <si>
    <t xml:space="preserve">0562109389</t>
  </si>
  <si>
    <t xml:space="preserve">shebeerrv@yahoo.com</t>
  </si>
  <si>
    <t xml:space="preserve">MUSLIM VEETTIL KARAKKAD GURUVAYUR, TRICHUR,KERALA.</t>
  </si>
  <si>
    <t xml:space="preserve">SHAM KUMAR .S.</t>
  </si>
  <si>
    <t xml:space="preserve">0506860351</t>
  </si>
  <si>
    <t xml:space="preserve">shamks2005@gmail.com</t>
  </si>
  <si>
    <t xml:space="preserve">SHAM SADANAM, PONNARAMTHOTTAM, MAVELIKARA, ALLEPPUZHA, 009147923042496</t>
  </si>
  <si>
    <t xml:space="preserve">K.M. ABDUL KADER</t>
  </si>
  <si>
    <t xml:space="preserve">0558088610</t>
  </si>
  <si>
    <t xml:space="preserve">9496684603</t>
  </si>
  <si>
    <t xml:space="preserve">kmak36@gmail.com</t>
  </si>
  <si>
    <t xml:space="preserve">K.M.HOUSE VALIYANNUR PO VARAM, KANNUR</t>
  </si>
  <si>
    <t xml:space="preserve">P.VARUTHUNNI THOMAS</t>
  </si>
  <si>
    <t xml:space="preserve">0504251504</t>
  </si>
  <si>
    <t xml:space="preserve">42860173</t>
  </si>
  <si>
    <t xml:space="preserve">thomas_chelsea_59@hotmail.com</t>
  </si>
  <si>
    <t xml:space="preserve">PERAMANGALATH HOUSE, PO THAIKKAD,, THRISSUR DT, Kerala</t>
  </si>
  <si>
    <t xml:space="preserve">RAJ KUMAR.P</t>
  </si>
  <si>
    <t xml:space="preserve">0557722497</t>
  </si>
  <si>
    <t xml:space="preserve">9495772133</t>
  </si>
  <si>
    <t xml:space="preserve">vimalraj_vr@yahoo.com</t>
  </si>
  <si>
    <t xml:space="preserve">THIRUVONAM, NEAR CHITHRA THEATRE,, AMBIKA NAGAR, NSS ENG.COLLEGE- P.O., PALAKKAD.</t>
  </si>
  <si>
    <t xml:space="preserve">BAVOO BASHEER R.</t>
  </si>
  <si>
    <t xml:space="preserve">0506350733</t>
  </si>
  <si>
    <t xml:space="preserve">48022060</t>
  </si>
  <si>
    <t xml:space="preserve">bavoobasheer.gvr@gmail.com</t>
  </si>
  <si>
    <t xml:space="preserve">RAYAMARAKAR H KANDANASSERY PO, TRICHUR DT</t>
  </si>
  <si>
    <t xml:space="preserve">SARAFUDHEEN PARAMMEL</t>
  </si>
  <si>
    <t xml:space="preserve">0552672170</t>
  </si>
  <si>
    <t xml:space="preserve">96052672170</t>
  </si>
  <si>
    <t xml:space="preserve">sharafuatholi@gmail.com</t>
  </si>
  <si>
    <t xml:space="preserve">BUSHRA MANZIL ATHOLI POST, KOZHIKODE</t>
  </si>
  <si>
    <t xml:space="preserve">ALEX V. JOHN</t>
  </si>
  <si>
    <t xml:space="preserve">0507802114</t>
  </si>
  <si>
    <t xml:space="preserve">4692774587</t>
  </si>
  <si>
    <t xml:space="preserve">alexvsts@gmail.com</t>
  </si>
  <si>
    <t xml:space="preserve">VADAKKEPARAMPIL VALAKUZHI PO, PATHANAMTHITTA DT</t>
  </si>
  <si>
    <t xml:space="preserve">SAMEEL PUTHIYANDI</t>
  </si>
  <si>
    <t xml:space="preserve">0554287800</t>
  </si>
  <si>
    <t xml:space="preserve">NAFEESA MANZIL SHADULI PALLY ROAD, KOTTALI KANNUR DT</t>
  </si>
  <si>
    <t xml:space="preserve">THOMAS VARUGHESE</t>
  </si>
  <si>
    <t xml:space="preserve">0505768258</t>
  </si>
  <si>
    <t xml:space="preserve">jacksonpeniyan@yahoo.com</t>
  </si>
  <si>
    <t xml:space="preserve">PENIYATHU THALIKALLUNKAL HOUSE, VENNIKULAM PO TIRUVALLA PATHANAMTHITTA, 0091 461 2650653</t>
  </si>
  <si>
    <t xml:space="preserve">SUGITH</t>
  </si>
  <si>
    <t xml:space="preserve">0566261000</t>
  </si>
  <si>
    <t xml:space="preserve">4872292089</t>
  </si>
  <si>
    <t xml:space="preserve">sugdxb@gmail.com</t>
  </si>
  <si>
    <t xml:space="preserve">POST KUNDALIYUR, ENGANDIYUR,, TRICHUR, KERALA.</t>
  </si>
  <si>
    <t xml:space="preserve">JOHN AZHAKATTIL JOHN</t>
  </si>
  <si>
    <t xml:space="preserve">0506360423</t>
  </si>
  <si>
    <t xml:space="preserve">9447563719</t>
  </si>
  <si>
    <t xml:space="preserve">johnazhakattil@hotmail.com</t>
  </si>
  <si>
    <t xml:space="preserve">AZHAKATTIL HOUSE, UTHIMOODU PO, PATHANAMTHITTA</t>
  </si>
  <si>
    <t xml:space="preserve">RAMAKRISHNAN KELAN</t>
  </si>
  <si>
    <t xml:space="preserve">0505675071</t>
  </si>
  <si>
    <t xml:space="preserve">4672240807</t>
  </si>
  <si>
    <t xml:space="preserve">royalrnkashab@gmail.com</t>
  </si>
  <si>
    <t xml:space="preserve">KODOTH VALAPPIL HOUSE, KOVVALPALLI PO KANHANGAD VIA KASARAGOD DT</t>
  </si>
  <si>
    <t xml:space="preserve">BOBBY HUSSAIN</t>
  </si>
  <si>
    <t xml:space="preserve">0505971476</t>
  </si>
  <si>
    <t xml:space="preserve">8157892106</t>
  </si>
  <si>
    <t xml:space="preserve">bobyhussain@gmail.com</t>
  </si>
  <si>
    <t xml:space="preserve">CHINCHU VILLA MUNDAKKAL, KOLLAM, KERALA</t>
  </si>
  <si>
    <t xml:space="preserve">KUMBALATH KUTTAN RAJU</t>
  </si>
  <si>
    <t xml:space="preserve">0506691379</t>
  </si>
  <si>
    <t xml:space="preserve">kkrajusunbelt@yahoo.com</t>
  </si>
  <si>
    <t xml:space="preserve">KUMBALATH HOUSE PO PUTHENCHIRA, TRICHUR DT</t>
  </si>
  <si>
    <t xml:space="preserve">SUJITH VARGHESE</t>
  </si>
  <si>
    <t xml:space="preserve">0504849509</t>
  </si>
  <si>
    <t xml:space="preserve">4682213394</t>
  </si>
  <si>
    <t xml:space="preserve">sujithv@eim.ae</t>
  </si>
  <si>
    <t xml:space="preserve">KELAMPAKALATHIL LIVAS BHAVAN MELUKARA, KOZHENCHERRY PATHANAMTHITTA DT</t>
  </si>
  <si>
    <t xml:space="preserve">K.V.PRABHAKARAN</t>
  </si>
  <si>
    <t xml:space="preserve">JIGI MATHEW</t>
  </si>
  <si>
    <t xml:space="preserve">0507485025</t>
  </si>
  <si>
    <t xml:space="preserve">14792333294</t>
  </si>
  <si>
    <t xml:space="preserve">jigiktnm@gmail.com</t>
  </si>
  <si>
    <t xml:space="preserve">MALAYIL HOUSE BHARANICKAVU SOUTH PO, ALAPPUZHA DT</t>
  </si>
  <si>
    <t xml:space="preserve">KUMARAN VALLIVAYAL</t>
  </si>
  <si>
    <t xml:space="preserve">0558740140</t>
  </si>
  <si>
    <t xml:space="preserve">veekeythottam@gmail.com</t>
  </si>
  <si>
    <t xml:space="preserve">VINITHA NIVAS, VALLIVAYAL- PO UDMA,, KASARAGOD DT., 0091 4672265314</t>
  </si>
  <si>
    <t xml:space="preserve">ANIL BOSE K.</t>
  </si>
  <si>
    <t xml:space="preserve">0505699578</t>
  </si>
  <si>
    <t xml:space="preserve">4672237163</t>
  </si>
  <si>
    <t xml:space="preserve">aninbose37@gmail.com</t>
  </si>
  <si>
    <t xml:space="preserve">PERIYA VALAPPIL HOUSE 9/393 PO UDMA, KASARAGOD DT</t>
  </si>
  <si>
    <t xml:space="preserve">RAJU VARGHESE</t>
  </si>
  <si>
    <t xml:space="preserve">0506983019</t>
  </si>
  <si>
    <t xml:space="preserve">9400570660</t>
  </si>
  <si>
    <t xml:space="preserve">rajupathanamthitta@gmail.com</t>
  </si>
  <si>
    <t xml:space="preserve">CHAKKALAKUZHIYIL HOUSE, PUTHUKULAM, MALAYALAPUZHA, ERAM PO, PATHANAMTHITTA</t>
  </si>
  <si>
    <t xml:space="preserve">MATHAI CHACKO</t>
  </si>
  <si>
    <t xml:space="preserve">0543634307</t>
  </si>
  <si>
    <t xml:space="preserve">4792443968</t>
  </si>
  <si>
    <t xml:space="preserve">mathaiem@eim.ae</t>
  </si>
  <si>
    <t xml:space="preserve">PAITAYIL GEJOE VILLA CHERUVALLY PO, KAYAMKULAM</t>
  </si>
  <si>
    <t xml:space="preserve">SHIBU SAM GEORGE</t>
  </si>
  <si>
    <t xml:space="preserve">0508677195</t>
  </si>
  <si>
    <t xml:space="preserve">9562774320</t>
  </si>
  <si>
    <t xml:space="preserve">shibu555@gmail.com</t>
  </si>
  <si>
    <t xml:space="preserve">KUZHIYATHU VADAKKETHIL, VETTIYAR, ALLEPPY, KERALA.</t>
  </si>
  <si>
    <t xml:space="preserve">RADHA KRISHNAN P.K</t>
  </si>
  <si>
    <t xml:space="preserve">0522988416</t>
  </si>
  <si>
    <t xml:space="preserve">466226403</t>
  </si>
  <si>
    <t xml:space="preserve">kairaliartscentre@gmail.com</t>
  </si>
  <si>
    <t xml:space="preserve">159, LEKSHMI NIVAS, POST PULLASSERY, PATTAMBI, AMYUR, PALGHAT DT</t>
  </si>
  <si>
    <t xml:space="preserve">RANJITH.R</t>
  </si>
  <si>
    <t xml:space="preserve">0506327278</t>
  </si>
  <si>
    <t xml:space="preserve">ranjith_88871@yahoo.com</t>
  </si>
  <si>
    <t xml:space="preserve">TC 24/330 SREEKRISHNA VILAS, SANGEETHA ACCADAMY ROAD TRIVANDRUM, 0091 9847094256</t>
  </si>
  <si>
    <t xml:space="preserve">MOHSIN</t>
  </si>
  <si>
    <t xml:space="preserve">0506749968</t>
  </si>
  <si>
    <t xml:space="preserve">4972843218</t>
  </si>
  <si>
    <t xml:space="preserve">mohsin.ali@dnata.com</t>
  </si>
  <si>
    <t xml:space="preserve">SHAMEENAS MAATUL, KANNUR DT</t>
  </si>
  <si>
    <t xml:space="preserve">P.K.SAITHALAVI</t>
  </si>
  <si>
    <t xml:space="preserve">0551761784</t>
  </si>
  <si>
    <t xml:space="preserve">505767933</t>
  </si>
  <si>
    <t xml:space="preserve">EDACHALAM PO PERASSANOOR, VIA KUTTIPPURAM MALAPPURAM DT</t>
  </si>
  <si>
    <t xml:space="preserve">RAJAN T. CHACKO</t>
  </si>
  <si>
    <t xml:space="preserve">0505675720</t>
  </si>
  <si>
    <t xml:space="preserve">9446939417</t>
  </si>
  <si>
    <t xml:space="preserve">rajan220@eim.ae</t>
  </si>
  <si>
    <t xml:space="preserve">RAJAN NILAYAM EREZHA SOUTH, CHETTIKULANGARA PO ALLAPPUZHA</t>
  </si>
  <si>
    <t xml:space="preserve">K.KAMARUDHEEN</t>
  </si>
  <si>
    <t xml:space="preserve">0507478587</t>
  </si>
  <si>
    <t xml:space="preserve">9447628901</t>
  </si>
  <si>
    <t xml:space="preserve">KUNNATHU HOUSE VANIYAMBALAM, WANDOOR MALAPPURAM DT</t>
  </si>
  <si>
    <t xml:space="preserve">P.RAJKUMAR</t>
  </si>
  <si>
    <t xml:space="preserve">0507265417</t>
  </si>
  <si>
    <t xml:space="preserve">9946435035</t>
  </si>
  <si>
    <t xml:space="preserve">lerosh885@gmail.com</t>
  </si>
  <si>
    <t xml:space="preserve">RAJ NIVAS, PALACKAL,, THEVALAKKARA-P.O., KOLLAM</t>
  </si>
  <si>
    <t xml:space="preserve">ADV. V. C. CHACKO</t>
  </si>
  <si>
    <t xml:space="preserve">0506594517</t>
  </si>
  <si>
    <t xml:space="preserve">4692678024</t>
  </si>
  <si>
    <t xml:space="preserve">adv_vcchacko@yahoo.com</t>
  </si>
  <si>
    <t xml:space="preserve">VADAKKADATHU HOUSE, PUTHUSSERY SOUTH,, PATHANAMTHITTA DT., KERALA.</t>
  </si>
  <si>
    <t xml:space="preserve">PRASAD PRABHAKARAN</t>
  </si>
  <si>
    <t xml:space="preserve">0555481979</t>
  </si>
  <si>
    <t xml:space="preserve">8848345617</t>
  </si>
  <si>
    <t xml:space="preserve">prasad40@yahoo.com</t>
  </si>
  <si>
    <t xml:space="preserve">MENACHERY TOWER, FLAT NO.5 B, BENNET ROAD,, Chembukikavu.Po.,Nr. VADAKKANCHERY TEMPLE, TRICHUR.</t>
  </si>
  <si>
    <t xml:space="preserve">SHARAFUDEEN .V</t>
  </si>
  <si>
    <t xml:space="preserve">0506771064</t>
  </si>
  <si>
    <t xml:space="preserve">4885242084</t>
  </si>
  <si>
    <t xml:space="preserve">sharaf2380@gmail.com</t>
  </si>
  <si>
    <t xml:space="preserve">VALIYAKATH HOUSE,PO.KECHERY, TRICHUR DT, KERALA</t>
  </si>
  <si>
    <t xml:space="preserve">AJITH ABRAHAM JACOB</t>
  </si>
  <si>
    <t xml:space="preserve">0504972307</t>
  </si>
  <si>
    <t xml:space="preserve">ajithjacob@stuaham.com</t>
  </si>
  <si>
    <t xml:space="preserve">VEREELETHU VALANJAVATTOM.PO, THIRUVALLA-4, 0091 469 2610213</t>
  </si>
  <si>
    <t xml:space="preserve">SOMASUNDARAN .P</t>
  </si>
  <si>
    <t xml:space="preserve">0505473015</t>
  </si>
  <si>
    <t xml:space="preserve">4802846664</t>
  </si>
  <si>
    <t xml:space="preserve">ushasomanshj@gmail.com</t>
  </si>
  <si>
    <t xml:space="preserve">KANJIRAPARAMBATH HOUSE, PO KARUVANNUR,, TRICHUR DT.</t>
  </si>
  <si>
    <t xml:space="preserve">P.MOIDEEN KUNHI</t>
  </si>
  <si>
    <t xml:space="preserve">0556340999</t>
  </si>
  <si>
    <t xml:space="preserve">4672270884</t>
  </si>
  <si>
    <t xml:space="preserve">mail@smartopticals.com</t>
  </si>
  <si>
    <t xml:space="preserve">DARUL MUBASHIRA, UDUMBUNTHALA PO, KASARAGOD DT</t>
  </si>
  <si>
    <t xml:space="preserve">K.MURALIDHARAN</t>
  </si>
  <si>
    <t xml:space="preserve">0506393964</t>
  </si>
  <si>
    <t xml:space="preserve">9061428383</t>
  </si>
  <si>
    <t xml:space="preserve">kmorli@hotmail.com</t>
  </si>
  <si>
    <t xml:space="preserve">GEETHANJALI, NENMINI,, GURUVAYOOR POST, THRISSUR.</t>
  </si>
  <si>
    <t xml:space="preserve">ABDUL KADER P.P</t>
  </si>
  <si>
    <t xml:space="preserve">0505378650</t>
  </si>
  <si>
    <t xml:space="preserve">NASEERAS KUNNUMKAY, PO CHIRAKKAL KANNUR DT</t>
  </si>
  <si>
    <t xml:space="preserve">JACOB MATHEWS</t>
  </si>
  <si>
    <t xml:space="preserve">0506862852</t>
  </si>
  <si>
    <t xml:space="preserve">jacob71@yahoo.com</t>
  </si>
  <si>
    <t xml:space="preserve">THIRUVALLA KALAYIL WOOD ROSE ARANMULA PO</t>
  </si>
  <si>
    <t xml:space="preserve">M.P.PHILIPOSE</t>
  </si>
  <si>
    <t xml:space="preserve">0506773049</t>
  </si>
  <si>
    <t xml:space="preserve">mpphilipose@gmail.com</t>
  </si>
  <si>
    <t xml:space="preserve">MULAMOOTTIL KALAYIL NARANCANAM PO, PATHANAMTHITTA</t>
  </si>
  <si>
    <t xml:space="preserve">JIJESH GOPALAKRISHNAN</t>
  </si>
  <si>
    <t xml:space="preserve">0504881022</t>
  </si>
  <si>
    <t xml:space="preserve">9037371221</t>
  </si>
  <si>
    <t xml:space="preserve">contactjijesh@gmail.com</t>
  </si>
  <si>
    <t xml:space="preserve">THEJAS KALLUMTHAZHAM PO KILIKOLLOOR, KOLLAM</t>
  </si>
  <si>
    <t xml:space="preserve">ANTONY GEORGE</t>
  </si>
  <si>
    <t xml:space="preserve">0504597937</t>
  </si>
  <si>
    <t xml:space="preserve">antonygc@gmail.com</t>
  </si>
  <si>
    <t xml:space="preserve">CHALISSERY, KARANCHIRA, THRISSUR, 00914802 877353</t>
  </si>
  <si>
    <t xml:space="preserve">MATHAI M.Y.</t>
  </si>
  <si>
    <t xml:space="preserve">0558762324</t>
  </si>
  <si>
    <t xml:space="preserve">MULLANKUZHY H KANNOTH PO KODENCHERRY VIA, KOZHIKODE DT, 00914952237274</t>
  </si>
  <si>
    <t xml:space="preserve">RAGHAVA DAMODHARA</t>
  </si>
  <si>
    <t xml:space="preserve">0508902705</t>
  </si>
  <si>
    <t xml:space="preserve">4994205438</t>
  </si>
  <si>
    <t xml:space="preserve">raghavanmunnad@gmail.com</t>
  </si>
  <si>
    <t xml:space="preserve">MIDHUNAM, MUNNAD P.O,, KASARAGOD DT.</t>
  </si>
  <si>
    <t xml:space="preserve">NOUSHAD .M</t>
  </si>
  <si>
    <t xml:space="preserve">0507874727</t>
  </si>
  <si>
    <t xml:space="preserve">4762872940</t>
  </si>
  <si>
    <t xml:space="preserve">shadmshad22@gmail.com</t>
  </si>
  <si>
    <t xml:space="preserve">ZEENATH MANZIL PALACKAL, THEVALAKARA PO</t>
  </si>
  <si>
    <t xml:space="preserve">AJIT KUMAR M.</t>
  </si>
  <si>
    <t xml:space="preserve">0506951487</t>
  </si>
  <si>
    <t xml:space="preserve">4672234661</t>
  </si>
  <si>
    <t xml:space="preserve">ajithpriya06@gmail.com</t>
  </si>
  <si>
    <t xml:space="preserve">RAMA NILAYAM, RAVANESHWAR-P.O., KASARAGOD DT.</t>
  </si>
  <si>
    <t xml:space="preserve">K.K. ASOKAN</t>
  </si>
  <si>
    <t xml:space="preserve">0506966759</t>
  </si>
  <si>
    <t xml:space="preserve">4885289823</t>
  </si>
  <si>
    <t xml:space="preserve">reembakery@gmail.com</t>
  </si>
  <si>
    <t xml:space="preserve">KODATHUR HOUSE PO CHERUTHURUTHY, TRICHUR DT.</t>
  </si>
  <si>
    <t xml:space="preserve">RATNA GOVIND</t>
  </si>
  <si>
    <t xml:space="preserve">0569265564</t>
  </si>
  <si>
    <t xml:space="preserve">9447556142</t>
  </si>
  <si>
    <t xml:space="preserve">govindpattanath6554@gmail.com</t>
  </si>
  <si>
    <t xml:space="preserve">PATTANATH HOUSE, POST PUTHAN PALLI, GURUVAYOOR, THRISSUR</t>
  </si>
  <si>
    <t xml:space="preserve">MUHAMED ABDUL KADER</t>
  </si>
  <si>
    <t xml:space="preserve">0508625391</t>
  </si>
  <si>
    <t xml:space="preserve">mak.abdu@gmail.com</t>
  </si>
  <si>
    <t xml:space="preserve">PO NATTIKA TRIPRAYAR, TRICHUR DT, 0091 9995141129</t>
  </si>
  <si>
    <t xml:space="preserve">SHAMSUDHEEN A. AHMED</t>
  </si>
  <si>
    <t xml:space="preserve">0528368888</t>
  </si>
  <si>
    <t xml:space="preserve">sudeen@eim.ae</t>
  </si>
  <si>
    <t xml:space="preserve">AMBALATH SABEEL HOUSE, PO KECHERY TRICHUR DT</t>
  </si>
  <si>
    <t xml:space="preserve">K.H.WAHABUDDIN</t>
  </si>
  <si>
    <t xml:space="preserve">0504510865</t>
  </si>
  <si>
    <t xml:space="preserve">khawahab@yahoo.co.in</t>
  </si>
  <si>
    <t xml:space="preserve">CHIRAG EDAVA PO</t>
  </si>
  <si>
    <t xml:space="preserve">SAINUDEEN THAIVALAPPIL</t>
  </si>
  <si>
    <t xml:space="preserve">0508627987</t>
  </si>
  <si>
    <t xml:space="preserve">4672267488</t>
  </si>
  <si>
    <t xml:space="preserve">zainudheentv@yahoo.co.in</t>
  </si>
  <si>
    <t xml:space="preserve">FOUSIYA MANZIL, PO CHITHARI, VIA PALLIKKERE, KASARAGOD DT</t>
  </si>
  <si>
    <t xml:space="preserve">BINU P. SAM</t>
  </si>
  <si>
    <t xml:space="preserve">0507978560</t>
  </si>
  <si>
    <t xml:space="preserve">4734212299</t>
  </si>
  <si>
    <t xml:space="preserve">binupulimoottilsam@gmail.com</t>
  </si>
  <si>
    <t xml:space="preserve">PULIMOOTTIL HOUSE ENATHU PO, PATHANAMTHITTA DT, KERALA</t>
  </si>
  <si>
    <t xml:space="preserve">ABDURAHIMAN</t>
  </si>
  <si>
    <t xml:space="preserve">0509893333</t>
  </si>
  <si>
    <t xml:space="preserve">2000, PALLIPARAMBEN HOUSE PO PUTHUR, VIA KOTTAKKAL MALAPPURAM DT</t>
  </si>
  <si>
    <t xml:space="preserve">N.K.PRABHAKARAN</t>
  </si>
  <si>
    <t xml:space="preserve">0502138688</t>
  </si>
  <si>
    <t xml:space="preserve">9846334089</t>
  </si>
  <si>
    <t xml:space="preserve">nottath@gmail.com</t>
  </si>
  <si>
    <t xml:space="preserve">THRUPPADAM, 59, KANNATH LANE,, AYYANTHOLE,TRICHUR DIST-680003, KERALA.</t>
  </si>
  <si>
    <t xml:space="preserve">K.V.MANOHARAN</t>
  </si>
  <si>
    <t xml:space="preserve">0506445816</t>
  </si>
  <si>
    <t xml:space="preserve">KALAPPURAKKAL HOUSE PO IRINJALAKUDA, TRICHUR</t>
  </si>
  <si>
    <t xml:space="preserve">ISMAIL RAWTHER P.M.</t>
  </si>
  <si>
    <t xml:space="preserve">0559297662</t>
  </si>
  <si>
    <t xml:space="preserve">8891365860</t>
  </si>
  <si>
    <t xml:space="preserve">rawtheraji@gmail.com</t>
  </si>
  <si>
    <t xml:space="preserve">PEEDIKAYIL HOUSE ANGADI,, RANNY,PATHANAMTHITTA</t>
  </si>
  <si>
    <t xml:space="preserve">JACOB THOMAS</t>
  </si>
  <si>
    <t xml:space="preserve">0505771325</t>
  </si>
  <si>
    <t xml:space="preserve">4842408404</t>
  </si>
  <si>
    <t xml:space="preserve">jacob@tsim-industries.com</t>
  </si>
  <si>
    <t xml:space="preserve">PEEDIKAYIL, PLAMMOOTTIL, KOZHENCHERRY PO,, PATHANAMTHITTA DT</t>
  </si>
  <si>
    <t xml:space="preserve">GEORGE BENJAMIN V.</t>
  </si>
  <si>
    <t xml:space="preserve">0503622059</t>
  </si>
  <si>
    <t xml:space="preserve">nishyregi@gmail.com</t>
  </si>
  <si>
    <t xml:space="preserve">VAYALUNKAL HOUSE, MUNDATHANAM PO,, KANGAZHA, KOTTAYAM, 00914812494771</t>
  </si>
  <si>
    <t xml:space="preserve">JABEERMADATHIL KOYA</t>
  </si>
  <si>
    <t xml:space="preserve">0505725835</t>
  </si>
  <si>
    <t xml:space="preserve">9567518218</t>
  </si>
  <si>
    <t xml:space="preserve">jabeer79@yahoo.com</t>
  </si>
  <si>
    <t xml:space="preserve">ZAIBUSKANJHIRA,THOTTADA,, KANNUR DT, KERALA.</t>
  </si>
  <si>
    <t xml:space="preserve">FERNANDES MAXIMIAN</t>
  </si>
  <si>
    <t xml:space="preserve">0508814541</t>
  </si>
  <si>
    <t xml:space="preserve">8879706890</t>
  </si>
  <si>
    <t xml:space="preserve">max793@hotmail.com</t>
  </si>
  <si>
    <t xml:space="preserve">DABOSWADA , POST VENGURLA,, DT SINDHUDURGA, MAHARASHTRA</t>
  </si>
  <si>
    <t xml:space="preserve">MOHAN GEORGE</t>
  </si>
  <si>
    <t xml:space="preserve">0502668266</t>
  </si>
  <si>
    <t xml:space="preserve">4712319339</t>
  </si>
  <si>
    <t xml:space="preserve">mohangerorge007@gmail.com</t>
  </si>
  <si>
    <t xml:space="preserve">1617-E, BLOCK-B, HEERA SWISS TOWN,, SASTHAMANGALAM, TRIVANDRUM</t>
  </si>
  <si>
    <t xml:space="preserve">SILVESTER BENEDICT</t>
  </si>
  <si>
    <t xml:space="preserve">0506557491</t>
  </si>
  <si>
    <t xml:space="preserve">4742764058</t>
  </si>
  <si>
    <t xml:space="preserve">silvesterbenedict@gmail.com</t>
  </si>
  <si>
    <t xml:space="preserve">SALY'S COTTAGE, KADAPPAKADA, VRINDAVAN NAGAR, KOLLAM</t>
  </si>
  <si>
    <t xml:space="preserve">MACHIL KUNHAMMED</t>
  </si>
  <si>
    <t xml:space="preserve">0504749800</t>
  </si>
  <si>
    <t xml:space="preserve">mkunhammed61@gmail.com</t>
  </si>
  <si>
    <t xml:space="preserve">MACHIL HOUSE POST MEMUNDA, VIA BADAGARA KOZHIKODE</t>
  </si>
  <si>
    <t xml:space="preserve">MATHAI OOMMEN</t>
  </si>
  <si>
    <t xml:space="preserve">0506463177</t>
  </si>
  <si>
    <t xml:space="preserve">komathew2000@yahoo.com</t>
  </si>
  <si>
    <t xml:space="preserve">OTTAPLAKKAL, MALAKKARA P.O., PATHANAMTHITTA DT., 0091 8592940509</t>
  </si>
  <si>
    <t xml:space="preserve">M.M.AFSAL</t>
  </si>
  <si>
    <t xml:space="preserve">0557488630</t>
  </si>
  <si>
    <t xml:space="preserve">4802836416</t>
  </si>
  <si>
    <t xml:space="preserve">afsal.sinchis@gmail.com</t>
  </si>
  <si>
    <t xml:space="preserve">MAMMASARAYILLATH HOUSE CHANTRAPPINI, PO CHAMAKALA TRICHUR</t>
  </si>
  <si>
    <t xml:space="preserve">MOHAMMED KUNHI T.V.</t>
  </si>
  <si>
    <t xml:space="preserve">0505762817</t>
  </si>
  <si>
    <t xml:space="preserve">POST MATOOL NORTH, KANNUR DT</t>
  </si>
  <si>
    <t xml:space="preserve">MOHAMMED NAUFAL</t>
  </si>
  <si>
    <t xml:space="preserve">0506754916</t>
  </si>
  <si>
    <t xml:space="preserve">8129514833</t>
  </si>
  <si>
    <t xml:space="preserve">mohnaufal@yahoo.com</t>
  </si>
  <si>
    <t xml:space="preserve">SUHAG, YMCMA, CROSS ROAD CALICUT</t>
  </si>
  <si>
    <t xml:space="preserve">K.K.RETHNAN</t>
  </si>
  <si>
    <t xml:space="preserve">0504633847</t>
  </si>
  <si>
    <t xml:space="preserve">rethnankk@yahoo.co.uk</t>
  </si>
  <si>
    <t xml:space="preserve">KANICHIYIL HOUSE PO PADOOR, THRISSUR DT</t>
  </si>
  <si>
    <t xml:space="preserve">KANAKARAJAN K.R</t>
  </si>
  <si>
    <t xml:space="preserve">0505478783</t>
  </si>
  <si>
    <t xml:space="preserve">kanakarajan11@gmail.com</t>
  </si>
  <si>
    <t xml:space="preserve">THANATHINKAL KANNAM VAYAL PO PAKKAM, KASARAGOD DT</t>
  </si>
  <si>
    <t xml:space="preserve">ABDUR RASHEED K.P</t>
  </si>
  <si>
    <t xml:space="preserve">0509974900</t>
  </si>
  <si>
    <t xml:space="preserve">2780175</t>
  </si>
  <si>
    <t xml:space="preserve">hajimanzil@gmail.com</t>
  </si>
  <si>
    <t xml:space="preserve">HAJEE MANZIOL MANKADAVU PO AROLY, PAPPINISSERY KANNUR DT</t>
  </si>
  <si>
    <t xml:space="preserve">ABDUL RAZZAK THODIMMAL</t>
  </si>
  <si>
    <t xml:space="preserve">0552310774</t>
  </si>
  <si>
    <t xml:space="preserve">4942622141</t>
  </si>
  <si>
    <t xml:space="preserve">tmrazzak2@gmail.com</t>
  </si>
  <si>
    <t xml:space="preserve">THODIMMAL HOUSE VELIKULAM IRIMBILIYAM PO, MALAPPURAM DT</t>
  </si>
  <si>
    <t xml:space="preserve">H.ASHARAFUDEEN</t>
  </si>
  <si>
    <t xml:space="preserve">0507378451</t>
  </si>
  <si>
    <t xml:space="preserve">asharafkply@gmail.com</t>
  </si>
  <si>
    <t xml:space="preserve">KODIYIL HOUSE S.V.M. PO KARUNAGAPPALLY, KOLLAM DT</t>
  </si>
  <si>
    <t xml:space="preserve">SAYED MOHAMMED P.T</t>
  </si>
  <si>
    <t xml:space="preserve">0505289734</t>
  </si>
  <si>
    <t xml:space="preserve">4942651394</t>
  </si>
  <si>
    <t xml:space="preserve">sayed@altaqwaelectric.com</t>
  </si>
  <si>
    <t xml:space="preserve">PADINCHARETHIYATH HOUSE KANCHIYOOR, MOOKKUTHALA PO MALAPPURAM DT</t>
  </si>
  <si>
    <t xml:space="preserve">ZAINUDHEEN MODAYANGADEN</t>
  </si>
  <si>
    <t xml:space="preserve">0506964127</t>
  </si>
  <si>
    <t xml:space="preserve">9847440820</t>
  </si>
  <si>
    <t xml:space="preserve">alsalwantech786@gmail.com</t>
  </si>
  <si>
    <t xml:space="preserve">MODAYANGADEN, MELEPAITHINIPARAMBU,, PO MELMURY, MALAPPURAM</t>
  </si>
  <si>
    <t xml:space="preserve">ABDUL BASHEER</t>
  </si>
  <si>
    <t xml:space="preserve">0557220288</t>
  </si>
  <si>
    <t xml:space="preserve">9895088798</t>
  </si>
  <si>
    <t xml:space="preserve">basheer8798@gmail.com</t>
  </si>
  <si>
    <t xml:space="preserve">PUTHOOR HOUSE NEAR THOTTHYJUMA MASJID, PO PALLIKERA KASARAGOD DT</t>
  </si>
  <si>
    <t xml:space="preserve">P.T.CHANDRAN</t>
  </si>
  <si>
    <t xml:space="preserve">0506113364</t>
  </si>
  <si>
    <t xml:space="preserve">4662258681</t>
  </si>
  <si>
    <t xml:space="preserve">sreelakham@yahoo.com</t>
  </si>
  <si>
    <t xml:space="preserve">PO THALI CHELUR, TRICHUR DT</t>
  </si>
  <si>
    <t xml:space="preserve">BENZIGAR PETER</t>
  </si>
  <si>
    <t xml:space="preserve">0507540065</t>
  </si>
  <si>
    <t xml:space="preserve">benzigarp@gmail.com</t>
  </si>
  <si>
    <t xml:space="preserve">T C 33/905 CICILY BHAVAN VETTUCAUD, TRIVANDRUM</t>
  </si>
  <si>
    <t xml:space="preserve">MOHAMED SHAREEF</t>
  </si>
  <si>
    <t xml:space="preserve">0507575791</t>
  </si>
  <si>
    <t xml:space="preserve">4872395694</t>
  </si>
  <si>
    <t xml:space="preserve">saabi2saabi@gmail.com</t>
  </si>
  <si>
    <t xml:space="preserve">PUTHAN VEETIL HOUSE, PO NATTIKA BEACH</t>
  </si>
  <si>
    <t xml:space="preserve">ZAKEER MOHAMED</t>
  </si>
  <si>
    <t xml:space="preserve">0504542109</t>
  </si>
  <si>
    <t xml:space="preserve">4998216054</t>
  </si>
  <si>
    <t xml:space="preserve">zakir106@hotmail.com</t>
  </si>
  <si>
    <t xml:space="preserve">PILANKATTA HOUSE P.V.S. COMPOUND, PO KUMBLA KASARAGOD DT</t>
  </si>
  <si>
    <t xml:space="preserve">RUBANS YESUDAS</t>
  </si>
  <si>
    <t xml:space="preserve">0505475250</t>
  </si>
  <si>
    <t xml:space="preserve">RUBANS VILLA VALIA VALI PO, TRIVANDRUM</t>
  </si>
  <si>
    <t xml:space="preserve">LINTO ANTONY</t>
  </si>
  <si>
    <t xml:space="preserve">0507277322</t>
  </si>
  <si>
    <t xml:space="preserve">9446231067</t>
  </si>
  <si>
    <t xml:space="preserve">lintoantony2510@gmail.com</t>
  </si>
  <si>
    <t xml:space="preserve">THOTTIAN HOUSE, VARANDARAPPILLY,, THRISSUR, KERALA.</t>
  </si>
  <si>
    <t xml:space="preserve">SAMEER K.K</t>
  </si>
  <si>
    <t xml:space="preserve">0507881902</t>
  </si>
  <si>
    <t xml:space="preserve">kpsamir@gmail.com</t>
  </si>
  <si>
    <t xml:space="preserve">NANMAS MATTUL NORTH PO, KANNUR, 04972871191</t>
  </si>
  <si>
    <t xml:space="preserve">ABDUL JABBAR K. SAIDU</t>
  </si>
  <si>
    <t xml:space="preserve">0504845514</t>
  </si>
  <si>
    <t xml:space="preserve">jabbarnadec586@gmail.com</t>
  </si>
  <si>
    <t xml:space="preserve">KARAPPAM VEETTIL, P.O. PATHAZHAKKAD,, KODUNGALLUR, TRICHUR, KERALA, 919947899840</t>
  </si>
  <si>
    <t xml:space="preserve">M.K. ABDUL RASHEED</t>
  </si>
  <si>
    <t xml:space="preserve">0508645699</t>
  </si>
  <si>
    <t xml:space="preserve">VILAYIL VEEDU KANIYAPURAM PO, TRIVANDRUM</t>
  </si>
  <si>
    <t xml:space="preserve">THEKKOOT KUNJIMON NARAYANAN</t>
  </si>
  <si>
    <t xml:space="preserve">0501767245</t>
  </si>
  <si>
    <t xml:space="preserve">9895200807</t>
  </si>
  <si>
    <t xml:space="preserve">thekkootnarayanan@gmail.com</t>
  </si>
  <si>
    <t xml:space="preserve">THEKKOOT HOUSE PO BLANGAD, CHAVAKKAD, TRISSUR</t>
  </si>
  <si>
    <t xml:space="preserve">SAPRU NARAYANAN</t>
  </si>
  <si>
    <t xml:space="preserve">0506261390</t>
  </si>
  <si>
    <t xml:space="preserve">4702602492</t>
  </si>
  <si>
    <t xml:space="preserve">shija@eim.ae</t>
  </si>
  <si>
    <t xml:space="preserve">ANANDA BHAVAN, KIDAVITHUVILA,, PALACHIRA P.O., VARKALA TRIVANDRUM</t>
  </si>
  <si>
    <t xml:space="preserve">B</t>
  </si>
  <si>
    <t xml:space="preserve">P. MUHAMMED</t>
  </si>
  <si>
    <t xml:space="preserve">0506138184</t>
  </si>
  <si>
    <t xml:space="preserve">hafsapkpk@gmail.com</t>
  </si>
  <si>
    <t xml:space="preserve">P.K.HOUSE PALLICHAL, PO CHERUKUNNU, CANNANORE DT, KERALA</t>
  </si>
  <si>
    <t xml:space="preserve">ABDUL KADER ABDULLA</t>
  </si>
  <si>
    <t xml:space="preserve">0507972386</t>
  </si>
  <si>
    <t xml:space="preserve">9061118888</t>
  </si>
  <si>
    <t xml:space="preserve">kaderkappil@yahoo.com</t>
  </si>
  <si>
    <t xml:space="preserve">PARVEEN MAHAL, PO BEKAL, BEHIND U P SCHOOL,, KOTIKULAM, KASARAGOD DT</t>
  </si>
  <si>
    <t xml:space="preserve">SHAFI P.</t>
  </si>
  <si>
    <t xml:space="preserve">0557171246</t>
  </si>
  <si>
    <t xml:space="preserve">8547049896</t>
  </si>
  <si>
    <t xml:space="preserve">shafivallikkad@gmail.com</t>
  </si>
  <si>
    <t xml:space="preserve">NARANGOLI H MUTTUNGAL PO, CHORODE VALLIKKAD KOZHIKODE DT</t>
  </si>
  <si>
    <t xml:space="preserve">N.K.MOHAMED ALI</t>
  </si>
  <si>
    <t xml:space="preserve">0505192552</t>
  </si>
  <si>
    <t xml:space="preserve">nkmohammedali@yahoo.com</t>
  </si>
  <si>
    <t xml:space="preserve">VADAMUKKU PO MARANCHERY, MALAPPURAM DT, 494 2670883</t>
  </si>
  <si>
    <t xml:space="preserve">PREMARAJAN E.K.</t>
  </si>
  <si>
    <t xml:space="preserve">0506146924</t>
  </si>
  <si>
    <t xml:space="preserve">460220560</t>
  </si>
  <si>
    <t xml:space="preserve">premshj@gmail.com</t>
  </si>
  <si>
    <t xml:space="preserve">SREEHARI, PARIYARAM PO, TALIPPARAMBA, KANNUR DT</t>
  </si>
  <si>
    <t xml:space="preserve">JOJI GEORGE</t>
  </si>
  <si>
    <t xml:space="preserve">0505768255</t>
  </si>
  <si>
    <t xml:space="preserve">4734231362</t>
  </si>
  <si>
    <t xml:space="preserve">jomgee@emirates.net.ae</t>
  </si>
  <si>
    <t xml:space="preserve">CHUNDOTTU MERCY BHAVAN NELLIMUKAL, PO MANAKALA ADOOR PATHANAMTHITTA DT</t>
  </si>
  <si>
    <t xml:space="preserve">VIJAYAN SAHADEVAN</t>
  </si>
  <si>
    <t xml:space="preserve">0506334600</t>
  </si>
  <si>
    <t xml:space="preserve">4792410841</t>
  </si>
  <si>
    <t xml:space="preserve">timedec@gmail.com</t>
  </si>
  <si>
    <t xml:space="preserve">MUTTEPUTHUVELIL HOUSE, MANGALAM,, ALLEPPEY DT,KERALA.</t>
  </si>
  <si>
    <t xml:space="preserve">MUJEEB RAHIMAN E.K</t>
  </si>
  <si>
    <t xml:space="preserve">0505475957</t>
  </si>
  <si>
    <t xml:space="preserve">4942459400</t>
  </si>
  <si>
    <t xml:space="preserve">anwarfm@emirates.net.ae</t>
  </si>
  <si>
    <t xml:space="preserve">EDAKANDAN HOUSE KOTTAPARAMBA PO IRINGALLUR, VENGARA MALAPPURAM DT</t>
  </si>
  <si>
    <t xml:space="preserve">KUNJMON HUSSAIN</t>
  </si>
  <si>
    <t xml:space="preserve">0526099915</t>
  </si>
  <si>
    <t xml:space="preserve">9037043474</t>
  </si>
  <si>
    <t xml:space="preserve">alraqielectricalsanitary@gmail.com</t>
  </si>
  <si>
    <t xml:space="preserve">KARUPPAM VEETTIL HOUSE, B.S.ROAD,, VATANAPPALLY, TRICHUR, KERALA</t>
  </si>
  <si>
    <t xml:space="preserve">C.P.MUSTHAFA</t>
  </si>
  <si>
    <t xml:space="preserve">0506993627</t>
  </si>
  <si>
    <t xml:space="preserve">4972783229</t>
  </si>
  <si>
    <t xml:space="preserve">mustafacp02@gmail.com</t>
  </si>
  <si>
    <t xml:space="preserve">C.P.HOUSE KAMBIL, PO KOLASSERY KANNUR DT</t>
  </si>
  <si>
    <t xml:space="preserve">JABEER A.P</t>
  </si>
  <si>
    <t xml:space="preserve">0505499507</t>
  </si>
  <si>
    <t xml:space="preserve">9605102927</t>
  </si>
  <si>
    <t xml:space="preserve">jabiap@gmail.com</t>
  </si>
  <si>
    <t xml:space="preserve">SEVENEST, MALOT, KANNADIPARAMBA, KANNUR KERALA</t>
  </si>
  <si>
    <t xml:space="preserve">K.P.JAYAKUMAR</t>
  </si>
  <si>
    <t xml:space="preserve">0507840460</t>
  </si>
  <si>
    <t xml:space="preserve">4802724064</t>
  </si>
  <si>
    <t xml:space="preserve">jaykartha@hotmail.com</t>
  </si>
  <si>
    <t xml:space="preserve">PALLATH MADOM PANTHALOOR, NELLAY PO THRISSUR DT</t>
  </si>
  <si>
    <t xml:space="preserve">YALAMARTY SARATH</t>
  </si>
  <si>
    <t xml:space="preserve">0504823400</t>
  </si>
  <si>
    <t xml:space="preserve">neehar@eim.ae</t>
  </si>
  <si>
    <t xml:space="preserve">NO 4 NOUKA NAGAR NEAR LIC QRTS., VISHAKHAPATNAM, ANDHRA PRADESH, 0091 9949135776</t>
  </si>
  <si>
    <t xml:space="preserve">ABDUL BASHEER P.T.</t>
  </si>
  <si>
    <t xml:space="preserve">0505673148</t>
  </si>
  <si>
    <t xml:space="preserve">basheer41986@gmail.com</t>
  </si>
  <si>
    <t xml:space="preserve">PALLYALTHODI, PO AMMINIKKAD, VIA PERINTHALMANNA, MALAPPURAM DT, 0091 8907141584</t>
  </si>
  <si>
    <t xml:space="preserve">PADMAKARAN ROBIN</t>
  </si>
  <si>
    <t xml:space="preserve">0507566959</t>
  </si>
  <si>
    <t xml:space="preserve">4734250294</t>
  </si>
  <si>
    <t xml:space="preserve">robinpadmakaran79@gmail.com</t>
  </si>
  <si>
    <t xml:space="preserve">ROBIN VILLA POOZHICKAD, PANDALAM PATHANAMTHITTA DT</t>
  </si>
  <si>
    <t xml:space="preserve">MUHAMAD FARHAS</t>
  </si>
  <si>
    <t xml:space="preserve">0504621471</t>
  </si>
  <si>
    <t xml:space="preserve">4872556025</t>
  </si>
  <si>
    <t xml:space="preserve">farhas14@gmail.com</t>
  </si>
  <si>
    <t xml:space="preserve">OOROTH HOUSE PO PALUVAYI, CHAVAKKAD THRISSUR</t>
  </si>
  <si>
    <t xml:space="preserve">THAYATH BHASKARAN</t>
  </si>
  <si>
    <t xml:space="preserve">0523009441</t>
  </si>
  <si>
    <t xml:space="preserve">W.NO. 10.150 BARE KASARAGOD</t>
  </si>
  <si>
    <t xml:space="preserve">VARGHESE THOMAS</t>
  </si>
  <si>
    <t xml:space="preserve">0506707985</t>
  </si>
  <si>
    <t xml:space="preserve">4692688218</t>
  </si>
  <si>
    <t xml:space="preserve">engrvt@eim.ae</t>
  </si>
  <si>
    <t xml:space="preserve">PANANGAYIL HOUSE KUNNATHANAM PO TIRUVALLA</t>
  </si>
  <si>
    <t xml:space="preserve">RAJENDRAN NAIR TULLECHERY</t>
  </si>
  <si>
    <t xml:space="preserve">0507124551</t>
  </si>
  <si>
    <t xml:space="preserve">THOTTATHIL HOUSE, KASARAGOD DT</t>
  </si>
  <si>
    <t xml:space="preserve">SETHUMADHAVAN VADUVANKARA</t>
  </si>
  <si>
    <t xml:space="preserve">0508072100</t>
  </si>
  <si>
    <t xml:space="preserve">4933226390</t>
  </si>
  <si>
    <t xml:space="preserve">sethu@dreamwayllc.com</t>
  </si>
  <si>
    <t xml:space="preserve">VADUVANKARA HOUSE PO CHEMMALASSERY, MALAPPURAM DT</t>
  </si>
  <si>
    <t xml:space="preserve">MOHAMMED ANAS</t>
  </si>
  <si>
    <t xml:space="preserve">0506510911</t>
  </si>
  <si>
    <t xml:space="preserve">mohd_anask@hotmail.com</t>
  </si>
  <si>
    <t xml:space="preserve">AFEEFAS, ALAKOD ROAD,, MANNA, TALIPARAMBA, KANNUR., 0091 995913319</t>
  </si>
  <si>
    <t xml:space="preserve">JAPHAR SADIC C.K.</t>
  </si>
  <si>
    <t xml:space="preserve">0506773361</t>
  </si>
  <si>
    <t xml:space="preserve">ckjsadiq@gmail.com</t>
  </si>
  <si>
    <t xml:space="preserve">SHABEEBA MANZIL NEAR TAGOR, TALIPARAMBA, 0460 2205130</t>
  </si>
  <si>
    <t xml:space="preserve">K.V.ALEX</t>
  </si>
  <si>
    <t xml:space="preserve">0504995102</t>
  </si>
  <si>
    <t xml:space="preserve">4802729726</t>
  </si>
  <si>
    <t xml:space="preserve">kallivalappil@gmail.com</t>
  </si>
  <si>
    <t xml:space="preserve">KALLIVALAPPIL HOUSE KALLETTUMKARA PO, TRICHUR DT</t>
  </si>
  <si>
    <t xml:space="preserve">TOM MATHEW</t>
  </si>
  <si>
    <t xml:space="preserve">0505533586</t>
  </si>
  <si>
    <t xml:space="preserve">MUKKUTTIL HOUSE PO ELAVUMTHITTA, PATHANAMTHITTA DT</t>
  </si>
  <si>
    <t xml:space="preserve">MOHAMMED ASHRAF</t>
  </si>
  <si>
    <t xml:space="preserve">0507864784</t>
  </si>
  <si>
    <t xml:space="preserve">4672273103</t>
  </si>
  <si>
    <t xml:space="preserve">avfruits@gmail.com</t>
  </si>
  <si>
    <t xml:space="preserve">KURICHIKUNNIL HOUSE BEKAL ILYAS NAGAR, PO PALLIKKARE KASARAGOD DT</t>
  </si>
  <si>
    <t xml:space="preserve">MOHAMED SHAJI</t>
  </si>
  <si>
    <t xml:space="preserve">0559801763</t>
  </si>
  <si>
    <t xml:space="preserve">s296811@emirates.com</t>
  </si>
  <si>
    <t xml:space="preserve">MELETHALAKKAL HOUSE NEAR VILLAGE OFFICE, PO CHALISSERI PALAKKAD DT</t>
  </si>
  <si>
    <t xml:space="preserve">ABDUL SALAM C H</t>
  </si>
  <si>
    <t xml:space="preserve">0561199863</t>
  </si>
  <si>
    <t xml:space="preserve">8606219010</t>
  </si>
  <si>
    <t xml:space="preserve">abdulsalam726@yahoo.com</t>
  </si>
  <si>
    <t xml:space="preserve">CHETTUKUNDU, KADAPPURAM, KEEKAN PO, VIA PALLIKERE, KASARAGOD DT.</t>
  </si>
  <si>
    <t xml:space="preserve">ABDUL SHUKOOR K.P.</t>
  </si>
  <si>
    <t xml:space="preserve">0508699488</t>
  </si>
  <si>
    <t xml:space="preserve">4942687871</t>
  </si>
  <si>
    <t xml:space="preserve">POST KADANCHERY VIA KALADY</t>
  </si>
  <si>
    <t xml:space="preserve">ABDUL KHADER T. P</t>
  </si>
  <si>
    <t xml:space="preserve">0566759286</t>
  </si>
  <si>
    <t xml:space="preserve">abdulkhaderjan9@gmail.com</t>
  </si>
  <si>
    <t xml:space="preserve">THANA PARAMBIL PO CHIRAKKARA, THALASSERY KANNUR DT</t>
  </si>
  <si>
    <t xml:space="preserve">PRADEEP K.K</t>
  </si>
  <si>
    <t xml:space="preserve">0506792313</t>
  </si>
  <si>
    <t xml:space="preserve">4872530068</t>
  </si>
  <si>
    <t xml:space="preserve">pradeep13k@gmail.com</t>
  </si>
  <si>
    <t xml:space="preserve">KALEERAKATH HOUSE POST KADAPPURAM, TRICHUR DT</t>
  </si>
  <si>
    <t xml:space="preserve">SAMUEL MATHUNNI</t>
  </si>
  <si>
    <t xml:space="preserve">0504629632</t>
  </si>
  <si>
    <t xml:space="preserve">mathu1941@hotmail.com</t>
  </si>
  <si>
    <t xml:space="preserve">KOCHUKALIKKAL KOMALLOOR, TRICHUR DT</t>
  </si>
  <si>
    <t xml:space="preserve">SHAHIN AVTHAL</t>
  </si>
  <si>
    <t xml:space="preserve">0501171727</t>
  </si>
  <si>
    <t xml:space="preserve">4662256288</t>
  </si>
  <si>
    <t xml:space="preserve">shahinavthal@gmail.com</t>
  </si>
  <si>
    <t xml:space="preserve">MELETHALAKKAL HOUSE NEAR VILLAGE OFFICE, CHALISSERY PO PALAKKAD DT</t>
  </si>
  <si>
    <t xml:space="preserve">P. MADHAVAN</t>
  </si>
  <si>
    <t xml:space="preserve">0509325147</t>
  </si>
  <si>
    <t xml:space="preserve">4985204022</t>
  </si>
  <si>
    <t xml:space="preserve">preetha.madhavan75@gmail.com</t>
  </si>
  <si>
    <t xml:space="preserve">PUTHIYA VALAPPU HOUSE PO KOTTACHERY, KASARAGOD DT</t>
  </si>
  <si>
    <t xml:space="preserve">BASHEER ALI K.</t>
  </si>
  <si>
    <t xml:space="preserve">0507361056</t>
  </si>
  <si>
    <t xml:space="preserve">blossomtailoring@ymail.com</t>
  </si>
  <si>
    <t xml:space="preserve">RASHEEDAS NEAR G.H.S IRIKUR PO.IRIKUR, KANNUR DT, 0091460258327</t>
  </si>
  <si>
    <t xml:space="preserve">IQBAL A. HATBOOR</t>
  </si>
  <si>
    <t xml:space="preserve">0505671967</t>
  </si>
  <si>
    <t xml:space="preserve">hatbooriqbal@gmail.com</t>
  </si>
  <si>
    <t xml:space="preserve">KALATHIL HOUSE BAVA NAGAR KANHANGAD, KADAPURAM KASARAGOD DT, 0091 8086666666</t>
  </si>
  <si>
    <t xml:space="preserve">SHAMIL.P.P</t>
  </si>
  <si>
    <t xml:space="preserve">0551692330</t>
  </si>
  <si>
    <t xml:space="preserve">shamil.panayam@gmail.com</t>
  </si>
  <si>
    <t xml:space="preserve">MUNDAPURATH HOUSE, PO NARATH KANNUR DT</t>
  </si>
  <si>
    <t xml:space="preserve">ABDUL RAUFF P.</t>
  </si>
  <si>
    <t xml:space="preserve">0509161752</t>
  </si>
  <si>
    <t xml:space="preserve">9567391251</t>
  </si>
  <si>
    <t xml:space="preserve">abdulrauff@gmail.com</t>
  </si>
  <si>
    <t xml:space="preserve">'RASHA', NR. BLOCK OFFICE,, TANUR-676302, MALAPPURAM DT</t>
  </si>
  <si>
    <t xml:space="preserve">G.SUGUNAN</t>
  </si>
  <si>
    <t xml:space="preserve">0505760574</t>
  </si>
  <si>
    <t xml:space="preserve">964511211226</t>
  </si>
  <si>
    <t xml:space="preserve">arunsuu@hotmail.com</t>
  </si>
  <si>
    <t xml:space="preserve">KIZHAKKUMKARA PUTHEN VEEDU MUTHANA POST, VARKALA TRIVANDRUM KERALA STATE</t>
  </si>
  <si>
    <t xml:space="preserve">SURENDRAN K.V</t>
  </si>
  <si>
    <t xml:space="preserve">0509599841</t>
  </si>
  <si>
    <t xml:space="preserve">9995544848</t>
  </si>
  <si>
    <t xml:space="preserve">sushibin@gmail.com</t>
  </si>
  <si>
    <t xml:space="preserve">KIZHAKKOOT HOUSE EYYAL POST, VIA KECHERY THRISSUR DIST KERALA STATE</t>
  </si>
  <si>
    <t xml:space="preserve">T.M.BASHEER</t>
  </si>
  <si>
    <t xml:space="preserve">0506314824</t>
  </si>
  <si>
    <t xml:space="preserve">4662256313</t>
  </si>
  <si>
    <t xml:space="preserve">basheer.59@hotmail.com</t>
  </si>
  <si>
    <t xml:space="preserve">THEKKE PEEDIKAYIL HOUSE POST CHALLISERY, PALAKKAD DIST KERALA</t>
  </si>
  <si>
    <t xml:space="preserve">RAJESH N.R</t>
  </si>
  <si>
    <t xml:space="preserve">0507220848</t>
  </si>
  <si>
    <t xml:space="preserve">4872361088</t>
  </si>
  <si>
    <t xml:space="preserve">rajesh.n.rajan@gmail.com</t>
  </si>
  <si>
    <t xml:space="preserve">NAMBANATH HOUSE AYYANTHOLE, THRISSUR KERALA STATE</t>
  </si>
  <si>
    <t xml:space="preserve">RADHAKRISHNAN MADHAVAN</t>
  </si>
  <si>
    <t xml:space="preserve">0504812280</t>
  </si>
  <si>
    <t xml:space="preserve">anitha.mrkrishnan@gmail.com</t>
  </si>
  <si>
    <t xml:space="preserve">SARALA MANDIRAM, VILABHAGOM NEDUNGANDA PO,, TRIVANDRUM, 0091470 2605249</t>
  </si>
  <si>
    <t xml:space="preserve">RAVI M.</t>
  </si>
  <si>
    <t xml:space="preserve">0503017016</t>
  </si>
  <si>
    <t xml:space="preserve">raviradhamani@gmail.com</t>
  </si>
  <si>
    <t xml:space="preserve">THACHANGAD HOUSE PO PANAYAL VIA BEKAL, KASARAGOD DT, 0091 467 2272299</t>
  </si>
  <si>
    <t xml:space="preserve">ANTONY ROBIN</t>
  </si>
  <si>
    <t xml:space="preserve">0507293503</t>
  </si>
  <si>
    <t xml:space="preserve">4842621316</t>
  </si>
  <si>
    <t xml:space="preserve">antonyrobin_amie@yahoo.com</t>
  </si>
  <si>
    <t xml:space="preserve">24476 AL AIN UAE, GRACE PUTHANANGADY THAIKKATTUKARA PO, ALWAYE ERNAKULAM</t>
  </si>
  <si>
    <t xml:space="preserve">PHILIP JOSEPH LOUIS</t>
  </si>
  <si>
    <t xml:space="preserve">0506461076</t>
  </si>
  <si>
    <t xml:space="preserve">joelouis@eim.ae</t>
  </si>
  <si>
    <t xml:space="preserve">VELUTHAMANNINGAL HOUSE KOORKENCHERY PO, TRICHUR</t>
  </si>
  <si>
    <t xml:space="preserve">KUNCHI KANDY NAZAR</t>
  </si>
  <si>
    <t xml:space="preserve">0506970889</t>
  </si>
  <si>
    <t xml:space="preserve">nazak2005@gmail.com</t>
  </si>
  <si>
    <t xml:space="preserve">KOLLON PALIKANDY HOUSE PILACKOOL, THALASSERY</t>
  </si>
  <si>
    <t xml:space="preserve">E.V.PRADEEP</t>
  </si>
  <si>
    <t xml:space="preserve">0558859287</t>
  </si>
  <si>
    <t xml:space="preserve">8136820234</t>
  </si>
  <si>
    <t xml:space="preserve">pradeep.prabhak@gmail.com</t>
  </si>
  <si>
    <t xml:space="preserve">EENGATH HOUSE, PILAKKAD PO,, VARAVOOR, TRICHUR DT</t>
  </si>
  <si>
    <t xml:space="preserve">KOSHY SAMUEL</t>
  </si>
  <si>
    <t xml:space="preserve">0507552817</t>
  </si>
  <si>
    <t xml:space="preserve">9821216588</t>
  </si>
  <si>
    <t xml:space="preserve">yesudas_ps@yahoo.com</t>
  </si>
  <si>
    <t xml:space="preserve">ROOM NO 103 SAI GANESG DARSHAN SANTHOSH, NAGAR TISCO NAKA KALYAN EAST 421306</t>
  </si>
  <si>
    <t xml:space="preserve">C.R.SAJEEVA KUMAR</t>
  </si>
  <si>
    <t xml:space="preserve">0556363408</t>
  </si>
  <si>
    <t xml:space="preserve">sajeevcr1@gmail.com</t>
  </si>
  <si>
    <t xml:space="preserve">CHIRAYI HOUSE POST NADAVARMBA PIN 680661, IRINJALAKKUDA TRICHUR DIST, 00914802820453</t>
  </si>
  <si>
    <t xml:space="preserve">SASI VARIYATH</t>
  </si>
  <si>
    <t xml:space="preserve">0508667885</t>
  </si>
  <si>
    <t xml:space="preserve">9048667885</t>
  </si>
  <si>
    <t xml:space="preserve">sasivariath@gmail.com</t>
  </si>
  <si>
    <t xml:space="preserve">MONIS VILLA, THEKKUMURI POST, MALAPPURAM DIST., TIRUR-676105,KERALA STATE.</t>
  </si>
  <si>
    <t xml:space="preserve">M.M.SAIFUDHEEN</t>
  </si>
  <si>
    <t xml:space="preserve">0568487828</t>
  </si>
  <si>
    <t xml:space="preserve">4885282182</t>
  </si>
  <si>
    <t xml:space="preserve">saifuddinmamutty@gmail.com</t>
  </si>
  <si>
    <t xml:space="preserve">MSLIM VEETTIL HOUSE POST KECHERY TRICHUR DIST, KERALA STATE</t>
  </si>
  <si>
    <t xml:space="preserve">T.MOHAMMED NASSER</t>
  </si>
  <si>
    <t xml:space="preserve">0509594936</t>
  </si>
  <si>
    <t xml:space="preserve">506591719</t>
  </si>
  <si>
    <t xml:space="preserve">tkmuae@gmail.com</t>
  </si>
  <si>
    <t xml:space="preserve">HOUSE NO. VII/775 D.S.ROAD COCHIN 2, KERALA STATE</t>
  </si>
  <si>
    <t xml:space="preserve">P.G.MADHUSOODANAN</t>
  </si>
  <si>
    <t xml:space="preserve">0506795724</t>
  </si>
  <si>
    <t xml:space="preserve">9539090980</t>
  </si>
  <si>
    <t xml:space="preserve">madhupg54@outlook.com</t>
  </si>
  <si>
    <t xml:space="preserve">PADINJARAKKARA HOUSE, KAKATHURUTHY POST, EDATHURUTHI 680122, TRICHUR DISTRICT</t>
  </si>
  <si>
    <t xml:space="preserve">KUMARAN MUTTATH</t>
  </si>
  <si>
    <t xml:space="preserve">0507570064</t>
  </si>
  <si>
    <t xml:space="preserve">9895863527</t>
  </si>
  <si>
    <t xml:space="preserve">KOLAVAYAL HOUSE, KOLAVAYAL POST, KASARAGOD DIST KERALA STATE</t>
  </si>
  <si>
    <t xml:space="preserve">SUNEER NALAGTH</t>
  </si>
  <si>
    <t xml:space="preserve">0566701382</t>
  </si>
  <si>
    <t xml:space="preserve">sherine.sal@gmail.com</t>
  </si>
  <si>
    <t xml:space="preserve">THABISH, CHETTAMKUNNU,, THALASSERY, KANNUR, KERALA, 0091 9633581853</t>
  </si>
  <si>
    <t xml:space="preserve">C.R.MANOJ</t>
  </si>
  <si>
    <t xml:space="preserve">0506311802</t>
  </si>
  <si>
    <t xml:space="preserve">4872393207</t>
  </si>
  <si>
    <t xml:space="preserve">ayash1@eim.ae</t>
  </si>
  <si>
    <t xml:space="preserve">CHEMPIPARAMBIL HOUSE, POST NATTIKA,, VALAPPAD, TRICHUR.</t>
  </si>
  <si>
    <t xml:space="preserve">BENNY K.JOHNSON</t>
  </si>
  <si>
    <t xml:space="preserve">0506972494</t>
  </si>
  <si>
    <t xml:space="preserve">9656217857</t>
  </si>
  <si>
    <t xml:space="preserve">bennykjohn03@gmail.com</t>
  </si>
  <si>
    <t xml:space="preserve">KOODAPARAMBIL HOUSE PLACHERY, PUNALUR KERALA STATE</t>
  </si>
  <si>
    <t xml:space="preserve">BYJU VAKAYIL</t>
  </si>
  <si>
    <t xml:space="preserve">0504982786</t>
  </si>
  <si>
    <t xml:space="preserve">505519885</t>
  </si>
  <si>
    <t xml:space="preserve">bvakayil@yahoo.com</t>
  </si>
  <si>
    <t xml:space="preserve">VAKAYILHOUSE AMBALAVAYALPOST, WAYANAD</t>
  </si>
  <si>
    <t xml:space="preserve">N.RAJEEVAN</t>
  </si>
  <si>
    <t xml:space="preserve">0505767796</t>
  </si>
  <si>
    <t xml:space="preserve">rajeevan4002@gmail.com</t>
  </si>
  <si>
    <t xml:space="preserve">NELLIKKAYIL HOUSE MOOZHIKKARA POST, TELLICHERU KANNUR, 0490 2357360</t>
  </si>
  <si>
    <t xml:space="preserve">ANEESH.S</t>
  </si>
  <si>
    <t xml:space="preserve">0554669748</t>
  </si>
  <si>
    <t xml:space="preserve">aneeshsivam@gmail.com</t>
  </si>
  <si>
    <t xml:space="preserve">JYOTHI NAGAR, PATTOM PALACE-P.O., TRIVANDRUM, KERALA, 0091 8129310360</t>
  </si>
  <si>
    <t xml:space="preserve">KADER AYOOB KHAN</t>
  </si>
  <si>
    <t xml:space="preserve">0557136671</t>
  </si>
  <si>
    <t xml:space="preserve">4872643598</t>
  </si>
  <si>
    <t xml:space="preserve">MATHALAKATH HOUSE ELAVALLY POST, TRICHUR DIST</t>
  </si>
  <si>
    <t xml:space="preserve">K.VALSALA KUMAR</t>
  </si>
  <si>
    <t xml:space="preserve">0502586168</t>
  </si>
  <si>
    <t xml:space="preserve">4672268565</t>
  </si>
  <si>
    <t xml:space="preserve">valsalakumar68@gmail.com</t>
  </si>
  <si>
    <t xml:space="preserve">KUNNUMMEL HOUSE ADOT AJANNUR POST, KASARAGODDIST</t>
  </si>
  <si>
    <t xml:space="preserve">SAM CHERIYAN</t>
  </si>
  <si>
    <t xml:space="preserve">0506793842</t>
  </si>
  <si>
    <t xml:space="preserve">4792314609</t>
  </si>
  <si>
    <t xml:space="preserve">samchovalil@yahoo.com</t>
  </si>
  <si>
    <t xml:space="preserve">CHOVALIL PUITHEN VEEDU CHENNITHALA SOUTH, MAVELIKARA KERALA STATE</t>
  </si>
  <si>
    <t xml:space="preserve">SUDHISH KUMAR</t>
  </si>
  <si>
    <t xml:space="preserve">0557776317</t>
  </si>
  <si>
    <t xml:space="preserve">9544795341</t>
  </si>
  <si>
    <t xml:space="preserve">greenlifeorganicfarming@gmail.com</t>
  </si>
  <si>
    <t xml:space="preserve">VI/361, MANIYANTHARA HOUSE,, GURUVAYOOR POST, TRICHUR, KERALA</t>
  </si>
  <si>
    <t xml:space="preserve">NOUSHAD P.K.SHAMSUDEEN</t>
  </si>
  <si>
    <t xml:space="preserve">0507687348</t>
  </si>
  <si>
    <t xml:space="preserve">9544062270</t>
  </si>
  <si>
    <t xml:space="preserve">noushadpks@yahoo.com</t>
  </si>
  <si>
    <t xml:space="preserve">PANIKKAVEETTIL, KRUPPATH, CHETTUWA, KUNDALIYUR ,TRICHUR DIST.</t>
  </si>
  <si>
    <t xml:space="preserve">Dr. ANOOP S.NAIR</t>
  </si>
  <si>
    <t xml:space="preserve">0509910991</t>
  </si>
  <si>
    <t xml:space="preserve">ss.oxygen@gmail.com</t>
  </si>
  <si>
    <t xml:space="preserve">VALLIATHU HOUSE,, VELLAYAMBALAM, TRIVANDRUM</t>
  </si>
  <si>
    <t xml:space="preserve">BHARGAVAN HARSHA KUMAR</t>
  </si>
  <si>
    <t xml:space="preserve">0553308131</t>
  </si>
  <si>
    <t xml:space="preserve">4702673773</t>
  </si>
  <si>
    <t xml:space="preserve">harshakumar65@gmail.com</t>
  </si>
  <si>
    <t xml:space="preserve">KRISHNA NIVAS, KUNNUMMEL,, KILIMANOOR POST,TRIVANDRUM.</t>
  </si>
  <si>
    <t xml:space="preserve">T.K.RAJAN</t>
  </si>
  <si>
    <t xml:space="preserve">0505621449</t>
  </si>
  <si>
    <t xml:space="preserve">THALAPPULLY HOUSE CHERUVATHANI POST, ANJUR VIA KUNNAMKULAM TRICHUR, 00914885225569</t>
  </si>
  <si>
    <t xml:space="preserve">AJITH KUMAR .B</t>
  </si>
  <si>
    <t xml:space="preserve">0501458883</t>
  </si>
  <si>
    <t xml:space="preserve">arjun200@emirates.net.ae</t>
  </si>
  <si>
    <t xml:space="preserve">SOROJINI MANDIRAM VENGA POST, SANSHATHAKOTTA KOLLAM, 9495434440</t>
  </si>
  <si>
    <t xml:space="preserve">KUNNIL ABDUL KHADER</t>
  </si>
  <si>
    <t xml:space="preserve">0545770569</t>
  </si>
  <si>
    <t xml:space="preserve">MELPARAMB KALANAD POST KASARGOD DIST, KERALA</t>
  </si>
  <si>
    <t xml:space="preserve">MATHEW VARGHESE</t>
  </si>
  <si>
    <t xml:space="preserve">0506463692</t>
  </si>
  <si>
    <t xml:space="preserve">4792333475</t>
  </si>
  <si>
    <t xml:space="preserve">sbtsharjah@hotmail.com</t>
  </si>
  <si>
    <t xml:space="preserve">KOLAKULANGARA PUTHENVEEDU KATTANAM, PALLIKKAL POST KERALA STATE</t>
  </si>
  <si>
    <t xml:space="preserve">VISWAMBARAN RAVEENDRAN</t>
  </si>
  <si>
    <t xml:space="preserve">0504812681</t>
  </si>
  <si>
    <t xml:space="preserve">europtech777@gmail.com</t>
  </si>
  <si>
    <t xml:space="preserve">VIMAL, POST VELLANAD, TRIVANDRUM, KERALA.</t>
  </si>
  <si>
    <t xml:space="preserve">M.M.PRABHUDHAN</t>
  </si>
  <si>
    <t xml:space="preserve">0507961494</t>
  </si>
  <si>
    <t xml:space="preserve">4802845002</t>
  </si>
  <si>
    <t xml:space="preserve">pakot321@gmail.com</t>
  </si>
  <si>
    <t xml:space="preserve">MANJOLIL HOUSE POST PERINGANAM, TRICHUR DIST KERALA</t>
  </si>
  <si>
    <t xml:space="preserve">UBAID .V</t>
  </si>
  <si>
    <t xml:space="preserve">0557105662</t>
  </si>
  <si>
    <t xml:space="preserve">9846252511</t>
  </si>
  <si>
    <t xml:space="preserve">ubaidchendi@gmail.com</t>
  </si>
  <si>
    <t xml:space="preserve">VANDI VEETTIL HOUSE POST PANG, PIN 679338 MALAPPURAM DIST KERALA</t>
  </si>
  <si>
    <t xml:space="preserve">PRINCE VARGHESE</t>
  </si>
  <si>
    <t xml:space="preserve">0506902488</t>
  </si>
  <si>
    <t xml:space="preserve">9495068367</t>
  </si>
  <si>
    <t xml:space="preserve">prince77@eim.ae</t>
  </si>
  <si>
    <t xml:space="preserve">JOHN VILLA MUTHOOR POST, THIRUVALLA PATHANAMTHITTA</t>
  </si>
  <si>
    <t xml:space="preserve">SANTHOSH KUMAR .M</t>
  </si>
  <si>
    <t xml:space="preserve">0506356172</t>
  </si>
  <si>
    <t xml:space="preserve">4985203642</t>
  </si>
  <si>
    <t xml:space="preserve">skmanchari@gmail.com</t>
  </si>
  <si>
    <t xml:space="preserve">SAYUJIM MANIYAN ROAD PAYYANNUR, KERALA STATE</t>
  </si>
  <si>
    <t xml:space="preserve">BABY THANKACHAN</t>
  </si>
  <si>
    <t xml:space="preserve">0504867889</t>
  </si>
  <si>
    <t xml:space="preserve">9847247922</t>
  </si>
  <si>
    <t xml:space="preserve">babythankachan@gmail.com</t>
  </si>
  <si>
    <t xml:space="preserve">THANIMA ADICHANATHU CHETTIKULANGARA, MAVELIKARA POST</t>
  </si>
  <si>
    <t xml:space="preserve">MUJEEB RAHMAN.P</t>
  </si>
  <si>
    <t xml:space="preserve">0552340022</t>
  </si>
  <si>
    <t xml:space="preserve">mujeeb75@msn.com</t>
  </si>
  <si>
    <t xml:space="preserve">PALATHINGAL HOUSE POST KALANDI, EDAPPAL VIA MALAPPURAM DIST</t>
  </si>
  <si>
    <t xml:space="preserve">V.C.VENUGOPAL</t>
  </si>
  <si>
    <t xml:space="preserve">0506369327</t>
  </si>
  <si>
    <t xml:space="preserve">venuvc@hotmail.com</t>
  </si>
  <si>
    <t xml:space="preserve">NARAYANAPURAM PERAVOOR POST, PIN 670673 KANNUR DIST, 9496237499</t>
  </si>
  <si>
    <t xml:space="preserve">RASHEED K.V</t>
  </si>
  <si>
    <t xml:space="preserve">0505491825</t>
  </si>
  <si>
    <t xml:space="preserve">4662272608</t>
  </si>
  <si>
    <t xml:space="preserve">rasheedkv1969@yahoo.com</t>
  </si>
  <si>
    <t xml:space="preserve">POST MALA KAKKATTIRI VIA TRITHALA, PALAKKAD DIST KERALA STATE</t>
  </si>
  <si>
    <t xml:space="preserve">P.A.MOHAMMED NIZAM</t>
  </si>
  <si>
    <t xml:space="preserve">0504629163</t>
  </si>
  <si>
    <t xml:space="preserve">9048524644</t>
  </si>
  <si>
    <t xml:space="preserve">nizampam@yahoo.com</t>
  </si>
  <si>
    <t xml:space="preserve">PARAKKAT SEBSTIN ROAD COCHIN, KERALA STATE</t>
  </si>
  <si>
    <t xml:space="preserve">DINESH VADAKKEVALAPPU</t>
  </si>
  <si>
    <t xml:space="preserve">0553936516</t>
  </si>
  <si>
    <t xml:space="preserve">4672237122</t>
  </si>
  <si>
    <t xml:space="preserve">dinu374@gmail.com</t>
  </si>
  <si>
    <t xml:space="preserve">VADAKKE VALAPPIL HOUSE POST UDMA, KASARAGOD DIST KERALA</t>
  </si>
  <si>
    <t xml:space="preserve">YOUSEF SHALI</t>
  </si>
  <si>
    <t xml:space="preserve">0559266955</t>
  </si>
  <si>
    <t xml:space="preserve">8891838855</t>
  </si>
  <si>
    <t xml:space="preserve">yousef.shali@gmail.com</t>
  </si>
  <si>
    <t xml:space="preserve">PALLIPPADETH, MATHILAKAM,, TRICHUR DIST, KERALA STATE.</t>
  </si>
  <si>
    <t xml:space="preserve">REENATH KUVAN DEVADASAN</t>
  </si>
  <si>
    <t xml:space="preserve">065619999</t>
  </si>
  <si>
    <t xml:space="preserve">ASHOK BHAVAN CHOVVA, KANNUR DIST KERALA STATE</t>
  </si>
  <si>
    <t xml:space="preserve">SWAPNESH K.V</t>
  </si>
  <si>
    <t xml:space="preserve">0505693499</t>
  </si>
  <si>
    <t xml:space="preserve">swapsb4u@gmail.com</t>
  </si>
  <si>
    <t xml:space="preserve">ANEESH VIHAR,PUTHUKULANGARA POST,, NEDUMANGADU, TRIVANDRUM, 9747619852</t>
  </si>
  <si>
    <t xml:space="preserve">A.A.SAIFUDHEEN</t>
  </si>
  <si>
    <t xml:space="preserve">0567002878</t>
  </si>
  <si>
    <t xml:space="preserve">saifudheenvty@gmail.com</t>
  </si>
  <si>
    <t xml:space="preserve">ARAKKAVVEETTIL HOUSE POST, VATANAPALLU TRICHUR</t>
  </si>
  <si>
    <t xml:space="preserve">SUBASH SURENDRAN</t>
  </si>
  <si>
    <t xml:space="preserve">0507273959</t>
  </si>
  <si>
    <t xml:space="preserve">4872552164</t>
  </si>
  <si>
    <t xml:space="preserve">sububosch@gmail.com</t>
  </si>
  <si>
    <t xml:space="preserve">KOOLIAT HOUSE POST PUTHAMPALLY, GURUVAYOOR TRICHUR DIST</t>
  </si>
  <si>
    <t xml:space="preserve">MURALIDHARAN.P</t>
  </si>
  <si>
    <t xml:space="preserve">0504307020</t>
  </si>
  <si>
    <t xml:space="preserve">pp.muralidhran790@gmail.com</t>
  </si>
  <si>
    <t xml:space="preserve">MURALIBHAVAN OPP MISION COMPOUND, GATE POST CHOVVA KANNUR DIST KERALA</t>
  </si>
  <si>
    <t xml:space="preserve">CHEERAN SUMESH</t>
  </si>
  <si>
    <t xml:space="preserve">0502789070</t>
  </si>
  <si>
    <t xml:space="preserve">4885225511</t>
  </si>
  <si>
    <t xml:space="preserve">cheeranin@yahoo.com</t>
  </si>
  <si>
    <t xml:space="preserve">CHEERAN HOUSE, SOUTH BAZAR,, KUNNAMKULAM POST, TRICHUR DIST.</t>
  </si>
  <si>
    <t xml:space="preserve">RAMACHANDRAN M.V</t>
  </si>
  <si>
    <t xml:space="preserve">0563763800</t>
  </si>
  <si>
    <t xml:space="preserve">9495373227</t>
  </si>
  <si>
    <t xml:space="preserve">rvalappil7@gmail.com</t>
  </si>
  <si>
    <t xml:space="preserve">KAPPADAN HOUSE POST EZHOME, KANNUR DIST KERALA STATE</t>
  </si>
  <si>
    <t xml:space="preserve">ESMAIL PILLAI SALIM</t>
  </si>
  <si>
    <t xml:space="preserve">0501025674</t>
  </si>
  <si>
    <t xml:space="preserve">4702682692</t>
  </si>
  <si>
    <t xml:space="preserve">safar.salim786@gmail.com</t>
  </si>
  <si>
    <t xml:space="preserve">KARIKKAKAM THATTATHUMALA POST, TRIVANDRUM DIST KERALA STATE</t>
  </si>
  <si>
    <t xml:space="preserve">ABDUL VAHAB AZHIKKALAKATHU</t>
  </si>
  <si>
    <t xml:space="preserve">0504998934</t>
  </si>
  <si>
    <t xml:space="preserve">4942668665</t>
  </si>
  <si>
    <t xml:space="preserve">aavahabmoh@yahoo.com</t>
  </si>
  <si>
    <t xml:space="preserve">ANUGRAH, ZIYARATHUPALLI ROAD,, PONNANI SOUTH, MALAPPURAM DIST.</t>
  </si>
  <si>
    <t xml:space="preserve">BHASKARAN NAIR SANAL</t>
  </si>
  <si>
    <t xml:space="preserve">0507213211</t>
  </si>
  <si>
    <t xml:space="preserve">sanalbn@gmail.com</t>
  </si>
  <si>
    <t xml:space="preserve">MANIMANDIRAM, PERUVARAM, NORTH PARAVUR, ERNAKULAM DISTRICT, KERALA, 0091-484-2444404</t>
  </si>
  <si>
    <t xml:space="preserve">HAMZAKOYA T.K</t>
  </si>
  <si>
    <t xml:space="preserve">0506372676</t>
  </si>
  <si>
    <t xml:space="preserve">abuhafsath@gmail.com</t>
  </si>
  <si>
    <t xml:space="preserve">THEKKAYIL HOUSE KUNNILAVALAPPU, POST GRAMAM VIA VELIANCODE MALAPPURAM, 9995239331</t>
  </si>
  <si>
    <t xml:space="preserve">DILEEP RAVEENDRAN THANKAM</t>
  </si>
  <si>
    <t xml:space="preserve">0502070168</t>
  </si>
  <si>
    <t xml:space="preserve">dileeprthankam@gmail.com</t>
  </si>
  <si>
    <t xml:space="preserve">TC 31/655 KAINATTI VILAKOM HOUSE, PETTAH TRIVANDRUM DIST</t>
  </si>
  <si>
    <t xml:space="preserve">SASEENDRAN DINESH KUMAR</t>
  </si>
  <si>
    <t xml:space="preserve">0507450026</t>
  </si>
  <si>
    <t xml:space="preserve">4702656042</t>
  </si>
  <si>
    <t xml:space="preserve">dksaseendran@moccae.gov.ae</t>
  </si>
  <si>
    <t xml:space="preserve">MAMPAZHAVILA VEEDU, KDAKKAVOOR,, TRIVADNRUM DIST.</t>
  </si>
  <si>
    <t xml:space="preserve">NINAN K G</t>
  </si>
  <si>
    <t xml:space="preserve">0506796755</t>
  </si>
  <si>
    <t xml:space="preserve">4792404244</t>
  </si>
  <si>
    <t xml:space="preserve">kavaratt@gmail.com</t>
  </si>
  <si>
    <t xml:space="preserve">KOCHUKAVARATTU, KARICHAL, PAYIPAD, HARIPAD</t>
  </si>
  <si>
    <t xml:space="preserve">MANJOORAN JOSEPH JOHN</t>
  </si>
  <si>
    <t xml:space="preserve">0506465521</t>
  </si>
  <si>
    <t xml:space="preserve">MANJOORAN HOUSE NARAKKAL KOCHI</t>
  </si>
  <si>
    <t xml:space="preserve">C.CHACKO THOMAS</t>
  </si>
  <si>
    <t xml:space="preserve">0508951260</t>
  </si>
  <si>
    <t xml:space="preserve">4792455350</t>
  </si>
  <si>
    <t xml:space="preserve">thomas_cchacko@yahoo.com</t>
  </si>
  <si>
    <t xml:space="preserve">CHAKOOTHARA HOUSE CHIRAYIRAMBU POST, VIA MAROMON PATHANAMTHITTA DIST</t>
  </si>
  <si>
    <t xml:space="preserve">MUKUNDAN ARAYAMBETH</t>
  </si>
  <si>
    <t xml:space="preserve">05045308250557722058</t>
  </si>
  <si>
    <t xml:space="preserve">9895204011</t>
  </si>
  <si>
    <t xml:space="preserve">sudhinkumar@gmail.com</t>
  </si>
  <si>
    <t xml:space="preserve">ARAYAMBETH HOUSE PULOOPI KANNADIPRAMBA, POST KANNUR DIST KERALA STATE</t>
  </si>
  <si>
    <t xml:space="preserve">K.S.SUNIL</t>
  </si>
  <si>
    <t xml:space="preserve">0502182504</t>
  </si>
  <si>
    <t xml:space="preserve">sunilkvas@yahoo.co.in</t>
  </si>
  <si>
    <t xml:space="preserve">KUNNATHULLY HOUSE KANJAY POST, TRICHUR DIST KERALA</t>
  </si>
  <si>
    <t xml:space="preserve">SILJU K.ANTONY</t>
  </si>
  <si>
    <t xml:space="preserve">0552127040</t>
  </si>
  <si>
    <t xml:space="preserve">4812488062</t>
  </si>
  <si>
    <t xml:space="preserve">siljuantony@yahoo.com</t>
  </si>
  <si>
    <t xml:space="preserve">KOCHUPURAKKAL HOUSE MANTHURUTY POST, NEDUKUNNAM KOTTAYAM DIST</t>
  </si>
  <si>
    <t xml:space="preserve">PRABHAKARAN PANTHROLI</t>
  </si>
  <si>
    <t xml:space="preserve">0505397006</t>
  </si>
  <si>
    <t xml:space="preserve">9995183114</t>
  </si>
  <si>
    <t xml:space="preserve">panthroli@hotmail.com</t>
  </si>
  <si>
    <t xml:space="preserve">PANTHROLI HOUSE POST, THALAKKADATHUR PIN 676103</t>
  </si>
  <si>
    <t xml:space="preserve">THALANGARA NISSAR</t>
  </si>
  <si>
    <t xml:space="preserve">0505570438</t>
  </si>
  <si>
    <t xml:space="preserve">4994230540</t>
  </si>
  <si>
    <t xml:space="preserve">nissarthalangara@yahoo.com</t>
  </si>
  <si>
    <t xml:space="preserve">POST THALAGARA KASARAGOD, KERALA STATE</t>
  </si>
  <si>
    <t xml:space="preserve">M.Y.MUHINUDHEEN</t>
  </si>
  <si>
    <t xml:space="preserve">0507298252</t>
  </si>
  <si>
    <t xml:space="preserve">9633861132</t>
  </si>
  <si>
    <t xml:space="preserve">nileena2000@yahoo.com</t>
  </si>
  <si>
    <t xml:space="preserve">PONNAPURAM EDAVA POST, TRIVANDRUM DIST KERALA STATE</t>
  </si>
  <si>
    <t xml:space="preserve">CHANDRAN APPU</t>
  </si>
  <si>
    <t xml:space="preserve">0506782751</t>
  </si>
  <si>
    <t xml:space="preserve">chandrana44@gmail.com</t>
  </si>
  <si>
    <t xml:space="preserve">VADAKKEVEEDU PALAKUNNU, POST BEKAL KASARAGOD</t>
  </si>
  <si>
    <t xml:space="preserve">JIJU JACOB MATHEW</t>
  </si>
  <si>
    <t xml:space="preserve">0565750271</t>
  </si>
  <si>
    <t xml:space="preserve">9496680520</t>
  </si>
  <si>
    <t xml:space="preserve">jijumathew17@hotmail.com</t>
  </si>
  <si>
    <t xml:space="preserve">PALATHUMTHALACKAL,, VATTIYOOR KAVU-P.O., ,TRIVANDRUM DT,</t>
  </si>
  <si>
    <t xml:space="preserve">ARYACKOOL PHYSEL</t>
  </si>
  <si>
    <t xml:space="preserve">0506978233</t>
  </si>
  <si>
    <t xml:space="preserve">faizalusmanak71@gmail.com</t>
  </si>
  <si>
    <t xml:space="preserve">RAZIYA MANZIL POST PANNIYANNOOR, VIA CHOKLI KANNUR DIST, 04902313693</t>
  </si>
  <si>
    <t xml:space="preserve">P.K.SUDHEERAN</t>
  </si>
  <si>
    <t xml:space="preserve">0505479741</t>
  </si>
  <si>
    <t xml:space="preserve">sdheeraj150@gmail.com</t>
  </si>
  <si>
    <t xml:space="preserve">PALLATH HOUSE POST NATTIKA, TRICHUR DIST KERALA STATE, 4872395269</t>
  </si>
  <si>
    <t xml:space="preserve">ANEES ABDU</t>
  </si>
  <si>
    <t xml:space="preserve">0507861975</t>
  </si>
  <si>
    <t xml:space="preserve">PERUMPARAMBATH HOUSE POST, KALLUR VADAKKEKAD TRICHUR</t>
  </si>
  <si>
    <t xml:space="preserve">Y.A. SULFEEKER</t>
  </si>
  <si>
    <t xml:space="preserve">0506762622</t>
  </si>
  <si>
    <t xml:space="preserve">yazulfi@hotmail.com</t>
  </si>
  <si>
    <t xml:space="preserve">SAJITHA MANZIL AMBADI LANE, TRICHUR DT KERALA STATE</t>
  </si>
  <si>
    <t xml:space="preserve">E.Y.SUDHEER</t>
  </si>
  <si>
    <t xml:space="preserve">0505390496</t>
  </si>
  <si>
    <t xml:space="preserve">sudheerey@gmail.com</t>
  </si>
  <si>
    <t xml:space="preserve">EARACHAM HOUSE POST THALIKULAM, TRICHUR DIST KERALA STATE</t>
  </si>
  <si>
    <t xml:space="preserve">UMMAR TAJUDEEN</t>
  </si>
  <si>
    <t xml:space="preserve">0528018839</t>
  </si>
  <si>
    <t xml:space="preserve">9747161552</t>
  </si>
  <si>
    <t xml:space="preserve">puthajudeen@gmail.com</t>
  </si>
  <si>
    <t xml:space="preserve">PANIKKAVEETTIL THALIKULAM POST, NEAR KAIDHAKKAL TRICHUR DIST</t>
  </si>
  <si>
    <t xml:space="preserve">SAJID JAMAL</t>
  </si>
  <si>
    <t xml:space="preserve">0506396384</t>
  </si>
  <si>
    <t xml:space="preserve">THAIVALATHIL POST CHAVAKAD TIRCHUR, KERALA STATE</t>
  </si>
  <si>
    <t xml:space="preserve">C. K.SOOPPY</t>
  </si>
  <si>
    <t xml:space="preserve">0508096011</t>
  </si>
  <si>
    <t xml:space="preserve">sooppythiruvallur@gmail.com</t>
  </si>
  <si>
    <t xml:space="preserve">Bilakandy House, Post Thiruvallur Via, VATAKARA , CALICUT- 673541, 0091 9495208780</t>
  </si>
  <si>
    <t xml:space="preserve">JAYAPRAKASH P.A</t>
  </si>
  <si>
    <t xml:space="preserve">0507872358</t>
  </si>
  <si>
    <t xml:space="preserve">jayaprakashpa@yahoo.com</t>
  </si>
  <si>
    <t xml:space="preserve">KAMALAYALAM POST MAKERERI KANNUR DIST, KERALA STATE, 0091 497 2827296</t>
  </si>
  <si>
    <t xml:space="preserve">PRADEEPAN K.</t>
  </si>
  <si>
    <t xml:space="preserve">0507672412</t>
  </si>
  <si>
    <t xml:space="preserve">9495417466</t>
  </si>
  <si>
    <t xml:space="preserve">pradeepankaricheri@gmail.com</t>
  </si>
  <si>
    <t xml:space="preserve">THEKKEKARA HOUSE BEDADKA VIA, KASARAGOD DIST KERALA STATE</t>
  </si>
  <si>
    <t xml:space="preserve">MONI JOSE CHERIYAN</t>
  </si>
  <si>
    <t xml:space="preserve">0507868629</t>
  </si>
  <si>
    <t xml:space="preserve">8921074730</t>
  </si>
  <si>
    <t xml:space="preserve">monicheriyan@hotmail.com</t>
  </si>
  <si>
    <t xml:space="preserve">VELIYATHUMANNIL HOUSE KOZHENCHERRY, KERALA STATE PIN 689641</t>
  </si>
  <si>
    <t xml:space="preserve">0506748136</t>
  </si>
  <si>
    <t xml:space="preserve">4735223139</t>
  </si>
  <si>
    <t xml:space="preserve">jojisindia@hotmail.com</t>
  </si>
  <si>
    <t xml:space="preserve">PLAMKALAYIL PAZHAVANGADI POST, RANNY KERALA STATE</t>
  </si>
  <si>
    <t xml:space="preserve">P.MATHAI MATHAI</t>
  </si>
  <si>
    <t xml:space="preserve">0559449117</t>
  </si>
  <si>
    <t xml:space="preserve">pmmathew1955@gmail.com</t>
  </si>
  <si>
    <t xml:space="preserve">PUTHENPURAKAL HOUSE KEEZHUVAIPUR, POST PATHANAMTHITTA DIST KERALA</t>
  </si>
  <si>
    <t xml:space="preserve">G.SUNIL</t>
  </si>
  <si>
    <t xml:space="preserve">0505473606</t>
  </si>
  <si>
    <t xml:space="preserve">sunilganga@gmail.com</t>
  </si>
  <si>
    <t xml:space="preserve">KRISHNAKRIPA THIRUVENKIDAM, GURUVAYOOR TRICHUR, 919995329603</t>
  </si>
  <si>
    <t xml:space="preserve">KRISHNAKUMAR .T</t>
  </si>
  <si>
    <t xml:space="preserve">0568457254</t>
  </si>
  <si>
    <t xml:space="preserve">kkrishna7437@gmail.com</t>
  </si>
  <si>
    <t xml:space="preserve">THAYAPULLATH KIZHUTHAN THANNISSERY, POST TRICHUR DIST KERALA STATE, 4802829001</t>
  </si>
  <si>
    <t xml:space="preserve">JAYANANDAN.K</t>
  </si>
  <si>
    <t xml:space="preserve">0506445038</t>
  </si>
  <si>
    <t xml:space="preserve">jayanandhan.k@gmail.com</t>
  </si>
  <si>
    <t xml:space="preserve">LAKSHMI NIVAS KURUMALA POST, CHELAKARA TRICHUR DIST</t>
  </si>
  <si>
    <t xml:space="preserve">MOHAMMED SHAFI</t>
  </si>
  <si>
    <t xml:space="preserve">0507871512</t>
  </si>
  <si>
    <t xml:space="preserve">4672272463</t>
  </si>
  <si>
    <t xml:space="preserve">aburishan108@gmail.com</t>
  </si>
  <si>
    <t xml:space="preserve">POST KEEKAN VIA PALLIKERE, KASARAGOD DIST KERALA</t>
  </si>
  <si>
    <t xml:space="preserve">V.P.HAMEED</t>
  </si>
  <si>
    <t xml:space="preserve">0509851222</t>
  </si>
  <si>
    <t xml:space="preserve">99495512222</t>
  </si>
  <si>
    <t xml:space="preserve">hameedvayal@yahoo.com</t>
  </si>
  <si>
    <t xml:space="preserve">BAITHUNNUR POST PULIYAVIL PARAKKADAV, KOZHIKODE DIST KERALA STATE</t>
  </si>
  <si>
    <t xml:space="preserve">KRISHNAN .P.V</t>
  </si>
  <si>
    <t xml:space="preserve">0504518280</t>
  </si>
  <si>
    <t xml:space="preserve">9895800226</t>
  </si>
  <si>
    <t xml:space="preserve">pvk350@gmail.com</t>
  </si>
  <si>
    <t xml:space="preserve">BHATHAL VIHAR POST EZHILODE VIA KUNHIMANGALAM, KANNUR DIST KERALA STATE</t>
  </si>
  <si>
    <t xml:space="preserve">PANIKKAVEETTIL FAISAL</t>
  </si>
  <si>
    <t xml:space="preserve">0507862719</t>
  </si>
  <si>
    <t xml:space="preserve">9388432392</t>
  </si>
  <si>
    <t xml:space="preserve">pfaisal223@gmail.com</t>
  </si>
  <si>
    <t xml:space="preserve">MANATHALA NORTH POST CHAVAKKAD, TRICHUR DIST KERALA STATE</t>
  </si>
  <si>
    <t xml:space="preserve">MOHAMED ABDUL RAHIMAN</t>
  </si>
  <si>
    <t xml:space="preserve">0556312715</t>
  </si>
  <si>
    <t xml:space="preserve">4672274477</t>
  </si>
  <si>
    <t xml:space="preserve">B.H HOUSE THOTTY POST PALLIKERE, KASARAGOD DIST KERALA STATE</t>
  </si>
  <si>
    <t xml:space="preserve">ABOOBACKER THADATHIL</t>
  </si>
  <si>
    <t xml:space="preserve">0555864343</t>
  </si>
  <si>
    <t xml:space="preserve">muhammedar997@gmail.com</t>
  </si>
  <si>
    <t xml:space="preserve">THADATHIL HOUSE POST PANOOR, PIN 670692 KERALA STATE, 9495215547</t>
  </si>
  <si>
    <t xml:space="preserve">SREENIVASAN T.V</t>
  </si>
  <si>
    <t xml:space="preserve">0557216846</t>
  </si>
  <si>
    <t xml:space="preserve">sreeni5767@gmail.com</t>
  </si>
  <si>
    <t xml:space="preserve">THAZHATHIL HOUSE POST KUMARANELLUR, VADAKKANCHERY TRICHUR DIST, 4884231876</t>
  </si>
  <si>
    <t xml:space="preserve">KUNHABDULLA KOTHIKAL</t>
  </si>
  <si>
    <t xml:space="preserve">0581484335</t>
  </si>
  <si>
    <t xml:space="preserve">9048112811</t>
  </si>
  <si>
    <t xml:space="preserve">abdullakothikalil84335@gmail.com</t>
  </si>
  <si>
    <t xml:space="preserve">KOTHIKAL HOUSE, POST KOLAVAYAL,, KANHANGAD, KASARAGOD DIST.</t>
  </si>
  <si>
    <t xml:space="preserve">ASHOKAN KOTHRAMBAN</t>
  </si>
  <si>
    <t xml:space="preserve">0504831926</t>
  </si>
  <si>
    <t xml:space="preserve">4672233291</t>
  </si>
  <si>
    <t xml:space="preserve">ALAKKAD HOUSE POST PAKKAM, KASARAGOD DIST KERALA</t>
  </si>
  <si>
    <t xml:space="preserve">KOTTILINGAL HAMEED THAHIR</t>
  </si>
  <si>
    <t xml:space="preserve">0507921589</t>
  </si>
  <si>
    <t xml:space="preserve">KOTTILINGAL HOUSE POST GURUVAYOOR, TRICHUR DIST KERALA STATE</t>
  </si>
  <si>
    <t xml:space="preserve">ABDUL MANAF K.M.</t>
  </si>
  <si>
    <t xml:space="preserve">0552784988</t>
  </si>
  <si>
    <t xml:space="preserve">9895239296</t>
  </si>
  <si>
    <t xml:space="preserve">kmmanaf97@gmail.com</t>
  </si>
  <si>
    <t xml:space="preserve">KOTTAPPURATH HOUSE POST THIRUVATRA, CHAVAKKAD TRICHUR DIST</t>
  </si>
  <si>
    <t xml:space="preserve">MADHUSUDHANAN V.P</t>
  </si>
  <si>
    <t xml:space="preserve">0509325234</t>
  </si>
  <si>
    <t xml:space="preserve">madhuvp009@gmail.com</t>
  </si>
  <si>
    <t xml:space="preserve">VALIYAPURAKKAL HOUSE, POST PANG CHENDI,, VIA KOLATHUR, MALAPPURAM DIST.</t>
  </si>
  <si>
    <t xml:space="preserve">RADHAKRISHNAN NARAYANAN</t>
  </si>
  <si>
    <t xml:space="preserve">0504230465</t>
  </si>
  <si>
    <t xml:space="preserve">4972727928</t>
  </si>
  <si>
    <t xml:space="preserve">1964rkrishnan@gmail.com</t>
  </si>
  <si>
    <t xml:space="preserve">PRABATH, THAZHECHOVVA, POST CHOVVA, KANNUR DIST., KERALA STATE.</t>
  </si>
  <si>
    <t xml:space="preserve">NADUVATH VALAPPIL ZAHIDA</t>
  </si>
  <si>
    <t xml:space="preserve">0561543265</t>
  </si>
  <si>
    <t xml:space="preserve">MANIKOTH HOUSE CHIRAKKARA, TELLICHERY KANNUR,KERALA</t>
  </si>
  <si>
    <t xml:space="preserve">CHARLES PAUL</t>
  </si>
  <si>
    <t xml:space="preserve">0558299996</t>
  </si>
  <si>
    <t xml:space="preserve">paulcharls@gmail.com</t>
  </si>
  <si>
    <t xml:space="preserve">ATHAPPADATH KANINADU POST, ERNAKULAM DIST, 9995999066</t>
  </si>
  <si>
    <t xml:space="preserve">0504993954</t>
  </si>
  <si>
    <t xml:space="preserve">4734210970</t>
  </si>
  <si>
    <t xml:space="preserve">agtco@emirates.net.ae</t>
  </si>
  <si>
    <t xml:space="preserve">Y.G.BUILDING KAITHAPARAMPU POST, ENATHU VIA PATHANAMTHITTA</t>
  </si>
  <si>
    <t xml:space="preserve">M.K.ABDULLA</t>
  </si>
  <si>
    <t xml:space="preserve">0508621808</t>
  </si>
  <si>
    <t xml:space="preserve">9496190272</t>
  </si>
  <si>
    <t xml:space="preserve">ANEES MANZIL PERIYA ROAD POST, PALLIKERE KASARAGOD DIST</t>
  </si>
  <si>
    <t xml:space="preserve">ABDUL MAJEED .M</t>
  </si>
  <si>
    <t xml:space="preserve">0505978399</t>
  </si>
  <si>
    <t xml:space="preserve">8606000683</t>
  </si>
  <si>
    <t xml:space="preserve">THOTTIYIL HOUSE POST PALLIKERE, KASARAGOD DIST KERALA</t>
  </si>
  <si>
    <t xml:space="preserve">SUNISH T.V</t>
  </si>
  <si>
    <t xml:space="preserve">0555751595</t>
  </si>
  <si>
    <t xml:space="preserve">4672236134</t>
  </si>
  <si>
    <t xml:space="preserve">sunishudma@gmail.com</t>
  </si>
  <si>
    <t xml:space="preserve">THAIVALAPPIL HOUSE POST UDMA, PIN 671319 KASARAGOD DIST</t>
  </si>
  <si>
    <t xml:space="preserve">SARGADHARAN VACHASPATHY</t>
  </si>
  <si>
    <t xml:space="preserve">0506268679</t>
  </si>
  <si>
    <t xml:space="preserve">KAMALALAYAM MAHADEVI KADU POST, KARTHIKAPALLY ALLEPPEY DIST</t>
  </si>
  <si>
    <t xml:space="preserve">GOPINATHAN KARIPODY</t>
  </si>
  <si>
    <t xml:space="preserve">0504972149</t>
  </si>
  <si>
    <t xml:space="preserve">7994012149</t>
  </si>
  <si>
    <t xml:space="preserve">gopkaripody@gmail.com</t>
  </si>
  <si>
    <t xml:space="preserve">MADATHIL HOUSE, KARIPODY POST,, BEKAL KASARAGOD DIST.</t>
  </si>
  <si>
    <t xml:space="preserve">JAGANNIVASAN I.A</t>
  </si>
  <si>
    <t xml:space="preserve">0505294870</t>
  </si>
  <si>
    <t xml:space="preserve">jaganithikat@hotmail.com</t>
  </si>
  <si>
    <t xml:space="preserve">ITHIKAT HOUSE VATANAPPILLY THRISSUR DIST, KERALA STATE</t>
  </si>
  <si>
    <t xml:space="preserve">HAMZA KORATTUPARAMBIL</t>
  </si>
  <si>
    <t xml:space="preserve">0505670449</t>
  </si>
  <si>
    <t xml:space="preserve">hamzakp@outlook.com</t>
  </si>
  <si>
    <t xml:space="preserve">KORATTUPRAMBIL HOUSE, POST VAIRANCODE,, THIRUNAVAYA, MALAPPURAM, KERALA</t>
  </si>
  <si>
    <t xml:space="preserve">THAZHEKAVIL MUSTHAFA</t>
  </si>
  <si>
    <t xml:space="preserve">0504993756</t>
  </si>
  <si>
    <t xml:space="preserve">9745323142</t>
  </si>
  <si>
    <t xml:space="preserve">kavilmusthafa9@gmail.com</t>
  </si>
  <si>
    <t xml:space="preserve">THAZHEKAVIL HOUSE POST KUNNUMMAKKARA, VIA CHOMBALA KERALA STATE</t>
  </si>
  <si>
    <t xml:space="preserve">KRISHNARJUNAN K.S</t>
  </si>
  <si>
    <t xml:space="preserve">0506507178</t>
  </si>
  <si>
    <t xml:space="preserve">4875222125</t>
  </si>
  <si>
    <t xml:space="preserve">krishnank01@yahoo.com</t>
  </si>
  <si>
    <t xml:space="preserve">SREESAILEM KANIPPAYOOR POST, TRICHUR DIST KERALA STATE</t>
  </si>
  <si>
    <t xml:space="preserve">JAFAR MARUVAYIL</t>
  </si>
  <si>
    <t xml:space="preserve">0506793713</t>
  </si>
  <si>
    <t xml:space="preserve">MARUVAYIL HOUSE ERAMALA POST, PIN 673501 CALICUT DIST</t>
  </si>
  <si>
    <t xml:space="preserve">PREKASH KUMAR P.V</t>
  </si>
  <si>
    <t xml:space="preserve">0552120207</t>
  </si>
  <si>
    <t xml:space="preserve">prkumar17@gmail.com</t>
  </si>
  <si>
    <t xml:space="preserve">PERINGOME POST, PAYYANNUR VIA,, CANNANORE DIST., KERALA, 0091 8076840306</t>
  </si>
  <si>
    <t xml:space="preserve">SUBAIR POYYAKKAL</t>
  </si>
  <si>
    <t xml:space="preserve">0588267416</t>
  </si>
  <si>
    <t xml:space="preserve">subair@banian.com</t>
  </si>
  <si>
    <t xml:space="preserve">AROLI POST PAPPINISERY VIA KANNUR, DIST KERALA STATE, 0091 9877799963</t>
  </si>
  <si>
    <t xml:space="preserve">MALATHI SUNISH</t>
  </si>
  <si>
    <t xml:space="preserve">0507965811</t>
  </si>
  <si>
    <t xml:space="preserve">9846274345</t>
  </si>
  <si>
    <t xml:space="preserve">krishma.sunish@yahoo.com</t>
  </si>
  <si>
    <t xml:space="preserve">KOTTARATHIL, VAVANOOR SOUTH,, PALAKKAD, KERALA STATE.</t>
  </si>
  <si>
    <t xml:space="preserve">M.NARAYAN PILLAI</t>
  </si>
  <si>
    <t xml:space="preserve">0506463157</t>
  </si>
  <si>
    <t xml:space="preserve">9447611007</t>
  </si>
  <si>
    <t xml:space="preserve">mnpillai@alhaseb.me</t>
  </si>
  <si>
    <t xml:space="preserve">CHITHIRA, KEZHAKKEKARA ,KOTTARAKARA, KOLLAM DIST KERALA STATE</t>
  </si>
  <si>
    <t xml:space="preserve">MAHESHAN .K</t>
  </si>
  <si>
    <t xml:space="preserve">0507876376</t>
  </si>
  <si>
    <t xml:space="preserve">4902363139</t>
  </si>
  <si>
    <t xml:space="preserve">niva101@hotmail.com</t>
  </si>
  <si>
    <t xml:space="preserve">MAHIJALAYAM KOTTAYAM MALABAR POST, KUTHUPARAMBA KANNOOR KERALA</t>
  </si>
  <si>
    <t xml:space="preserve">SHAJAHAN T.P</t>
  </si>
  <si>
    <t xml:space="preserve">0558294819</t>
  </si>
  <si>
    <t xml:space="preserve">9745122995</t>
  </si>
  <si>
    <t xml:space="preserve">tpshajahan81@Gmail.com</t>
  </si>
  <si>
    <t xml:space="preserve">T.P.HOUSE PALALI VALAPPU CHALIL, THALASSERY 2 KANNUR DIST</t>
  </si>
  <si>
    <t xml:space="preserve">BADARUL MUNEER</t>
  </si>
  <si>
    <t xml:space="preserve">0556156929</t>
  </si>
  <si>
    <t xml:space="preserve">9747781861</t>
  </si>
  <si>
    <t xml:space="preserve">muneerbakira132@gmail.com</t>
  </si>
  <si>
    <t xml:space="preserve">CHIRAKKAL HOUSE POOCHAKKAD POST, KEEKAN PALLIKKERE KASARAGOD</t>
  </si>
  <si>
    <t xml:space="preserve">NALAGATH SHERFUDEEN</t>
  </si>
  <si>
    <t xml:space="preserve">0505849221</t>
  </si>
  <si>
    <t xml:space="preserve">ALI BACKER 47/193B PACHALAM, COCHIN KERALA STATE</t>
  </si>
  <si>
    <t xml:space="preserve">MOHANAN KAPIYA</t>
  </si>
  <si>
    <t xml:space="preserve">0503627152</t>
  </si>
  <si>
    <t xml:space="preserve">4672238421</t>
  </si>
  <si>
    <t xml:space="preserve">mkapiya@eitta.com</t>
  </si>
  <si>
    <t xml:space="preserve">POTTAMKULAM HOUSE ARAVATH POST, PANAYAL KASARGOD DIST KERALA</t>
  </si>
  <si>
    <t xml:space="preserve">D.REGHUNATH (VENKITANGU)</t>
  </si>
  <si>
    <t xml:space="preserve">0559890600</t>
  </si>
  <si>
    <t xml:space="preserve">48725309</t>
  </si>
  <si>
    <t xml:space="preserve">reghunathvenkitangu@gmail.com</t>
  </si>
  <si>
    <t xml:space="preserve">ERAMANGALAM MALAPPURAM DIST, KERALA STATE</t>
  </si>
  <si>
    <t xml:space="preserve">PRASANTH</t>
  </si>
  <si>
    <t xml:space="preserve">0507579113</t>
  </si>
  <si>
    <t xml:space="preserve">984728881</t>
  </si>
  <si>
    <t xml:space="preserve">prasanth-pp124@yahoo.com</t>
  </si>
  <si>
    <t xml:space="preserve">KRISHNA NIVAS EKKANDAWARRIER ROAD, POST OLLUR TRICHUR DIST</t>
  </si>
  <si>
    <t xml:space="preserve">MOHAMED ABDUL NAZAR</t>
  </si>
  <si>
    <t xml:space="preserve">0505264970</t>
  </si>
  <si>
    <t xml:space="preserve">4942677471</t>
  </si>
  <si>
    <t xml:space="preserve">mudranazar1967@gmail.com</t>
  </si>
  <si>
    <t xml:space="preserve">POST PALAPPETTY VELLANCODE, MALAPPURAM DIST KERALA</t>
  </si>
  <si>
    <t xml:space="preserve">T.M. AHAMMED MUJEEB</t>
  </si>
  <si>
    <t xml:space="preserve">0506543146</t>
  </si>
  <si>
    <t xml:space="preserve">9995710544</t>
  </si>
  <si>
    <t xml:space="preserve">mujeebthalangara@hotmail.com</t>
  </si>
  <si>
    <t xml:space="preserve">THALAGARA POST KASARAGOD, KERALA STATE</t>
  </si>
  <si>
    <t xml:space="preserve">ABDUL HAMEED KUNNIL</t>
  </si>
  <si>
    <t xml:space="preserve">0507466165</t>
  </si>
  <si>
    <t xml:space="preserve">4672272749</t>
  </si>
  <si>
    <t xml:space="preserve">K.K.HOUSE ILIYAS NAGAR PALLIKERE POST, KASARAGOD DIST KERALA</t>
  </si>
  <si>
    <t xml:space="preserve">M.ABDUL KADER UBAID</t>
  </si>
  <si>
    <t xml:space="preserve">0502942177</t>
  </si>
  <si>
    <t xml:space="preserve">ubaid788@gmail.com</t>
  </si>
  <si>
    <t xml:space="preserve">MANGAD HOUSE BARA POST UDMA, KASARAGOD DIST KERALA</t>
  </si>
  <si>
    <t xml:space="preserve">KUNHABDULLA C.K</t>
  </si>
  <si>
    <t xml:space="preserve">0544428687</t>
  </si>
  <si>
    <t xml:space="preserve">4962920487</t>
  </si>
  <si>
    <t xml:space="preserve">kunhabdullack@gmail.com</t>
  </si>
  <si>
    <t xml:space="preserve">POST THIRUVALLUR VIA VADAKARA, PIN 673541 KERALA STATE I</t>
  </si>
  <si>
    <t xml:space="preserve">DILEEP P.P.</t>
  </si>
  <si>
    <t xml:space="preserve">0508304037</t>
  </si>
  <si>
    <t xml:space="preserve">puthukudy.dileep@saipem.com</t>
  </si>
  <si>
    <t xml:space="preserve">PUTHURUDY HOUSE PONNIAM WEST POST, TELLICHERRY 670641 KERALA STATE</t>
  </si>
  <si>
    <t xml:space="preserve">ABDUL AZEEZ MALIKAIL</t>
  </si>
  <si>
    <t xml:space="preserve">0508609192</t>
  </si>
  <si>
    <t xml:space="preserve">9947414545</t>
  </si>
  <si>
    <t xml:space="preserve">MALIKAIL HOUSE THOTTY PALLIKERE POST, KASARAGOD DIST KERALA STATE</t>
  </si>
  <si>
    <t xml:space="preserve">RIYAZ B.I</t>
  </si>
  <si>
    <t xml:space="preserve">0526442623</t>
  </si>
  <si>
    <t xml:space="preserve">riyazraz@gmail.com</t>
  </si>
  <si>
    <t xml:space="preserve">B.A ISMAIL, CHERKALA,, KASARAGOD, KERALA STATE</t>
  </si>
  <si>
    <t xml:space="preserve">ABDUL KAREEM A.V</t>
  </si>
  <si>
    <t xml:space="preserve">0507672863</t>
  </si>
  <si>
    <t xml:space="preserve">9778010312</t>
  </si>
  <si>
    <t xml:space="preserve">abdulkareem19635@gmail.com</t>
  </si>
  <si>
    <t xml:space="preserve">ARACHAMVEETTIL KARAKKAD GURUVAYOOR, TRICHUR DIST KERALA STATE</t>
  </si>
  <si>
    <t xml:space="preserve">O.ABOOBACKER</t>
  </si>
  <si>
    <t xml:space="preserve">0509787543</t>
  </si>
  <si>
    <t xml:space="preserve">OTHIYOOTH HOUSE EDACHERI POST, PIN 673502 KERALA</t>
  </si>
  <si>
    <t xml:space="preserve">RAGHAVAN PUTHIYA VALAPPIL</t>
  </si>
  <si>
    <t xml:space="preserve">0555820394</t>
  </si>
  <si>
    <t xml:space="preserve">pvraghavanm5@gmail.com</t>
  </si>
  <si>
    <t xml:space="preserve">HOUSE NO.2-122 BARE MAILATY POST, KASARAGOD DIST KERALA, 4672238244</t>
  </si>
  <si>
    <t xml:space="preserve">SHAMSUDHEEN KOCHERI</t>
  </si>
  <si>
    <t xml:space="preserve">0552644556</t>
  </si>
  <si>
    <t xml:space="preserve">4962548534</t>
  </si>
  <si>
    <t xml:space="preserve">shamsukocheri@gmail.com</t>
  </si>
  <si>
    <t xml:space="preserve">KOCHERI HOUSE ERAMALA POST, EDACHERY KOZHIKODE</t>
  </si>
  <si>
    <t xml:space="preserve">SHAMIL JOHN PANAMPALLY</t>
  </si>
  <si>
    <t xml:space="preserve">0506361362</t>
  </si>
  <si>
    <t xml:space="preserve">4734260448</t>
  </si>
  <si>
    <t xml:space="preserve">PANAMPALLIL HOUSE KULANADA POST, PATHANAMTHITTA DIST</t>
  </si>
  <si>
    <t xml:space="preserve">PACHAN RAJAN</t>
  </si>
  <si>
    <t xml:space="preserve">0506460268</t>
  </si>
  <si>
    <t xml:space="preserve">9447072324</t>
  </si>
  <si>
    <t xml:space="preserve">ranco@ranco-group.com</t>
  </si>
  <si>
    <t xml:space="preserve">THIPPATTI VEEDU PIIKAMUKKU MUDAKKAL POST, AVANAVANCHERY ATTINGAL TRIVANDRUM</t>
  </si>
  <si>
    <t xml:space="preserve">ABDUL SALAH</t>
  </si>
  <si>
    <t xml:space="preserve">0506546398</t>
  </si>
  <si>
    <t xml:space="preserve">9495429751</t>
  </si>
  <si>
    <t xml:space="preserve">salahbacker@gmail.com</t>
  </si>
  <si>
    <t xml:space="preserve">13 C , LINK HERITAGE, KACHERIPPADY,, ERNAKULAM NORTH-682018, KERALA</t>
  </si>
  <si>
    <t xml:space="preserve">M.G.VARGHESE</t>
  </si>
  <si>
    <t xml:space="preserve">0506460566</t>
  </si>
  <si>
    <t xml:space="preserve">alderaa@emirates.net.ae</t>
  </si>
  <si>
    <t xml:space="preserve">MELAIVEETTIL KURUMAKKARA POST, PATHANAPURAM KERALA</t>
  </si>
  <si>
    <t xml:space="preserve">KABEER KAMALUDEEN</t>
  </si>
  <si>
    <t xml:space="preserve">0554994999</t>
  </si>
  <si>
    <t xml:space="preserve">4885280360</t>
  </si>
  <si>
    <t xml:space="preserve">kabeer@telcongroup.com</t>
  </si>
  <si>
    <t xml:space="preserve">POST CHIRAMANENGODE, TRICHUR DIST KERALA</t>
  </si>
  <si>
    <t xml:space="preserve">SOMAN SUNIL KUMAR</t>
  </si>
  <si>
    <t xml:space="preserve">0507598633</t>
  </si>
  <si>
    <t xml:space="preserve">9946743770</t>
  </si>
  <si>
    <t xml:space="preserve">soman.sunilkumar@yahoo.in</t>
  </si>
  <si>
    <t xml:space="preserve">O.S.NIWAS VETOOR VARAKADA VIA, TRIVANDRUM DIST KERALA</t>
  </si>
  <si>
    <t xml:space="preserve">ABDUL SALAM KALANAD</t>
  </si>
  <si>
    <t xml:space="preserve">0503478919</t>
  </si>
  <si>
    <t xml:space="preserve">9847259999</t>
  </si>
  <si>
    <t xml:space="preserve">salamkalanad@gmail.com</t>
  </si>
  <si>
    <t xml:space="preserve">H.NO.VII-270 PILAVADUKAM DELI, KALANAD KASARAGOD DIST KERALA</t>
  </si>
  <si>
    <t xml:space="preserve">A.R.MOHAMED KUNHI</t>
  </si>
  <si>
    <t xml:space="preserve">0506343637</t>
  </si>
  <si>
    <t xml:space="preserve">armkunhi@yahoo.com</t>
  </si>
  <si>
    <t xml:space="preserve">AL MUBEEN MANZIL MUKOOD, POST KEEKAN KASARAGOD DIST</t>
  </si>
  <si>
    <t xml:space="preserve">MUDAVANGAD MOHANDAS</t>
  </si>
  <si>
    <t xml:space="preserve">0502038530</t>
  </si>
  <si>
    <t xml:space="preserve">mohandasmvd4@gmail.com</t>
  </si>
  <si>
    <t xml:space="preserve">Mudavangad,Valavannur-P.O.,, MALAPPURAM, 0091 9847652278</t>
  </si>
  <si>
    <t xml:space="preserve">PUNNAKKAN MUHAMMED ALI</t>
  </si>
  <si>
    <t xml:space="preserve">0506746998</t>
  </si>
  <si>
    <t xml:space="preserve">7736207793</t>
  </si>
  <si>
    <t xml:space="preserve">punnakkan@gmail.com</t>
  </si>
  <si>
    <t xml:space="preserve">ASIA MANZIL, VENGARA- P.O.,, KANNUR, KERALA</t>
  </si>
  <si>
    <t xml:space="preserve">MATHEW P.K.</t>
  </si>
  <si>
    <t xml:space="preserve">0506367608</t>
  </si>
  <si>
    <t xml:space="preserve">476872272</t>
  </si>
  <si>
    <t xml:space="preserve">p.kurianmathew@gmail.com</t>
  </si>
  <si>
    <t xml:space="preserve">PUTHUPURAKKAL HOUSE, THEVALAKKARA.PO, KIZHAKKEKKARA, KOLLAM, KERALA</t>
  </si>
  <si>
    <t xml:space="preserve">ABDUL MANAFF M.M</t>
  </si>
  <si>
    <t xml:space="preserve">0554567743</t>
  </si>
  <si>
    <t xml:space="preserve">9846344349</t>
  </si>
  <si>
    <t xml:space="preserve">manaff2@gmail.com</t>
  </si>
  <si>
    <t xml:space="preserve">MOOLAYIL HOUSE POST UDMA KASARAGOD DIST KERALA</t>
  </si>
  <si>
    <t xml:space="preserve">THOMAS GEORGE V.P</t>
  </si>
  <si>
    <t xml:space="preserve">0504821406</t>
  </si>
  <si>
    <t xml:space="preserve">4872420565</t>
  </si>
  <si>
    <t xml:space="preserve">thomasveepee@eim.ae</t>
  </si>
  <si>
    <t xml:space="preserve">VELUTHAMANNIGAL HOUSE, KOORKKENCHERRY, TRICHUR DIST 7, KERALA STATE</t>
  </si>
  <si>
    <t xml:space="preserve">UKKACHANKANDY USMAN</t>
  </si>
  <si>
    <t xml:space="preserve">0505862085</t>
  </si>
  <si>
    <t xml:space="preserve">9048928813</t>
  </si>
  <si>
    <t xml:space="preserve">usmantk32@gmail.com</t>
  </si>
  <si>
    <t xml:space="preserve">THIYYAKANDY HOUSE, MADAKKALUR,, ATHOLI VIA, KOZHIKODE.</t>
  </si>
  <si>
    <t xml:space="preserve">BIJOY M.BHASKARAN</t>
  </si>
  <si>
    <t xml:space="preserve">0562168660</t>
  </si>
  <si>
    <t xml:space="preserve">9846730466</t>
  </si>
  <si>
    <t xml:space="preserve">bijumb@hotmail.com</t>
  </si>
  <si>
    <t xml:space="preserve">MUTHEDATH HOUSE NHAMANGHAT POST TRICHUR DIST, KERALA STATE</t>
  </si>
  <si>
    <t xml:space="preserve">SHUHAIB ABDUL KARIM</t>
  </si>
  <si>
    <t xml:space="preserve">0505988647</t>
  </si>
  <si>
    <t xml:space="preserve">7559963680</t>
  </si>
  <si>
    <t xml:space="preserve">abdulkarimshuhaib@gmail.com</t>
  </si>
  <si>
    <t xml:space="preserve">SASTHAMVILA VEEDU, KURAKKANNI,, VARKALA, TRIVANDRUM</t>
  </si>
  <si>
    <t xml:space="preserve">THAHA SULTAN PILLAI</t>
  </si>
  <si>
    <t xml:space="preserve">0505994641</t>
  </si>
  <si>
    <t xml:space="preserve">thahasultan@gmail.com</t>
  </si>
  <si>
    <t xml:space="preserve">OTTATHANGUM VILA CHARUMOOD POST, CHUNAKKARA ALLAPPEY DIST, 0091-4792385519</t>
  </si>
  <si>
    <t xml:space="preserve">T.M.GEORGE KUTTY</t>
  </si>
  <si>
    <t xml:space="preserve">0506268073</t>
  </si>
  <si>
    <t xml:space="preserve">georgethundiyil@hotmail.com</t>
  </si>
  <si>
    <t xml:space="preserve">THUNDIYIL HOUSE, MANDIRAM- PO, RANNY, PATHANAMTHITTA DT., 04735211439</t>
  </si>
  <si>
    <t xml:space="preserve">RAJESH BARE</t>
  </si>
  <si>
    <t xml:space="preserve">0507867460</t>
  </si>
  <si>
    <t xml:space="preserve">rajubare@gmail.com</t>
  </si>
  <si>
    <t xml:space="preserve">MUKKUNNOTH HOUSE, POST BARE, VIA UDMA, KASARAGOD DIST, KERALA</t>
  </si>
  <si>
    <t xml:space="preserve">SUNIL KUMAR</t>
  </si>
  <si>
    <t xml:space="preserve">0503085336</t>
  </si>
  <si>
    <t xml:space="preserve">4672273719</t>
  </si>
  <si>
    <t xml:space="preserve">sunilkaruvakod@yahoo.com</t>
  </si>
  <si>
    <t xml:space="preserve">POST MAVVAL VIA PALLIKKERE KASARAGOD DIST, KERALA STATE</t>
  </si>
  <si>
    <t xml:space="preserve">MURALI KUMAR K.S.</t>
  </si>
  <si>
    <t xml:space="preserve">0502071206</t>
  </si>
  <si>
    <t xml:space="preserve">4942677012</t>
  </si>
  <si>
    <t xml:space="preserve">POST PALAPPETTY, VIA- VELIANCODE</t>
  </si>
  <si>
    <t xml:space="preserve">H.K.ABDUL RAHIM</t>
  </si>
  <si>
    <t xml:space="preserve">0504998190</t>
  </si>
  <si>
    <t xml:space="preserve">4742531388</t>
  </si>
  <si>
    <t xml:space="preserve">ha.rahim@giffingraphics.com</t>
  </si>
  <si>
    <t xml:space="preserve">THEKKEBHGATH THODIYIL HOUSE,, MYLAKKAD, KOTTIYAM, KOLLAM</t>
  </si>
  <si>
    <t xml:space="preserve">HARILAL M</t>
  </si>
  <si>
    <t xml:space="preserve">0552593060</t>
  </si>
  <si>
    <t xml:space="preserve">4742593060</t>
  </si>
  <si>
    <t xml:space="preserve">harinsssharjah@gmail.com</t>
  </si>
  <si>
    <t xml:space="preserve">CHERAYATHU ADICHANALLOOR, KOLLAM DIST KERALA STATE</t>
  </si>
  <si>
    <t xml:space="preserve">O THOMAS VARUGHESE</t>
  </si>
  <si>
    <t xml:space="preserve">0505477829</t>
  </si>
  <si>
    <t xml:space="preserve">4735221111</t>
  </si>
  <si>
    <t xml:space="preserve">joseorethu@gmail.com</t>
  </si>
  <si>
    <t xml:space="preserve">ORETHU HOUSE PULOOPRAM POST, VARAVOOR RANNY KERALA STATE</t>
  </si>
  <si>
    <t xml:space="preserve">MOHAMMAD SALIYA .K</t>
  </si>
  <si>
    <t xml:space="preserve">0556423425</t>
  </si>
  <si>
    <t xml:space="preserve">CHETTUKUND KADAPPURAM PO KEEKAN VIA, PALLIKKERE KASARAGOD DIST KERALA</t>
  </si>
  <si>
    <t xml:space="preserve">ANSAR KHAN OSMAN</t>
  </si>
  <si>
    <t xml:space="preserve">0507860056</t>
  </si>
  <si>
    <t xml:space="preserve">ansarcochin@hotmail.com</t>
  </si>
  <si>
    <t xml:space="preserve">HOUSE NO. XI/714 BISHOPS GARDEN PATTALAM, FORT COCHIN, 0484 2216079</t>
  </si>
  <si>
    <t xml:space="preserve">HARIS MOIDEEN</t>
  </si>
  <si>
    <t xml:space="preserve">0555771750</t>
  </si>
  <si>
    <t xml:space="preserve">4672272665</t>
  </si>
  <si>
    <t xml:space="preserve">haris.amina@ymail.com</t>
  </si>
  <si>
    <t xml:space="preserve">ZAINABA MANZIL, PALLIKARE POST, KASARAGOD DT</t>
  </si>
  <si>
    <t xml:space="preserve">MOHAMMED HANEEFA</t>
  </si>
  <si>
    <t xml:space="preserve">0565240910</t>
  </si>
  <si>
    <t xml:space="preserve">haneefabkl79@gmail.com</t>
  </si>
  <si>
    <t xml:space="preserve">MOIDEEN MANZIL KOTTAKKUNNU PO PALLIKKERA, KASARAGOD DT</t>
  </si>
  <si>
    <t xml:space="preserve">VIJAYARAJ T.RAJAN</t>
  </si>
  <si>
    <t xml:space="preserve">0505085733</t>
  </si>
  <si>
    <t xml:space="preserve">4885242774</t>
  </si>
  <si>
    <t xml:space="preserve">vijaytr@gmail.com</t>
  </si>
  <si>
    <t xml:space="preserve">THALEKKARA HOUSE, NO. VIII/489, EYYAL POST, TRICHUR DIST, KERALA STATE</t>
  </si>
  <si>
    <t xml:space="preserve">MOHANAN N.M.</t>
  </si>
  <si>
    <t xml:space="preserve">0507787121</t>
  </si>
  <si>
    <t xml:space="preserve">NAYAKAM PURAKKAL HOUSE, POST THIRUVATHRA, CHAVAKKAD ( VIA)</t>
  </si>
  <si>
    <t xml:space="preserve">JAFFAR M.S.</t>
  </si>
  <si>
    <t xml:space="preserve">0505868013</t>
  </si>
  <si>
    <t xml:space="preserve">info@blacktulipflowers.com</t>
  </si>
  <si>
    <t xml:space="preserve">N.M.S. HOUSE, NEAR GOVT. HOSPITAL, VIZHIJAM</t>
  </si>
  <si>
    <t xml:space="preserve">SHAMSUDHEEN K.H</t>
  </si>
  <si>
    <t xml:space="preserve">0557205354</t>
  </si>
  <si>
    <t xml:space="preserve">9605484717</t>
  </si>
  <si>
    <t xml:space="preserve">shamsukh@hotmail.com</t>
  </si>
  <si>
    <t xml:space="preserve">KALLURAVI HOUSE, POST KANHANGAD SOUTH,, KASARAGOD, KERALA</t>
  </si>
  <si>
    <t xml:space="preserve">MUHAMMED JABIR.S</t>
  </si>
  <si>
    <t xml:space="preserve">0507941001</t>
  </si>
  <si>
    <t xml:space="preserve">smjabir@hotmail.com</t>
  </si>
  <si>
    <t xml:space="preserve">777 ENBD CCB SHJ, BUSHRA MANZIL,TRICHAMBARAM, TALIPARAMBA,, CANNANORE DT, KERALA</t>
  </si>
  <si>
    <t xml:space="preserve">VIVEK SREEDHARAN</t>
  </si>
  <si>
    <t xml:space="preserve">0506979168</t>
  </si>
  <si>
    <t xml:space="preserve">vivek1214@gmail.com</t>
  </si>
  <si>
    <t xml:space="preserve">"SRISHTI", KAKKAD ROAD, SOUTH BAZAR, KANNUR, KERALA, IN, 0091 497 2742973</t>
  </si>
  <si>
    <t xml:space="preserve">ADV.SUNNY MATHEWS</t>
  </si>
  <si>
    <t xml:space="preserve">0508997200</t>
  </si>
  <si>
    <t xml:space="preserve">adv.sunnym@gmail.com</t>
  </si>
  <si>
    <t xml:space="preserve">KOCHUMADATHIL HOUSE, KATTOOR POST, KOZHENCHERRY, KE, 0091 9495555700</t>
  </si>
  <si>
    <t xml:space="preserve">V.SREEKUMAR</t>
  </si>
  <si>
    <t xml:space="preserve">0504961935</t>
  </si>
  <si>
    <t xml:space="preserve">4712343042</t>
  </si>
  <si>
    <t xml:space="preserve">kumarv52@eim.ae</t>
  </si>
  <si>
    <t xml:space="preserve">ATHIRAH, E-8, MARWEL, MARTHOORKADAVU, KALADY, KARAMA</t>
  </si>
  <si>
    <t xml:space="preserve">GEJO JOSHUA</t>
  </si>
  <si>
    <t xml:space="preserve">0502559157</t>
  </si>
  <si>
    <t xml:space="preserve">2225963505</t>
  </si>
  <si>
    <t xml:space="preserve">gejojoshua@gmail.com</t>
  </si>
  <si>
    <t xml:space="preserve">KALPATARU CREST,TOWER-A-47, 4TH FLOOR,, LBS ROAD, BHANDUP WEST, MUMBAI -78</t>
  </si>
  <si>
    <t xml:space="preserve">MUSTHAFA KANNAT</t>
  </si>
  <si>
    <t xml:space="preserve">0508695948</t>
  </si>
  <si>
    <t xml:space="preserve">kannatmustafa@gmail.com</t>
  </si>
  <si>
    <t xml:space="preserve">KANNAT JAS NIVAS, PO. ORUMANAYOOR, THRISSUR DIST, KERALA</t>
  </si>
  <si>
    <t xml:space="preserve">J.S.JACOB</t>
  </si>
  <si>
    <t xml:space="preserve">0507670047</t>
  </si>
  <si>
    <t xml:space="preserve">4712250517</t>
  </si>
  <si>
    <t xml:space="preserve">sujananjacob@gmail.com</t>
  </si>
  <si>
    <t xml:space="preserve">ANUGRAH, NEAR INDIRA NAGAR, PARASUVAIKAL.PO., TRIVANDRUM DT, KERALA</t>
  </si>
  <si>
    <t xml:space="preserve">M.K.CHACKO</t>
  </si>
  <si>
    <t xml:space="preserve">0506346758</t>
  </si>
  <si>
    <t xml:space="preserve">2225976559</t>
  </si>
  <si>
    <t xml:space="preserve">shibusuma7@hotmail.com</t>
  </si>
  <si>
    <t xml:space="preserve">DEVDARSHAN, BLD.1, FLAT NO.101,DONGARI PADA , THANE W</t>
  </si>
  <si>
    <t xml:space="preserve">A. SHOUKKATH POOCHAKKAD</t>
  </si>
  <si>
    <t xml:space="preserve">0508080810</t>
  </si>
  <si>
    <t xml:space="preserve">sharkallo@gmail.com</t>
  </si>
  <si>
    <t xml:space="preserve">P.P.HOUSE, POST KEEKAN, RAHMATH ROAD, PALLIKERE, KASARAGOD DT, KERALA, 00914672272201</t>
  </si>
  <si>
    <t xml:space="preserve">JOHNSON THOMAS</t>
  </si>
  <si>
    <t xml:space="preserve">0504585400</t>
  </si>
  <si>
    <t xml:space="preserve">johnson.thomas@enpigroup.com</t>
  </si>
  <si>
    <t xml:space="preserve">KUTTIYIL HOUSE. CHERIANAD.PO., ALAPPUZHA DIST, KERALA, 0091 479 2360180</t>
  </si>
  <si>
    <t xml:space="preserve">MOOSA.P.K</t>
  </si>
  <si>
    <t xml:space="preserve">0506261174</t>
  </si>
  <si>
    <t xml:space="preserve">4942423591</t>
  </si>
  <si>
    <t xml:space="preserve">cresshj1@eim.ae</t>
  </si>
  <si>
    <t xml:space="preserve">CRESCENT HOUSE, SOUTH ANNARA, TIRUR, MALAPPURAM DIST</t>
  </si>
  <si>
    <t xml:space="preserve">BINU K. PAPPACHAN</t>
  </si>
  <si>
    <t xml:space="preserve">0503698561</t>
  </si>
  <si>
    <t xml:space="preserve">4752277285</t>
  </si>
  <si>
    <t xml:space="preserve">binukaypee@gmail.com</t>
  </si>
  <si>
    <t xml:space="preserve">KOCHUKONATHU PENIEL, ALENCHERY,, ALAYAMON- P.O., KOLLAM-691312. KERALA.</t>
  </si>
  <si>
    <t xml:space="preserve">MOHANAN PURAMUNDEKAD</t>
  </si>
  <si>
    <t xml:space="preserve">0506268752</t>
  </si>
  <si>
    <t xml:space="preserve">4962692018</t>
  </si>
  <si>
    <t xml:space="preserve">appumohan@hotmail.com</t>
  </si>
  <si>
    <t xml:space="preserve">NEST, KADALOOR POST, KOZHIKODE 673531, KERALA</t>
  </si>
  <si>
    <t xml:space="preserve">ADNAN ERAMULLAN</t>
  </si>
  <si>
    <t xml:space="preserve">0554689603</t>
  </si>
  <si>
    <t xml:space="preserve">7510681953</t>
  </si>
  <si>
    <t xml:space="preserve">adnankadoor@Gmail.Com</t>
  </si>
  <si>
    <t xml:space="preserve">MARIYAM HOUSE, KADOOR P.O., CHERUPAZHASSI, KANNUR, PIN</t>
  </si>
  <si>
    <t xml:space="preserve">DEVARAJAN KUZHIATH BHASKARAN</t>
  </si>
  <si>
    <t xml:space="preserve">0506554856</t>
  </si>
  <si>
    <t xml:space="preserve">6282674761</t>
  </si>
  <si>
    <t xml:space="preserve">devettan@hotmail.com</t>
  </si>
  <si>
    <t xml:space="preserve">KUZHIATH THEKATHIL CHUNAKARA NADUVIL, CHUNAKARA.PO., ALLEPPEY DT, KERALA</t>
  </si>
  <si>
    <t xml:space="preserve">JACOB VAZHAKKUNNATHU JOHN</t>
  </si>
  <si>
    <t xml:space="preserve">0504545034</t>
  </si>
  <si>
    <t xml:space="preserve">4682312439</t>
  </si>
  <si>
    <t xml:space="preserve">vazhakkunnathu@gmail.com</t>
  </si>
  <si>
    <t xml:space="preserve">VAZHAKUNNATHU HOUSE, CHERUKOLE.PO., PATHANAMATHITTA DIST, KERALA</t>
  </si>
  <si>
    <t xml:space="preserve">MEHROOF ABDU REHIMAN.K.P</t>
  </si>
  <si>
    <t xml:space="preserve">0501488860</t>
  </si>
  <si>
    <t xml:space="preserve">meharoofmtl@gmail.com</t>
  </si>
  <si>
    <t xml:space="preserve">DARU RAHMAN, NEAR BADAR MASJID.PO, MATTOOL NORTH, KANNUR DT, KERALA</t>
  </si>
  <si>
    <t xml:space="preserve">SREESANTH.E.R</t>
  </si>
  <si>
    <t xml:space="preserve">0501427007</t>
  </si>
  <si>
    <t xml:space="preserve">sreesanther@gmail.com</t>
  </si>
  <si>
    <t xml:space="preserve">EARATH HOUSE, YESUDAS ROAD,KUNNAMKULAM, TRICHUR, KERALA -680503, 0091 488 5210726</t>
  </si>
  <si>
    <t xml:space="preserve">MOHAMMED ASHIF K.A</t>
  </si>
  <si>
    <t xml:space="preserve">0526107393</t>
  </si>
  <si>
    <t xml:space="preserve">4672236469</t>
  </si>
  <si>
    <t xml:space="preserve">aachubekal07@gmail.com</t>
  </si>
  <si>
    <t xml:space="preserve">K.E.HOUSE, MALANKUNNU, BEKAL.PO, KASARAGOD DT, KERALA 671318</t>
  </si>
  <si>
    <t xml:space="preserve">RAGHAVAN NAIR KAMMATTA</t>
  </si>
  <si>
    <t xml:space="preserve">0556387999</t>
  </si>
  <si>
    <t xml:space="preserve">4994282970</t>
  </si>
  <si>
    <t xml:space="preserve">fineedgealu@gmail.com</t>
  </si>
  <si>
    <t xml:space="preserve">CHERUKARA(H) P.O., THEKKIL POINACHI,, KASARAGOD DT., KERALA.</t>
  </si>
  <si>
    <t xml:space="preserve">PARAYIL POURNAMI VIJAYAN</t>
  </si>
  <si>
    <t xml:space="preserve">0552715886</t>
  </si>
  <si>
    <t xml:space="preserve">9387721122</t>
  </si>
  <si>
    <t xml:space="preserve">pinkuv@gmail.com</t>
  </si>
  <si>
    <t xml:space="preserve">MUTHALAKKOT HOUSE, WADAKANCHERY, THRISSUR, KERALA, INDIA</t>
  </si>
  <si>
    <t xml:space="preserve">A.V KUMARAN</t>
  </si>
  <si>
    <t xml:space="preserve">0504538466</t>
  </si>
  <si>
    <t xml:space="preserve">4672237215</t>
  </si>
  <si>
    <t xml:space="preserve">kumaran-av@yahoo.com</t>
  </si>
  <si>
    <t xml:space="preserve">A.V HOUSE UDUMA P.O, KASARAGOD DT, KERALA</t>
  </si>
  <si>
    <t xml:space="preserve">V.P DAS</t>
  </si>
  <si>
    <t xml:space="preserve">0509338282</t>
  </si>
  <si>
    <t xml:space="preserve">4885227488</t>
  </si>
  <si>
    <t xml:space="preserve">sanaatailoring@gmail.com</t>
  </si>
  <si>
    <t xml:space="preserve">VALIYAPURAKKAL(H) KRISHNAGEETHAM MAMMIYOOR, GURUVAYOOR TRICHUR KERALA</t>
  </si>
  <si>
    <t xml:space="preserve">K.PAUL THOMAS</t>
  </si>
  <si>
    <t xml:space="preserve">0506588049</t>
  </si>
  <si>
    <t xml:space="preserve">4842627028</t>
  </si>
  <si>
    <t xml:space="preserve">kpaulthomas@gmail.com</t>
  </si>
  <si>
    <t xml:space="preserve">KURISUVEETTIL HOUSE, ALUVA 683105, ERNAKULAM DT.KERALA</t>
  </si>
  <si>
    <t xml:space="preserve">SURESH P.NAIR</t>
  </si>
  <si>
    <t xml:space="preserve">0507876034</t>
  </si>
  <si>
    <t xml:space="preserve">sureshnair797@yahoo.com</t>
  </si>
  <si>
    <t xml:space="preserve">T.C6/1369(1) PTP AVENUE VATTIYORKAVE P.O, TRIVANDRUM-13 KERALA, 914712367086</t>
  </si>
  <si>
    <t xml:space="preserve">ABDUL JABBAR T.A</t>
  </si>
  <si>
    <t xml:space="preserve">0507423197</t>
  </si>
  <si>
    <t xml:space="preserve">9605655557</t>
  </si>
  <si>
    <t xml:space="preserve">seja1300@yahoo.com</t>
  </si>
  <si>
    <t xml:space="preserve">THAMARATH(H) PUNNA KOTTARAMKUNNU P.O, CHAVAKKAD THRISSUR DT.KERALA</t>
  </si>
  <si>
    <t xml:space="preserve">SAMEER AHAMED</t>
  </si>
  <si>
    <t xml:space="preserve">0507272873</t>
  </si>
  <si>
    <t xml:space="preserve">4902321263</t>
  </si>
  <si>
    <t xml:space="preserve">sameer_ahamed@hotmail.com</t>
  </si>
  <si>
    <t xml:space="preserve">"ZULAL" EDATHIL ROAD P.O THALASSERY KANNUR DT. KERALA</t>
  </si>
  <si>
    <t xml:space="preserve">M.K.SIDHIQUE</t>
  </si>
  <si>
    <t xml:space="preserve">0559494788</t>
  </si>
  <si>
    <t xml:space="preserve">9400897999</t>
  </si>
  <si>
    <t xml:space="preserve">md@leotech.ae</t>
  </si>
  <si>
    <t xml:space="preserve">AYANICKAT KIZHAKETHIL THODIYOOR NORTH P.O KARUNAGAP</t>
  </si>
  <si>
    <t xml:space="preserve">K.N.RAKESH</t>
  </si>
  <si>
    <t xml:space="preserve">0556124740</t>
  </si>
  <si>
    <t xml:space="preserve">4802845004</t>
  </si>
  <si>
    <t xml:space="preserve">rakeshkn85@gmail.com</t>
  </si>
  <si>
    <t xml:space="preserve">PERINGANAM WEST TRICHUR DT. KERALA PIN-680686</t>
  </si>
  <si>
    <t xml:space="preserve">K.MOHAMMED KUNHI</t>
  </si>
  <si>
    <t xml:space="preserve">0561155065</t>
  </si>
  <si>
    <t xml:space="preserve">9744308313</t>
  </si>
  <si>
    <t xml:space="preserve">BEKKAL KUNNIL ILYAS NAGAR PO PALLIKERE, KASARAGOD DT. KERALA</t>
  </si>
  <si>
    <t xml:space="preserve">RADHAKRISHNAN NAIR</t>
  </si>
  <si>
    <t xml:space="preserve">0504823750</t>
  </si>
  <si>
    <t xml:space="preserve">9497103000</t>
  </si>
  <si>
    <t xml:space="preserve">rknair28@yahoo.com</t>
  </si>
  <si>
    <t xml:space="preserve">CHATHANGAI, MANIYIL, PO CHANDRAGIRI, KASARAGOD DT, KERALA</t>
  </si>
  <si>
    <t xml:space="preserve">ANIL KUMAR AMBHAT ACHUTHAN</t>
  </si>
  <si>
    <t xml:space="preserve">0506884952</t>
  </si>
  <si>
    <t xml:space="preserve">4872642124</t>
  </si>
  <si>
    <t xml:space="preserve">anilambatt@gmail.com</t>
  </si>
  <si>
    <t xml:space="preserve">AMBHAT HOUSE, PO.PUVATHUR, TRICHUR DT,KERALA</t>
  </si>
  <si>
    <t xml:space="preserve">VARGHESE JOHNSON</t>
  </si>
  <si>
    <t xml:space="preserve">0506379965</t>
  </si>
  <si>
    <t xml:space="preserve">johnsonpalavila@gmail.com</t>
  </si>
  <si>
    <t xml:space="preserve">PALAVILA PUTHEN VEEDU, KALANJOOR.PO.EDATHARA JN, PATHANAMTHITTA DIST, KERALA, 0091473424054</t>
  </si>
  <si>
    <t xml:space="preserve">NELSON RAJI</t>
  </si>
  <si>
    <t xml:space="preserve">0504829534</t>
  </si>
  <si>
    <t xml:space="preserve">nelsonraji.nrs@gmail.com</t>
  </si>
  <si>
    <t xml:space="preserve">N.R.S COTTAGE, KOCHUVELI,TITANIUM, TRIVANDRUM, KERALA, 00914712706069</t>
  </si>
  <si>
    <t xml:space="preserve">RENJI K. CHERIAN</t>
  </si>
  <si>
    <t xml:space="preserve">0506564091</t>
  </si>
  <si>
    <t xml:space="preserve">8281402809</t>
  </si>
  <si>
    <t xml:space="preserve">renjikc@gmail.com</t>
  </si>
  <si>
    <t xml:space="preserve">KILILATHU LOVELY COTTAGE, PATTOM.PO., TRIVANDRUM, KERALA</t>
  </si>
  <si>
    <t xml:space="preserve">CHANDRAN.P.P</t>
  </si>
  <si>
    <t xml:space="preserve">0523936812</t>
  </si>
  <si>
    <t xml:space="preserve">4602235002</t>
  </si>
  <si>
    <t xml:space="preserve">vinduinteriors@gmail.com</t>
  </si>
  <si>
    <t xml:space="preserve">CHOOLIYAD, MALAPPATTAM.PO., SREEKANTAPURAM, CANNANORE , KERALA</t>
  </si>
  <si>
    <t xml:space="preserve">SAJI XAVIER</t>
  </si>
  <si>
    <t xml:space="preserve">0562312450</t>
  </si>
  <si>
    <t xml:space="preserve">4829250381</t>
  </si>
  <si>
    <t xml:space="preserve">sajikampadam@gmail.com</t>
  </si>
  <si>
    <t xml:space="preserve">KAMPADATHIL HOUSE, MIDAYIKUNNU.PO, THALAYOLAPARAMBU,POTHY, KOTTAYAM, KERALA</t>
  </si>
  <si>
    <t xml:space="preserve">JOSEPH CHAMAVILA JOHN</t>
  </si>
  <si>
    <t xml:space="preserve">0502012946</t>
  </si>
  <si>
    <t xml:space="preserve">4742593238</t>
  </si>
  <si>
    <t xml:space="preserve">geejose@gmail.com</t>
  </si>
  <si>
    <t xml:space="preserve">CHAMAVILA HOUSE, CHATHANNOOR.PO., QUILON DT, KERALA</t>
  </si>
  <si>
    <t xml:space="preserve">MOHANAN SREEDHARAN</t>
  </si>
  <si>
    <t xml:space="preserve">0507782800</t>
  </si>
  <si>
    <t xml:space="preserve">mohansp@eim.ae</t>
  </si>
  <si>
    <t xml:space="preserve">PUTHUSSERIL HOUSE, S.R.P MARKET POST, THAZHAVA, KARUNAGAPPALLY, QUILON, KERALA</t>
  </si>
  <si>
    <t xml:space="preserve">K.K.PAUL</t>
  </si>
  <si>
    <t xml:space="preserve">0506463093</t>
  </si>
  <si>
    <t xml:space="preserve">9446408081</t>
  </si>
  <si>
    <t xml:space="preserve">safan05@eim.ae</t>
  </si>
  <si>
    <t xml:space="preserve">KANNANAIKKAL HOUSE, PO.KURUMAL, TRICHUR DT, KERALA</t>
  </si>
  <si>
    <t xml:space="preserve">ADV.HASHIK T.K</t>
  </si>
  <si>
    <t xml:space="preserve">0504941923</t>
  </si>
  <si>
    <t xml:space="preserve">4972731833</t>
  </si>
  <si>
    <t xml:space="preserve">advocatedubai@gmail.com</t>
  </si>
  <si>
    <t xml:space="preserve">HASEENA MANZIL, PO.KADALAYI, KANNUR DT, KERALA</t>
  </si>
  <si>
    <t xml:space="preserve">SNEHAJAN M.</t>
  </si>
  <si>
    <t xml:space="preserve">0562796553</t>
  </si>
  <si>
    <t xml:space="preserve">9446944449</t>
  </si>
  <si>
    <t xml:space="preserve">snehajan@hotmail.com</t>
  </si>
  <si>
    <t xml:space="preserve">ASHOK BHAVAN, POST CHOVVA, CANNANORE</t>
  </si>
  <si>
    <t xml:space="preserve">K.P.JITHESH JAYAN</t>
  </si>
  <si>
    <t xml:space="preserve">0502662617</t>
  </si>
  <si>
    <t xml:space="preserve">Jitheshjayan@gmail.com</t>
  </si>
  <si>
    <t xml:space="preserve">THANKAM POST ALAVIL, KANNUR DIST KERALA STATE, 0091 4972 742801</t>
  </si>
  <si>
    <t xml:space="preserve">ABDUL SALAM HASSAN</t>
  </si>
  <si>
    <t xml:space="preserve">0504983137</t>
  </si>
  <si>
    <t xml:space="preserve">alshwifat@gmail.com</t>
  </si>
  <si>
    <t xml:space="preserve">PARALIL PUTHEN VEEDU, MUNDUKOTTACKAL.PO, PATHANAMTHITTA, KERALA, 0091 9847297210</t>
  </si>
  <si>
    <t xml:space="preserve">D.N.DILEEP KUMAR</t>
  </si>
  <si>
    <t xml:space="preserve">0567676707</t>
  </si>
  <si>
    <t xml:space="preserve">9400236700</t>
  </si>
  <si>
    <t xml:space="preserve">dileep@tastemastersllc.com</t>
  </si>
  <si>
    <t xml:space="preserve">ACGM ENCLAVE, FLAT-4-G,, VYTTILA, ERNAKULAM, KERALA</t>
  </si>
  <si>
    <t xml:space="preserve">THEJAS VIJAY</t>
  </si>
  <si>
    <t xml:space="preserve">0582480169</t>
  </si>
  <si>
    <t xml:space="preserve">9746756276</t>
  </si>
  <si>
    <t xml:space="preserve">thejas.vijay@gmail.com</t>
  </si>
  <si>
    <t xml:space="preserve">THEJAS, PO.PILATHARA, KANNUR DT, KERALA</t>
  </si>
  <si>
    <t xml:space="preserve">SREE PRAKASH PURAYATH</t>
  </si>
  <si>
    <t xml:space="preserve">0507945948</t>
  </si>
  <si>
    <t xml:space="preserve">9946453043</t>
  </si>
  <si>
    <t xml:space="preserve">purayath1@gmail.com</t>
  </si>
  <si>
    <t xml:space="preserve">PURAYATH HOUSE, PATTIKKAD.PO., MALAPPURAM DT, KERALA</t>
  </si>
  <si>
    <t xml:space="preserve">MUJEEB .K</t>
  </si>
  <si>
    <t xml:space="preserve">0561964243</t>
  </si>
  <si>
    <t xml:space="preserve">4662254571</t>
  </si>
  <si>
    <t xml:space="preserve">mujikm@gmail.com</t>
  </si>
  <si>
    <t xml:space="preserve">MANNIYAM PERUMBALAM, KOODALLUR.PO, PALAKKAD, KERALA -679554</t>
  </si>
  <si>
    <t xml:space="preserve">N.IBRAHIM KUTTY</t>
  </si>
  <si>
    <t xml:space="preserve">0506505918</t>
  </si>
  <si>
    <t xml:space="preserve">4942424158</t>
  </si>
  <si>
    <t xml:space="preserve">ibrahimkn8@gmail.com</t>
  </si>
  <si>
    <t xml:space="preserve">THEKKUMMURI, TIRUR, MALAPPURAM, KERALA</t>
  </si>
  <si>
    <t xml:space="preserve">DR.SURESH KUMAR.V.C</t>
  </si>
  <si>
    <t xml:space="preserve">0507278620</t>
  </si>
  <si>
    <t xml:space="preserve">4602275666</t>
  </si>
  <si>
    <t xml:space="preserve">sureshkumar@yahoo.com</t>
  </si>
  <si>
    <t xml:space="preserve">RAMAMANDIRAM, MAYYIL-P.O.,, KANNOOR, KERALA</t>
  </si>
  <si>
    <t xml:space="preserve">AHAMMUDU CHEVIDIKKUNNAN</t>
  </si>
  <si>
    <t xml:space="preserve">0505777147</t>
  </si>
  <si>
    <t xml:space="preserve">CHEVIDIKKUNNAN HOUSE, OTHUKKUNGAL.PO, MATTATHOOR, MALAPPURAM, KERALA, 00914832861327</t>
  </si>
  <si>
    <t xml:space="preserve">A.N. KHAN PARAYIL</t>
  </si>
  <si>
    <t xml:space="preserve">0563413022</t>
  </si>
  <si>
    <t xml:space="preserve">khanparayil2008@gmail.com</t>
  </si>
  <si>
    <t xml:space="preserve">VILAYIL HOUSE, THEVANPARA, THOLICODE.P.O., TRIVANDRUM, KERALA, 0091 9447656178</t>
  </si>
  <si>
    <t xml:space="preserve">SUDHARSANAN</t>
  </si>
  <si>
    <t xml:space="preserve">0506146346</t>
  </si>
  <si>
    <t xml:space="preserve">CHIRAG NIVAS, AMBALATHURA, MANACAUD.PO, TRIANDRUM DT, KERALA</t>
  </si>
  <si>
    <t xml:space="preserve">ADV.AJI KURIAKOSE</t>
  </si>
  <si>
    <t xml:space="preserve">0503809444</t>
  </si>
  <si>
    <t xml:space="preserve">9495321255</t>
  </si>
  <si>
    <t xml:space="preserve">adv.ajikuriakose@gmail.com</t>
  </si>
  <si>
    <t xml:space="preserve">MURINGATHERI (H) KUNDANOOR POST,, TRICHUR, KERALA-680590.</t>
  </si>
  <si>
    <t xml:space="preserve">ANWAR ASANARU KUNJU</t>
  </si>
  <si>
    <t xml:space="preserve">0506912075</t>
  </si>
  <si>
    <t xml:space="preserve">4742475127</t>
  </si>
  <si>
    <t xml:space="preserve">anwarakdxb@yahoo.com</t>
  </si>
  <si>
    <t xml:space="preserve">ASHA MANZIL, POREDOM.PO, CHADAYAMANGALAM, KOLLAM, KERALA</t>
  </si>
  <si>
    <t xml:space="preserve">MOHD.RAFEEK PATEL</t>
  </si>
  <si>
    <t xml:space="preserve">0505042020</t>
  </si>
  <si>
    <t xml:space="preserve">9846411711</t>
  </si>
  <si>
    <t xml:space="preserve">rafipatel@gmail.com</t>
  </si>
  <si>
    <t xml:space="preserve">PATELS, THIRUVAKOLI, PO. BEKAL, KASARAGOD DIST, KERALA</t>
  </si>
  <si>
    <t xml:space="preserve">AKBAR.V.P</t>
  </si>
  <si>
    <t xml:space="preserve">0507362532</t>
  </si>
  <si>
    <t xml:space="preserve">4942481711</t>
  </si>
  <si>
    <t xml:space="preserve">vp.akbarvp@gmail.com</t>
  </si>
  <si>
    <t xml:space="preserve">CHERUMUKK.PO., VIA TIRURANGADI, MALAPPURAM, KERALA</t>
  </si>
  <si>
    <t xml:space="preserve">OSBEN KURIAN</t>
  </si>
  <si>
    <t xml:space="preserve">0507576833</t>
  </si>
  <si>
    <t xml:space="preserve">osben.kurian@loreal.com</t>
  </si>
  <si>
    <t xml:space="preserve">AINIKKAL BHAVAN, EAST FORT, THRISSUR, KERALA -680005, 9961082789</t>
  </si>
  <si>
    <t xml:space="preserve">IBRAHIM AMBIKANA</t>
  </si>
  <si>
    <t xml:space="preserve">0503511708</t>
  </si>
  <si>
    <t xml:space="preserve">ibrahim.ambikanam@orica.com</t>
  </si>
  <si>
    <t xml:space="preserve">NEAR AMBIKANA,PO.PAIVALIKE, KASARAGOD DIST, KERALA, 00914998240687</t>
  </si>
  <si>
    <t xml:space="preserve">LAVEEN.T.S</t>
  </si>
  <si>
    <t xml:space="preserve">0505471866</t>
  </si>
  <si>
    <t xml:space="preserve">9446722338</t>
  </si>
  <si>
    <t xml:space="preserve">laveents@gmail.com</t>
  </si>
  <si>
    <t xml:space="preserve">THATHAPUZHA HOUSE, PERINGOTTUKARA.PO, THRISSUR, KERALA</t>
  </si>
  <si>
    <t xml:space="preserve">ROY MATHEW</t>
  </si>
  <si>
    <t xml:space="preserve">0559080966</t>
  </si>
  <si>
    <t xml:space="preserve">roykallath@gmail.com</t>
  </si>
  <si>
    <t xml:space="preserve">KALLATHU HOUSE, KOTTAMANPARA.PO., SEETHATHODU, PATHANAMTHITTA, KERALA</t>
  </si>
  <si>
    <t xml:space="preserve">RONI THOMAS</t>
  </si>
  <si>
    <t xml:space="preserve">0504562798</t>
  </si>
  <si>
    <t xml:space="preserve">4692740380</t>
  </si>
  <si>
    <t xml:space="preserve">ronanu@gmail.com</t>
  </si>
  <si>
    <t xml:space="preserve">KATTILATHE HOUSE, CHUMATHRA.PO, TIRUVALLA, KERALA</t>
  </si>
  <si>
    <t xml:space="preserve">MADHUSUDHANAN.P</t>
  </si>
  <si>
    <t xml:space="preserve">0556537374</t>
  </si>
  <si>
    <t xml:space="preserve">4832745444</t>
  </si>
  <si>
    <t xml:space="preserve">18madhu18@gmail.com</t>
  </si>
  <si>
    <t xml:space="preserve">MANJUSHA, KAIPPALLIKUNDU, KOTTAKKAL, MALAPPURAM DT, KERALA</t>
  </si>
  <si>
    <t xml:space="preserve">MATHEW.M.GEORGE</t>
  </si>
  <si>
    <t xml:space="preserve">0506255631</t>
  </si>
  <si>
    <t xml:space="preserve">9846379159</t>
  </si>
  <si>
    <t xml:space="preserve">mathew@alajwadllc.com</t>
  </si>
  <si>
    <t xml:space="preserve">MONATTU HOUSE, VAZHAR MANGALAM.PO., KALLISSERY, CHENGANNUR, KERALA</t>
  </si>
  <si>
    <t xml:space="preserve">GANALAL MOHANAN PILLAI</t>
  </si>
  <si>
    <t xml:space="preserve">0503698789</t>
  </si>
  <si>
    <t xml:space="preserve">ganalalm@gmail.com</t>
  </si>
  <si>
    <t xml:space="preserve">CHIRAYATHU, ADICHANALLOOR, KUNDUMON, VELICHIKKALA.PO ,KOLLAM, KERALA</t>
  </si>
  <si>
    <t xml:space="preserve">AFSAR MOHAMMED</t>
  </si>
  <si>
    <t xml:space="preserve">0503878994</t>
  </si>
  <si>
    <t xml:space="preserve">4943200601</t>
  </si>
  <si>
    <t xml:space="preserve">afsaronline@gmail.com</t>
  </si>
  <si>
    <t xml:space="preserve">THODINCEERIYIL (H) PO. VENGARA, MALAPPURAM DT, KERALA -676304</t>
  </si>
  <si>
    <t xml:space="preserve">DR.SHAJU PHILIP</t>
  </si>
  <si>
    <t xml:space="preserve">0507579139</t>
  </si>
  <si>
    <t xml:space="preserve">4692662498</t>
  </si>
  <si>
    <t xml:space="preserve">drshajup@hotmail.com</t>
  </si>
  <si>
    <t xml:space="preserve">ORIYAKUNNATH HOUSE, PULLAD, PO.TIRUVALLA, PATHANAMTHITTA, KERALA</t>
  </si>
  <si>
    <t xml:space="preserve">HARIS PAYYOLY</t>
  </si>
  <si>
    <t xml:space="preserve">0504744807</t>
  </si>
  <si>
    <t xml:space="preserve">harispayyoly@gmail.com</t>
  </si>
  <si>
    <t xml:space="preserve">MRA-101-B, JASMINE VILLA,, MANIKANDESHWARAM-P.O.-695013, KERALA -1, 0091 9847259213</t>
  </si>
  <si>
    <t xml:space="preserve">GEORGEE JOHN</t>
  </si>
  <si>
    <t xml:space="preserve">0506260119</t>
  </si>
  <si>
    <t xml:space="preserve">4792346893</t>
  </si>
  <si>
    <t xml:space="preserve">shibukandathil@gmail.com</t>
  </si>
  <si>
    <t xml:space="preserve">SHAJI VILLA, OLAKETTIAMPALAM.PO., MAVELIKKARA, KERALA</t>
  </si>
  <si>
    <t xml:space="preserve">THAMBAN VAYALAPPURAM</t>
  </si>
  <si>
    <t xml:space="preserve">0505491705</t>
  </si>
  <si>
    <t xml:space="preserve">9048308434</t>
  </si>
  <si>
    <t xml:space="preserve">thamban.vayalappuram@gmail.com</t>
  </si>
  <si>
    <t xml:space="preserve">PAIRADUKKAM HOUSE, BALLA,, KASARAGOD DT, KERALA</t>
  </si>
  <si>
    <t xml:space="preserve">HASHIM.M.THAMPI</t>
  </si>
  <si>
    <t xml:space="preserve">0505478729</t>
  </si>
  <si>
    <t xml:space="preserve">9895890179</t>
  </si>
  <si>
    <t xml:space="preserve">hmthampi@gmail.com</t>
  </si>
  <si>
    <t xml:space="preserve">HAS VILLA, MANICKAL, VENJARAMOODU, TRIVANDRUM, KERALA</t>
  </si>
  <si>
    <t xml:space="preserve">SHAHAL HASSAN.A.</t>
  </si>
  <si>
    <t xml:space="preserve">0507674156</t>
  </si>
  <si>
    <t xml:space="preserve">47427824</t>
  </si>
  <si>
    <t xml:space="preserve">shahalhassan@yahoo.com</t>
  </si>
  <si>
    <t xml:space="preserve">THARAYIL VEEDU, KILIKOLLOOR,, KOLLAM, KERALA</t>
  </si>
  <si>
    <t xml:space="preserve">JOY JOHN THOTTUNGAL</t>
  </si>
  <si>
    <t xml:space="preserve">0504548337</t>
  </si>
  <si>
    <t xml:space="preserve">48724429778547732234</t>
  </si>
  <si>
    <t xml:space="preserve">joy_thottungal@yahoo.co.in</t>
  </si>
  <si>
    <t xml:space="preserve">THOTTUNGAL HOUSE, HILL DRIVE, NELLIKKUNNU, THRISSUR, KERALA</t>
  </si>
  <si>
    <t xml:space="preserve">K.K.THALIB</t>
  </si>
  <si>
    <t xml:space="preserve">0566646353</t>
  </si>
  <si>
    <t xml:space="preserve">4895280890</t>
  </si>
  <si>
    <t xml:space="preserve">thalibk@gmail.com</t>
  </si>
  <si>
    <t xml:space="preserve">KULANGARAVALAPPIL HOUSE, AKATHIYOOR.PO, KUNNAMKULAM, TRICHUR, KERALA</t>
  </si>
  <si>
    <t xml:space="preserve">SADATH ABBAS</t>
  </si>
  <si>
    <t xml:space="preserve">0504772315</t>
  </si>
  <si>
    <t xml:space="preserve">9946994040</t>
  </si>
  <si>
    <t xml:space="preserve">MUHAMMED VILLA, POST BEKAL FORT, PALLIKERE, KASARAGOD, KERALA</t>
  </si>
  <si>
    <t xml:space="preserve">JAISON MANNIL JACOB</t>
  </si>
  <si>
    <t xml:space="preserve">0503064649</t>
  </si>
  <si>
    <t xml:space="preserve">jaisonjags7@yahoo.com</t>
  </si>
  <si>
    <t xml:space="preserve">MUNDAPLACKAMMANIL HOUSE, KUNNAMTHANAM, TIRUVALLA, PATHANAMTHITTA, KERALA, 0091 0469 2688583</t>
  </si>
  <si>
    <t xml:space="preserve">MADHUSOODANAN KOOKAL</t>
  </si>
  <si>
    <t xml:space="preserve">0506340451</t>
  </si>
  <si>
    <t xml:space="preserve">4672275919</t>
  </si>
  <si>
    <t xml:space="preserve">madhu.pakkam@gmail.com</t>
  </si>
  <si>
    <t xml:space="preserve">CHITHRANJALI, POST PAKKAM, PALLIKKERE, KASARAGOD, KERALA</t>
  </si>
  <si>
    <t xml:space="preserve">BUHARI BIN ABDUL QADIR</t>
  </si>
  <si>
    <t xml:space="preserve">0506075053</t>
  </si>
  <si>
    <t xml:space="preserve">4902321712</t>
  </si>
  <si>
    <t xml:space="preserve">buharibaq@gmail.com</t>
  </si>
  <si>
    <t xml:space="preserve">KHADEEJA MAHAL, O.V.ROAD, TELLICHERRY, KERALA -670101</t>
  </si>
  <si>
    <t xml:space="preserve">TICKSON JOSE</t>
  </si>
  <si>
    <t xml:space="preserve">0505776324</t>
  </si>
  <si>
    <t xml:space="preserve">9746723638</t>
  </si>
  <si>
    <t xml:space="preserve">ticksonkj@gmail.com</t>
  </si>
  <si>
    <t xml:space="preserve">KOOTHUR HOUSE, AKAMPADAM,, CHOONDAL, THRISSUR, KERALA</t>
  </si>
  <si>
    <t xml:space="preserve">MUHAMED FAZAL.M</t>
  </si>
  <si>
    <t xml:space="preserve">0505191405</t>
  </si>
  <si>
    <t xml:space="preserve">4902341323</t>
  </si>
  <si>
    <t xml:space="preserve">fazal.meethal@gmail.com</t>
  </si>
  <si>
    <t xml:space="preserve">HAMD, VETTUMMAL,POST KOTTAYAM POIL,, PATHAYAKUNNIL, KANNUR-670691.</t>
  </si>
  <si>
    <t xml:space="preserve">T.L.JOHN</t>
  </si>
  <si>
    <t xml:space="preserve">0506768091</t>
  </si>
  <si>
    <t xml:space="preserve">4802881825</t>
  </si>
  <si>
    <t xml:space="preserve">ashajohn3r@gmail.com</t>
  </si>
  <si>
    <t xml:space="preserve">THAZHAKKADAN HOUSE,ANANDAPURA.PO., TRICHUR DT, KERALA</t>
  </si>
  <si>
    <t xml:space="preserve">JOSE JOSEPH</t>
  </si>
  <si>
    <t xml:space="preserve">0506355482</t>
  </si>
  <si>
    <t xml:space="preserve">4772710064</t>
  </si>
  <si>
    <t xml:space="preserve">josej@eim.ae</t>
  </si>
  <si>
    <t xml:space="preserve">ELEMBHAGATHU HOUSE, EARA.PO, ALLEPPEY DT, KERALA</t>
  </si>
  <si>
    <t xml:space="preserve">C.O.JOHNSON</t>
  </si>
  <si>
    <t xml:space="preserve">0554400047</t>
  </si>
  <si>
    <t xml:space="preserve">4752353151</t>
  </si>
  <si>
    <t xml:space="preserve">johnson@johnsonme.com</t>
  </si>
  <si>
    <t xml:space="preserve">CHERUVALLATH PENIEL,MANCHELLOOR,, PATHANAPURAM.PO., KOLLAM, KERALA</t>
  </si>
  <si>
    <t xml:space="preserve">TOMCY GEORGE PULIKUNNEL</t>
  </si>
  <si>
    <t xml:space="preserve">0507878156</t>
  </si>
  <si>
    <t xml:space="preserve">tomcyg@hotmail.com</t>
  </si>
  <si>
    <t xml:space="preserve">PULIKUNNEL, THIDANAD.PO, PALA, KOTTAYAM, KERALA, 04828236442</t>
  </si>
  <si>
    <t xml:space="preserve">SUNNY THOMAS</t>
  </si>
  <si>
    <t xml:space="preserve">0503850444</t>
  </si>
  <si>
    <t xml:space="preserve">ajoptgroup@gmail.com</t>
  </si>
  <si>
    <t xml:space="preserve">CHARUVILA MELETHIL PUTHENVEEDU,, ANDOOR.PO.,VIA VALAKAM, KOLLAM, KERALA., 0091 7994012499</t>
  </si>
  <si>
    <t xml:space="preserve">BEERAN ABDUL REHIMAN</t>
  </si>
  <si>
    <t xml:space="preserve">0506796205</t>
  </si>
  <si>
    <t xml:space="preserve">499261558</t>
  </si>
  <si>
    <t xml:space="preserve">atlaltyping1@yahoo.com</t>
  </si>
  <si>
    <t xml:space="preserve">CHOWKI KUNNIL, K.K.PURAM HOUSE,, KODLU.PO., KASARAGOD DT, KERALA</t>
  </si>
  <si>
    <t xml:space="preserve">JOVEL JOHN</t>
  </si>
  <si>
    <t xml:space="preserve">0561269516</t>
  </si>
  <si>
    <t xml:space="preserve">4802720645</t>
  </si>
  <si>
    <t xml:space="preserve">joveljohn@yahoo.com</t>
  </si>
  <si>
    <t xml:space="preserve">MADAPPILLY HOUSE, KODAKARA,, TRICHUR, KERALA</t>
  </si>
  <si>
    <t xml:space="preserve">V.GOPALAN PREMAN</t>
  </si>
  <si>
    <t xml:space="preserve">0506280116</t>
  </si>
  <si>
    <t xml:space="preserve">9496006611</t>
  </si>
  <si>
    <t xml:space="preserve">pepcoprem@gmail.com</t>
  </si>
  <si>
    <t xml:space="preserve">VELLATTU PARAMBIL HOUSE, VENGINESSERY.PO., TRICHUR DT, KERALA</t>
  </si>
  <si>
    <t xml:space="preserve">RAJESH NITTOOR</t>
  </si>
  <si>
    <t xml:space="preserve">0504951089</t>
  </si>
  <si>
    <t xml:space="preserve">4972787052</t>
  </si>
  <si>
    <t xml:space="preserve">nittoorrajesh@yahoo.co.in</t>
  </si>
  <si>
    <t xml:space="preserve">NITTOOR HOUSE, VELAPURAM, PAPPINISSERI, KANNUR, KERALA</t>
  </si>
  <si>
    <t xml:space="preserve">P.C.GEEVARGHESE</t>
  </si>
  <si>
    <t xml:space="preserve">0506969427</t>
  </si>
  <si>
    <t xml:space="preserve">4742523444</t>
  </si>
  <si>
    <t xml:space="preserve">sunzy2group@gmail.com</t>
  </si>
  <si>
    <t xml:space="preserve">NEW BUNGLOW, KUNDARA, QUILON, KERALA</t>
  </si>
  <si>
    <t xml:space="preserve">JOSE BABY</t>
  </si>
  <si>
    <t xml:space="preserve">0556127345</t>
  </si>
  <si>
    <t xml:space="preserve">4734225664</t>
  </si>
  <si>
    <t xml:space="preserve">joseby10@gmail.com</t>
  </si>
  <si>
    <t xml:space="preserve">VAZHUVELIL HOUSE, KARUVATTA, ADOOR, PATHANAMTHITTA, KERALA</t>
  </si>
  <si>
    <t xml:space="preserve">AFZAL BASHEER</t>
  </si>
  <si>
    <t xml:space="preserve">0508905459</t>
  </si>
  <si>
    <t xml:space="preserve">4712460960</t>
  </si>
  <si>
    <t xml:space="preserve">afzalbasheer@gmail.com</t>
  </si>
  <si>
    <t xml:space="preserve">T.C.43/395 , KAMALESWARAM, TRIVANDRUM, KERALA</t>
  </si>
  <si>
    <t xml:space="preserve">M.G.PUSHPAKARAN</t>
  </si>
  <si>
    <t xml:space="preserve">0506512830</t>
  </si>
  <si>
    <t xml:space="preserve">9895558646</t>
  </si>
  <si>
    <t xml:space="preserve">phonix@emirates.net.ae</t>
  </si>
  <si>
    <t xml:space="preserve">SHIVASAILAM, KOTTAYAM-686003, KERALA</t>
  </si>
  <si>
    <t xml:space="preserve">SUDHEER.T.K</t>
  </si>
  <si>
    <t xml:space="preserve">0503799088</t>
  </si>
  <si>
    <t xml:space="preserve">sudheertk@gmail.com</t>
  </si>
  <si>
    <t xml:space="preserve">KOPPARA HOUSE, MANATHALA.PO, CHAVAKKAD, THRISSUR DIST, KERALA</t>
  </si>
  <si>
    <t xml:space="preserve">ARAVINDAKSHA KAMMATTA</t>
  </si>
  <si>
    <t xml:space="preserve">0522777436</t>
  </si>
  <si>
    <t xml:space="preserve">9746897547</t>
  </si>
  <si>
    <t xml:space="preserve">arvindmazaya@gmail.com</t>
  </si>
  <si>
    <t xml:space="preserve">PARAMBIL HOUSE, THEKKIL PO, CHENGALA VIA KASARAGOD, KERALA</t>
  </si>
  <si>
    <t xml:space="preserve">P.P.PRABHAKARAN</t>
  </si>
  <si>
    <t xml:space="preserve">0505767930</t>
  </si>
  <si>
    <t xml:space="preserve">4985230332</t>
  </si>
  <si>
    <t xml:space="preserve">ppp.aljeel@gmail.com</t>
  </si>
  <si>
    <t xml:space="preserve">PADINHARE PURAYIL, ETTIKKULAM PO.,, RAMANTHALI VIA KANNUR DT, KERALA</t>
  </si>
  <si>
    <t xml:space="preserve">JOJI CHANDY ALEXANDER</t>
  </si>
  <si>
    <t xml:space="preserve">0555100768</t>
  </si>
  <si>
    <t xml:space="preserve">9847056356</t>
  </si>
  <si>
    <t xml:space="preserve">jojialexander857@yahoo.com</t>
  </si>
  <si>
    <t xml:space="preserve">PADINJARETHIL, AYROOR NORTH, PATHANAMTHITTA, KERALA</t>
  </si>
  <si>
    <t xml:space="preserve">K.VINOD KUMAR</t>
  </si>
  <si>
    <t xml:space="preserve">0505778179</t>
  </si>
  <si>
    <t xml:space="preserve">4672246467</t>
  </si>
  <si>
    <t xml:space="preserve">vinodarbaah@gmail.com</t>
  </si>
  <si>
    <t xml:space="preserve">DEVAM HOUSE, MOONNAAM MILE, PULLOOR-PO., ANANDASRAMAM VIA, KASARAGOD, KERALA</t>
  </si>
  <si>
    <t xml:space="preserve">BIBOOSHRAJ .N.C.</t>
  </si>
  <si>
    <t xml:space="preserve">0505270581</t>
  </si>
  <si>
    <t xml:space="preserve">4712533027</t>
  </si>
  <si>
    <t xml:space="preserve">bibooshraj@yahoo.com</t>
  </si>
  <si>
    <t xml:space="preserve">KULATHINKARA VEEDU, VENLATHUKONAM, POWDIKONAM.PO.TRIVANDRUM, KERALA</t>
  </si>
  <si>
    <t xml:space="preserve">ABDUL SALAM.M.K.P</t>
  </si>
  <si>
    <t xml:space="preserve">0506778033</t>
  </si>
  <si>
    <t xml:space="preserve">9895416888</t>
  </si>
  <si>
    <t xml:space="preserve">salamadv@gmail.com</t>
  </si>
  <si>
    <t xml:space="preserve">M.K.P.HOUSE,MANAKADAVU, AROLI POST, KANNUR DIST, KERALA</t>
  </si>
  <si>
    <t xml:space="preserve">VARUGHESE RAJAN.K.</t>
  </si>
  <si>
    <t xml:space="preserve">0506968589</t>
  </si>
  <si>
    <t xml:space="preserve">46892341365</t>
  </si>
  <si>
    <t xml:space="preserve">ricy26@yahoo.com</t>
  </si>
  <si>
    <t xml:space="preserve">KODUMANNETHU HOUSE, OOTTUPARA.PO, KONNY, PATHANAMTHITTA, KERALA</t>
  </si>
  <si>
    <t xml:space="preserve">NOWSHAD BIN YUSUF</t>
  </si>
  <si>
    <t xml:space="preserve">0553228080</t>
  </si>
  <si>
    <t xml:space="preserve">49710503</t>
  </si>
  <si>
    <t xml:space="preserve">C.V.HOUSE, KOYAPARA, KUNHIMANGALAM , KANNUR DT, KERALA</t>
  </si>
  <si>
    <t xml:space="preserve">BIBISH.K.SURENDRAN</t>
  </si>
  <si>
    <t xml:space="preserve">0505014616</t>
  </si>
  <si>
    <t xml:space="preserve">vibeeshks@gmail.com</t>
  </si>
  <si>
    <t xml:space="preserve">KUNNATH HOUSE, PARLIKKAD.PO, THRISSUR, KERALA, 04884237819</t>
  </si>
  <si>
    <t xml:space="preserve">A.S.BIJU</t>
  </si>
  <si>
    <t xml:space="preserve">0506374097</t>
  </si>
  <si>
    <t xml:space="preserve">4802723227</t>
  </si>
  <si>
    <t xml:space="preserve">asbiju@yahoo.com</t>
  </si>
  <si>
    <t xml:space="preserve">ATTUVALAPPIL, NELLAYI, TRICHUR, KERALA 680305</t>
  </si>
  <si>
    <t xml:space="preserve">THULASEEDAS.S.P</t>
  </si>
  <si>
    <t xml:space="preserve">0507347780</t>
  </si>
  <si>
    <t xml:space="preserve">thulseedas@yahoo.com</t>
  </si>
  <si>
    <t xml:space="preserve">VADAKKEVEETTIL THEKKETHIL HOUSE,KUNNATHALUMMODU, KAYAMKULAM.PO. ALLEPPEY DT, KERALA</t>
  </si>
  <si>
    <t xml:space="preserve">C.M.ABDUL KAREEM</t>
  </si>
  <si>
    <t xml:space="preserve">0505462654</t>
  </si>
  <si>
    <t xml:space="preserve">4872507693</t>
  </si>
  <si>
    <t xml:space="preserve">asnareem@gmail.com</t>
  </si>
  <si>
    <t xml:space="preserve">CHAKKARA HOUSE,MANATHAL BEACH,PO.CHAVAKKAD, TRICHUR DT, KERALA</t>
  </si>
  <si>
    <t xml:space="preserve">REJI CHACKO</t>
  </si>
  <si>
    <t xml:space="preserve">0506356817</t>
  </si>
  <si>
    <t xml:space="preserve">8111908523</t>
  </si>
  <si>
    <t xml:space="preserve">chackoppan@hotmail.com</t>
  </si>
  <si>
    <t xml:space="preserve">CHETTISSERIL HOUSE, GANDHINAGAR.PO, KOTTAYAM, KERALA</t>
  </si>
  <si>
    <t xml:space="preserve">MELATH GOPI</t>
  </si>
  <si>
    <t xml:space="preserve">0505979314</t>
  </si>
  <si>
    <t xml:space="preserve">4994236025</t>
  </si>
  <si>
    <t xml:space="preserve">gopimelath@gmail.com</t>
  </si>
  <si>
    <t xml:space="preserve">ARAMANGALAM HOUSE, PO.BARE VIA UDMA, KASARAGOD, KERALA</t>
  </si>
  <si>
    <t xml:space="preserve">JINO SAM MATHEW</t>
  </si>
  <si>
    <t xml:space="preserve">0508182159</t>
  </si>
  <si>
    <t xml:space="preserve">4712361520</t>
  </si>
  <si>
    <t xml:space="preserve">jinosam@yahoo.com</t>
  </si>
  <si>
    <t xml:space="preserve">PALATHUMTHALAKKAL, VATTIYURKAVU, TRIVANDRUM, KERALA</t>
  </si>
  <si>
    <t xml:space="preserve">PAVITHRAN NITTOOR</t>
  </si>
  <si>
    <t xml:space="preserve">0553589974</t>
  </si>
  <si>
    <t xml:space="preserve">4672243544</t>
  </si>
  <si>
    <t xml:space="preserve">pnittoor@gmail.com</t>
  </si>
  <si>
    <t xml:space="preserve">KODAVALAM HOUSE,PULLUR.PO,ANANDHASRAMAM VIA, KASARAGOD, KERALA</t>
  </si>
  <si>
    <t xml:space="preserve">0504570085</t>
  </si>
  <si>
    <t xml:space="preserve">8086608310</t>
  </si>
  <si>
    <t xml:space="preserve">muneer@exdubai.com</t>
  </si>
  <si>
    <t xml:space="preserve">DARUL AMAN, PUNNAKULANGARA, KAANOOL.PO., BAKKALAM, KANNOOR, KERALA</t>
  </si>
  <si>
    <t xml:space="preserve">NAZIR.T.V.</t>
  </si>
  <si>
    <t xml:space="preserve">0506799825</t>
  </si>
  <si>
    <t xml:space="preserve">nazir.tv5@gmail.com</t>
  </si>
  <si>
    <t xml:space="preserve">THEKKETHUVALAPPIL, OTHIALOOR.PO., VIA KOKKUR, MALAPPURAM, KERALA, 0091 7559887735</t>
  </si>
  <si>
    <t xml:space="preserve">AHMED SHAFI.K.S</t>
  </si>
  <si>
    <t xml:space="preserve">0567867831</t>
  </si>
  <si>
    <t xml:space="preserve">ahmed.shafi@nielsem.com</t>
  </si>
  <si>
    <t xml:space="preserve">2/346,KHAZI MANZIL, KOLAVAYAL POST, AJANUR ,KASARAGOD DT, KERALA, 00914672203564</t>
  </si>
  <si>
    <t xml:space="preserve">ABDUL VAHID.P.A</t>
  </si>
  <si>
    <t xml:space="preserve">0503043540</t>
  </si>
  <si>
    <t xml:space="preserve">8891770299</t>
  </si>
  <si>
    <t xml:space="preserve">wahidnattika@gmail.com</t>
  </si>
  <si>
    <t xml:space="preserve">PUTHIYAVEETTIL HOUSE, PO.NATTIKA BEACH, TRICHUR DT, KERALA</t>
  </si>
  <si>
    <t xml:space="preserve">MOOSA .K.V.</t>
  </si>
  <si>
    <t xml:space="preserve">0559193666</t>
  </si>
  <si>
    <t xml:space="preserve">9946468666</t>
  </si>
  <si>
    <t xml:space="preserve">moosakvalapil@gmail.com</t>
  </si>
  <si>
    <t xml:space="preserve">KURUTHOLAVALAPPIL.PO, PERINGODE, PALAKKAD DT, KERALA</t>
  </si>
  <si>
    <t xml:space="preserve">ABDUL RAHIMAN ERAVULLIYIL</t>
  </si>
  <si>
    <t xml:space="preserve">0507321773</t>
  </si>
  <si>
    <t xml:space="preserve">4942673311</t>
  </si>
  <si>
    <t xml:space="preserve">altajmc@gmail.com</t>
  </si>
  <si>
    <t xml:space="preserve">ERAVULLIYIL HOUSE, PERUMPADAPPA.PO, MALAPPURAM DT, KERALA</t>
  </si>
  <si>
    <t xml:space="preserve">SIVAKUMAR MULLACHERY</t>
  </si>
  <si>
    <t xml:space="preserve">0504548945</t>
  </si>
  <si>
    <t xml:space="preserve">8281870000</t>
  </si>
  <si>
    <t xml:space="preserve">skumar.saritha@gmail.com</t>
  </si>
  <si>
    <t xml:space="preserve">H.NO. 11-182, NEAR ACHERY TEMPLE, KALANAD.PO.,UDMA. KASARAGOD, KERALA</t>
  </si>
  <si>
    <t xml:space="preserve">K.M.ABDUL MAJEED</t>
  </si>
  <si>
    <t xml:space="preserve">0505456450</t>
  </si>
  <si>
    <t xml:space="preserve">4872540844</t>
  </si>
  <si>
    <t xml:space="preserve">abdul.majeed3m@gmail.com</t>
  </si>
  <si>
    <t xml:space="preserve">CHERUVATHATTAYIL HOUSE, POST PUNNAYURKULAM, THRISSUR, KERALA</t>
  </si>
  <si>
    <t xml:space="preserve">DILEEP KUMAR.C.L</t>
  </si>
  <si>
    <t xml:space="preserve">0501667097</t>
  </si>
  <si>
    <t xml:space="preserve">984906896</t>
  </si>
  <si>
    <t xml:space="preserve">todileepkumarcl@gmail.com</t>
  </si>
  <si>
    <t xml:space="preserve">777 Br MEZANINE FLOOR, KOZHINJAVILA PUTHEN VEEDU.EDAVOTTOM, VELLIMON.PO.KUNDARA, KOLLAM, KERALA</t>
  </si>
  <si>
    <t xml:space="preserve">P.K.REJI</t>
  </si>
  <si>
    <t xml:space="preserve">0555777425</t>
  </si>
  <si>
    <t xml:space="preserve">rejipk@gmail.com</t>
  </si>
  <si>
    <t xml:space="preserve">REJI BHAVAN, ARUKALICKAL, ADOOR, PATHANAMTHITTA, KERALA, 04734 217242</t>
  </si>
  <si>
    <t xml:space="preserve">P.K.CHERIAN</t>
  </si>
  <si>
    <t xml:space="preserve">0506331723</t>
  </si>
  <si>
    <t xml:space="preserve">pk.cherian@yahoo.com</t>
  </si>
  <si>
    <t xml:space="preserve">PULIKKOTTIL HOUSE,THAIKAD P.O. VIA, GURUVAYOOR,TRICHUR DT. KERALA, 04872555966</t>
  </si>
  <si>
    <t xml:space="preserve">JOHNSON AUGUSTUS</t>
  </si>
  <si>
    <t xml:space="preserve">0504452759</t>
  </si>
  <si>
    <t xml:space="preserve">4742771353</t>
  </si>
  <si>
    <t xml:space="preserve">johnson.augustus@yahoo.com</t>
  </si>
  <si>
    <t xml:space="preserve">ROZARIOUS,SAKTHI KULANGARA, KOLLAM,KERALA</t>
  </si>
  <si>
    <t xml:space="preserve">ABDUL RASHEED KUNNUMMAL</t>
  </si>
  <si>
    <t xml:space="preserve">0551389700</t>
  </si>
  <si>
    <t xml:space="preserve">9744183356</t>
  </si>
  <si>
    <t xml:space="preserve">kunnummalrasheed@gmail.com</t>
  </si>
  <si>
    <t xml:space="preserve">BAIT AL FATHAH,POST PATHIRIYAD-670741, VIA PINARAYI KANNUR KERALA</t>
  </si>
  <si>
    <t xml:space="preserve">THUNDIYIL GEORGEKUTTY JOHN</t>
  </si>
  <si>
    <t xml:space="preserve">0508907092</t>
  </si>
  <si>
    <t xml:space="preserve">9747373549</t>
  </si>
  <si>
    <t xml:space="preserve">george.john996@gmail.com</t>
  </si>
  <si>
    <t xml:space="preserve">PARAKKADAVIL HOUSE,AMARA P.O.,CHANGANACHERRY ,, KOTTAYAM DT.,KERALA</t>
  </si>
  <si>
    <t xml:space="preserve">K.NARAYANAN NAIR</t>
  </si>
  <si>
    <t xml:space="preserve">0565437325</t>
  </si>
  <si>
    <t xml:space="preserve">4672273407</t>
  </si>
  <si>
    <t xml:space="preserve">PULIKALA HOUSE,POST PAKKAM,VIA PALLIKKERE,, KASARAGOD DT.KERALA</t>
  </si>
  <si>
    <t xml:space="preserve">SHAJUMON KOTTEPPAT</t>
  </si>
  <si>
    <t xml:space="preserve">0507295512</t>
  </si>
  <si>
    <t xml:space="preserve">4942670676</t>
  </si>
  <si>
    <t xml:space="preserve">shajukotteppat@gmail.com</t>
  </si>
  <si>
    <t xml:space="preserve">KOTTEPPAT HOUSE,P.O.AYIROOR,PERUMBADAPPU, ,MALAPPURAM,KERALA-679580</t>
  </si>
  <si>
    <t xml:space="preserve">AJAYAKUMAR S.PILLAI</t>
  </si>
  <si>
    <t xml:space="preserve">0507740338</t>
  </si>
  <si>
    <t xml:space="preserve">4692643323</t>
  </si>
  <si>
    <t xml:space="preserve">ajayspillai@yahoo.com</t>
  </si>
  <si>
    <t xml:space="preserve">JAYA BHAVAN, NEDUMPURAM,PODIYADI, PULIKEEZHU, PATHANAMTHITTA , KERALA -689110.</t>
  </si>
  <si>
    <t xml:space="preserve">M.A.NAVAS (THEKKADA NAVAS)</t>
  </si>
  <si>
    <t xml:space="preserve">0504996780</t>
  </si>
  <si>
    <t xml:space="preserve">4722873320</t>
  </si>
  <si>
    <t xml:space="preserve">manavas65@gmail.com</t>
  </si>
  <si>
    <t xml:space="preserve">POOVANATHUM MOODE BUNGLOW THEKKADA, VEMBAYAM PO, TRIVANDRUM DT., KERALA</t>
  </si>
  <si>
    <t xml:space="preserve">SHAJAN K.MATHEW</t>
  </si>
  <si>
    <t xml:space="preserve">0507840276</t>
  </si>
  <si>
    <t xml:space="preserve">shajansheena@gmail.com</t>
  </si>
  <si>
    <t xml:space="preserve">KUNDUKULAM HOUSE,ANJOOR POST,THRISSUR DT,KERALA, 0091 488 5220144</t>
  </si>
  <si>
    <t xml:space="preserve">ANIL KUMAR</t>
  </si>
  <si>
    <t xml:space="preserve">0506959897</t>
  </si>
  <si>
    <t xml:space="preserve">anilchithara@yahoo.com</t>
  </si>
  <si>
    <t xml:space="preserve">PANCHAMI CHITHARA PO KADAKKAL KOLLAM DT.KERALA.INDIA, 00914742427112</t>
  </si>
  <si>
    <t xml:space="preserve">THANVEER EBRAHIM</t>
  </si>
  <si>
    <t xml:space="preserve">0504951661</t>
  </si>
  <si>
    <t xml:space="preserve">4902322827</t>
  </si>
  <si>
    <t xml:space="preserve">thenvi@eim.ae</t>
  </si>
  <si>
    <t xml:space="preserve">NAZEEB 30 391,CHALIL P.O,SAIDAR MOSQUE, ,KANNUR,KERALA INDIA</t>
  </si>
  <si>
    <t xml:space="preserve">GEORGE KOCHU CHERIAN</t>
  </si>
  <si>
    <t xml:space="preserve">0554453420</t>
  </si>
  <si>
    <t xml:space="preserve">4812572972</t>
  </si>
  <si>
    <t xml:space="preserve">georgekochucherian@yahoo.com</t>
  </si>
  <si>
    <t xml:space="preserve">PUTHEN PURACKAL HOUSE PARIYARAM PO KOTTAYAM DT.</t>
  </si>
  <si>
    <t xml:space="preserve">MOHAN KELILATHU CHERIAN</t>
  </si>
  <si>
    <t xml:space="preserve">0553298983</t>
  </si>
  <si>
    <t xml:space="preserve">506353613</t>
  </si>
  <si>
    <t xml:space="preserve">mohan@npigulf.com</t>
  </si>
  <si>
    <t xml:space="preserve">KELILATHU HOUSE,T.C 3/1570,PATTOM TVM-4, KERALA,INDIA</t>
  </si>
  <si>
    <t xml:space="preserve">KAREEM T.ABDULLA</t>
  </si>
  <si>
    <t xml:space="preserve">0506461135</t>
  </si>
  <si>
    <t xml:space="preserve">kareemabdulla7@yahoo.com</t>
  </si>
  <si>
    <t xml:space="preserve">THALIYA PADATH HOUSE,P.O. KATTOOR,, IRINJALAKUDA,TRICHUR,KERALA</t>
  </si>
  <si>
    <t xml:space="preserve">RAPHAEL P.THOMAS</t>
  </si>
  <si>
    <t xml:space="preserve">0506465247</t>
  </si>
  <si>
    <t xml:space="preserve">9946046660</t>
  </si>
  <si>
    <t xml:space="preserve">rapheal@albarary.com</t>
  </si>
  <si>
    <t xml:space="preserve">POZHOLIPARAMBIL HOUSE,P.O. NADAVARAMBA,, TRICHUR DIST.,KERALA</t>
  </si>
  <si>
    <t xml:space="preserve">KADARNATH NARAYAN SUTRAVE</t>
  </si>
  <si>
    <t xml:space="preserve">0565522755</t>
  </si>
  <si>
    <t xml:space="preserve">kedar-ssdn@yahoo.com</t>
  </si>
  <si>
    <t xml:space="preserve">SANKET BLDG, 4TH FLOOR, R/404, VAKOLA POLICE STATION, MUMBAI -55</t>
  </si>
  <si>
    <t xml:space="preserve">NASAR NELLOLYKANDY</t>
  </si>
  <si>
    <t xml:space="preserve">0506265931</t>
  </si>
  <si>
    <t xml:space="preserve">nasarhotburger@gmail.com</t>
  </si>
  <si>
    <t xml:space="preserve">NAS VILLA,AROOR.PO, VIA KAKKATTIL, CALICUT, KERALA, 00919496757575/4962 446162</t>
  </si>
  <si>
    <t xml:space="preserve">SOMACHANDRAN .P</t>
  </si>
  <si>
    <t xml:space="preserve">0506791457</t>
  </si>
  <si>
    <t xml:space="preserve">4672282479</t>
  </si>
  <si>
    <t xml:space="preserve">somansalehi@gmail.com</t>
  </si>
  <si>
    <t xml:space="preserve">GOKULAM, MADIKAI.PO., VIA NILESHWAR, KASARAGOD, KERALA</t>
  </si>
  <si>
    <t xml:space="preserve">ALVIN CHANDRA DHAS</t>
  </si>
  <si>
    <t xml:space="preserve">0505376878</t>
  </si>
  <si>
    <t xml:space="preserve">90479899</t>
  </si>
  <si>
    <t xml:space="preserve">alvin@alrasheed.com</t>
  </si>
  <si>
    <t xml:space="preserve">17/49 A , IN GOD WE TRUST,COLACHEL,, TAMILNADU, INDIA</t>
  </si>
  <si>
    <t xml:space="preserve">SUNIL KUMAR THAMPI</t>
  </si>
  <si>
    <t xml:space="preserve">0506548542</t>
  </si>
  <si>
    <t xml:space="preserve">4812460505</t>
  </si>
  <si>
    <t xml:space="preserve">sunilthampi19@gmail.com</t>
  </si>
  <si>
    <t xml:space="preserve">EARATHU HOUSE, ERICADU, PUTHUPPALLY.PO, KOTTAYAM DT, KERALA 686011</t>
  </si>
  <si>
    <t xml:space="preserve">ABDUL JALEEL C.P.</t>
  </si>
  <si>
    <t xml:space="preserve">0506550638</t>
  </si>
  <si>
    <t xml:space="preserve">4972871920</t>
  </si>
  <si>
    <t xml:space="preserve">panviet@gmail.com</t>
  </si>
  <si>
    <t xml:space="preserve">GRACE, EZHOME MOOLA, KANNUR, KERALA</t>
  </si>
  <si>
    <t xml:space="preserve">SEBASTIAN VARKEY</t>
  </si>
  <si>
    <t xml:space="preserve">0543381732</t>
  </si>
  <si>
    <t xml:space="preserve">4602206444</t>
  </si>
  <si>
    <t xml:space="preserve">kvsebastian@gmail.com</t>
  </si>
  <si>
    <t xml:space="preserve">KALLIDUKANANIKAL HOUSE, PULIKURUMBA.PO, NADUVIL, KANNUR, KERALA</t>
  </si>
  <si>
    <t xml:space="preserve">ROBIN ABRAHAM PHILIP</t>
  </si>
  <si>
    <t xml:space="preserve">0506560960</t>
  </si>
  <si>
    <t xml:space="preserve">9497252391</t>
  </si>
  <si>
    <t xml:space="preserve">voxel78@yahoo.com</t>
  </si>
  <si>
    <t xml:space="preserve">MYLAMOOTTIL, PARAKADAVIL ROBIN VILLA, KAVIYOOR.THIRUVALLA, PATHANAMTHITTA, KERALA</t>
  </si>
  <si>
    <t xml:space="preserve">ALEX ABRAHAM</t>
  </si>
  <si>
    <t xml:space="preserve">0506283182</t>
  </si>
  <si>
    <t xml:space="preserve">4692664890</t>
  </si>
  <si>
    <t xml:space="preserve">ab_alex58@hotmail.com</t>
  </si>
  <si>
    <t xml:space="preserve">MANIPARAMBIL, NIRANAM, THIRUVALLA, KOTTAYAM, KERALA</t>
  </si>
  <si>
    <t xml:space="preserve">SAINUDHEEN KARINGAPPARA</t>
  </si>
  <si>
    <t xml:space="preserve">0506959670</t>
  </si>
  <si>
    <t xml:space="preserve">9847225094</t>
  </si>
  <si>
    <t xml:space="preserve">sainualpath@yahoo.com</t>
  </si>
  <si>
    <t xml:space="preserve">KALLAMANGALAM, KADAMPUZHA, MALAPPURAM DT, KERALA</t>
  </si>
  <si>
    <t xml:space="preserve">BASHEER VAIPPADATH UMMER</t>
  </si>
  <si>
    <t xml:space="preserve">0555188449</t>
  </si>
  <si>
    <t xml:space="preserve">basheervuu@gmail.com</t>
  </si>
  <si>
    <t xml:space="preserve">VAIPPADATH HOUSE,PO.EDAMUTTAM, THRISSUR DT, KERALA, 00919895652142</t>
  </si>
  <si>
    <t xml:space="preserve">SREENATHAN.T.K</t>
  </si>
  <si>
    <t xml:space="preserve">0506268175</t>
  </si>
  <si>
    <t xml:space="preserve">tksreenath@hotmail.com</t>
  </si>
  <si>
    <t xml:space="preserve">MADATHIL HOUSE, NARIPARAMBA, THAVANUR, MALAPPURAM, KERALA, 0494 2686069</t>
  </si>
  <si>
    <t xml:space="preserve">V.C.ABDUL KADER</t>
  </si>
  <si>
    <t xml:space="preserve">0501702255</t>
  </si>
  <si>
    <t xml:space="preserve">4872641184</t>
  </si>
  <si>
    <t xml:space="preserve">abdulkaderclick@gmail.com</t>
  </si>
  <si>
    <t xml:space="preserve">VALIYAKATH CHAKKANATH, VENMENAD, PO PAVARATTY, TRICHUR DT, KERALA</t>
  </si>
  <si>
    <t xml:space="preserve">SHAJI AYINIPPULLY VASU</t>
  </si>
  <si>
    <t xml:space="preserve">0505992205</t>
  </si>
  <si>
    <t xml:space="preserve">4885223671</t>
  </si>
  <si>
    <t xml:space="preserve">shaajiav@gmail.com</t>
  </si>
  <si>
    <t xml:space="preserve">AYNIPULLY HOUSE, KIZHOOR.PO, KUNNAMKULAM, TRICHUR, KERALA</t>
  </si>
  <si>
    <t xml:space="preserve">REJI MOHANAN NAIR.M.S</t>
  </si>
  <si>
    <t xml:space="preserve">0554889066</t>
  </si>
  <si>
    <t xml:space="preserve">4682211362</t>
  </si>
  <si>
    <t xml:space="preserve">drops3045@gmail.com</t>
  </si>
  <si>
    <t xml:space="preserve">MOOZHIKKAL HOUSE, KEEZHUKARA, KOZHENCHERRY, KERALA</t>
  </si>
  <si>
    <t xml:space="preserve">SADANANDAN RANJAN</t>
  </si>
  <si>
    <t xml:space="preserve">0503038624</t>
  </si>
  <si>
    <t xml:space="preserve">4702689505</t>
  </si>
  <si>
    <t xml:space="preserve">ranjan.s.anand@gmail.com</t>
  </si>
  <si>
    <t xml:space="preserve">MURALI NIVAS,PANTHDIVILA, MANAMBUR.PO., KALLAMBALAM, TRIVANDRUM,KERALA</t>
  </si>
  <si>
    <t xml:space="preserve">RAJAN PERUMUNDEKKAD</t>
  </si>
  <si>
    <t xml:space="preserve">0509067731</t>
  </si>
  <si>
    <t xml:space="preserve">9447383423</t>
  </si>
  <si>
    <t xml:space="preserve">rajpmunda@gmail.com</t>
  </si>
  <si>
    <t xml:space="preserve">MUNDASSERY VALAPPIL, ALAMKODE.PO, MALAPPURAM DT, KERALA</t>
  </si>
  <si>
    <t xml:space="preserve">ABRAHAM P. ABRAHAM</t>
  </si>
  <si>
    <t xml:space="preserve">0506341316</t>
  </si>
  <si>
    <t xml:space="preserve">abraham@alwahamechanical.com</t>
  </si>
  <si>
    <t xml:space="preserve">PUTHENMANNEL,KUMMANAM.PO, KOTTAYAM DT, KERALA</t>
  </si>
  <si>
    <t xml:space="preserve">DHARM PAL</t>
  </si>
  <si>
    <t xml:space="preserve">0506968450</t>
  </si>
  <si>
    <t xml:space="preserve">9463166666</t>
  </si>
  <si>
    <t xml:space="preserve">aialnaser98@gmail.com</t>
  </si>
  <si>
    <t xml:space="preserve">VILL. KAPAHAT.PO. MUSTAPUR, DIST.HOSHIARPUR, PUNJAB</t>
  </si>
  <si>
    <t xml:space="preserve">ABDUL VAHID ABDUL AZEEZ</t>
  </si>
  <si>
    <t xml:space="preserve">0557461613</t>
  </si>
  <si>
    <t xml:space="preserve">9995366090</t>
  </si>
  <si>
    <t xml:space="preserve">abdulazeez958@gmail.com</t>
  </si>
  <si>
    <t xml:space="preserve">AMINA LAND,POOVANGAL,S.V.PURAM-.PO,, VARKALA, TRIVANDRUM, KERALA</t>
  </si>
  <si>
    <t xml:space="preserve">PRADEEPKUMAR.T.C</t>
  </si>
  <si>
    <t xml:space="preserve">0507845812</t>
  </si>
  <si>
    <t xml:space="preserve">watanshj@eim.ae</t>
  </si>
  <si>
    <t xml:space="preserve">THEKKEDATHU HOUSE, KIDANGOOR SOUTH, KOTTAYAM DT, KERALA, 0091944 6464956</t>
  </si>
  <si>
    <t xml:space="preserve">SHAMSUDEEN.I.K</t>
  </si>
  <si>
    <t xml:space="preserve">0502918681</t>
  </si>
  <si>
    <t xml:space="preserve">shamsushj71@gmail.com</t>
  </si>
  <si>
    <t xml:space="preserve">KAYPPALLIL VEEDU, MULLICKALA,, THEVALAKKARA, KOLLAM, KERALA, 9846353604</t>
  </si>
  <si>
    <t xml:space="preserve">HANEEFA KRISHIKKAKATH</t>
  </si>
  <si>
    <t xml:space="preserve">0501710769</t>
  </si>
  <si>
    <t xml:space="preserve">9895112258</t>
  </si>
  <si>
    <t xml:space="preserve">hanif22000@yahoo.com</t>
  </si>
  <si>
    <t xml:space="preserve">SAINA MANZIL,KODAPPARAMBA, KANNUR DT, KERALA</t>
  </si>
  <si>
    <t xml:space="preserve">NARAYANAN KUMARAN</t>
  </si>
  <si>
    <t xml:space="preserve">0504999664</t>
  </si>
  <si>
    <t xml:space="preserve">4872352557</t>
  </si>
  <si>
    <t xml:space="preserve">seashellac_@yahoo.com</t>
  </si>
  <si>
    <t xml:space="preserve">THEKKETHARA HOUSE, PO.KUTTANELLUR, TRICHUR DT, KERALA</t>
  </si>
  <si>
    <t xml:space="preserve">ASHOK KUMAR PADMANABHA PILLAI</t>
  </si>
  <si>
    <t xml:space="preserve">0506599358</t>
  </si>
  <si>
    <t xml:space="preserve">4812542570</t>
  </si>
  <si>
    <t xml:space="preserve">akppillai1969@gmail.com</t>
  </si>
  <si>
    <t xml:space="preserve">55419 AL NAHDA, ASHOK BHAVAN, ARUMANOOR.PO, KOTTAYAM, KERALA</t>
  </si>
  <si>
    <t xml:space="preserve">FAISAL MANGARATH</t>
  </si>
  <si>
    <t xml:space="preserve">0501875786</t>
  </si>
  <si>
    <t xml:space="preserve">4962560273</t>
  </si>
  <si>
    <t xml:space="preserve">faisalchama1@gmail.com</t>
  </si>
  <si>
    <t xml:space="preserve">KALLI PUTHIYOTTIL THAZHEKUNIYIL HOUSE, CHERUMOTH.PO., VALAYAM VIA KOZHIKODE, KERALA</t>
  </si>
  <si>
    <t xml:space="preserve">JAFAR KHAN.S.V</t>
  </si>
  <si>
    <t xml:space="preserve">0555155125</t>
  </si>
  <si>
    <t xml:space="preserve">4752251005</t>
  </si>
  <si>
    <t xml:space="preserve">jafarmcse2003@gmail.com</t>
  </si>
  <si>
    <t xml:space="preserve">SULAIMANIYA MANZIL, MATHRA PO, PUNALUR, KOLLAM, KERALA</t>
  </si>
  <si>
    <t xml:space="preserve">SASEENDRAN GOPALAN</t>
  </si>
  <si>
    <t xml:space="preserve">0504821448</t>
  </si>
  <si>
    <t xml:space="preserve">9947100625</t>
  </si>
  <si>
    <t xml:space="preserve">libertal@emirates.neta.ae</t>
  </si>
  <si>
    <t xml:space="preserve">THAZHETHETHIL HOUSE, MANNAM NAGAR.PO, PERUMPULICKAL, PATHANAMTHITTA, KERALA</t>
  </si>
  <si>
    <t xml:space="preserve">SHAJI JOHN</t>
  </si>
  <si>
    <t xml:space="preserve">0503675770</t>
  </si>
  <si>
    <t xml:space="preserve">shajikandathil@gmail.com</t>
  </si>
  <si>
    <t xml:space="preserve">KANDATHIL SHAJI VILLA,OLAKETTIAMAPALAM,VATHIKULAM, MAVELIKARA, ALAPPUZHA, KERALA, 04792346893</t>
  </si>
  <si>
    <t xml:space="preserve">JITHU KURIAN JACOB</t>
  </si>
  <si>
    <t xml:space="preserve">0555555834</t>
  </si>
  <si>
    <t xml:space="preserve">9995444455</t>
  </si>
  <si>
    <t xml:space="preserve">retouchgmc@gmail.com</t>
  </si>
  <si>
    <t xml:space="preserve">PALATHUMTHALACKAL HOUSE, PATTOM.PO, TRIVANDRUM, KERALA</t>
  </si>
  <si>
    <t xml:space="preserve">SAGAR SUDHEER</t>
  </si>
  <si>
    <t xml:space="preserve">0502962882</t>
  </si>
  <si>
    <t xml:space="preserve">9656639156</t>
  </si>
  <si>
    <t xml:space="preserve">sagares_007@hotmail.com</t>
  </si>
  <si>
    <t xml:space="preserve">EARACHAM HOUSE, PO. THALIKULAM, TRICHUR DT, KERALA</t>
  </si>
  <si>
    <t xml:space="preserve">FASIL VAYAKKARERAKATH</t>
  </si>
  <si>
    <t xml:space="preserve">0589057273</t>
  </si>
  <si>
    <t xml:space="preserve">4972780642</t>
  </si>
  <si>
    <t xml:space="preserve">fasiljus4u@gmail.com</t>
  </si>
  <si>
    <t xml:space="preserve">SAMEERAS,MANGAD,KALLIASSERY, KANNUR DT, KERALA</t>
  </si>
  <si>
    <t xml:space="preserve">BIJU ABRAHAM</t>
  </si>
  <si>
    <t xml:space="preserve">0504287451</t>
  </si>
  <si>
    <t xml:space="preserve">4682326931</t>
  </si>
  <si>
    <t xml:space="preserve">bijuak@eim.ae</t>
  </si>
  <si>
    <t xml:space="preserve">KULATHOOR HOUSE, NANNUVAKKADU, PATHANAMTHITTA DT, KERALA</t>
  </si>
  <si>
    <t xml:space="preserve">BABU VARGHESE</t>
  </si>
  <si>
    <t xml:space="preserve">0506981896</t>
  </si>
  <si>
    <t xml:space="preserve">4842615621</t>
  </si>
  <si>
    <t xml:space="preserve">bvmbabs11@yahoo.co.in</t>
  </si>
  <si>
    <t xml:space="preserve">MUDUSSERY,MOOKKANNOOR, ERNAKULAM DT,, KERALA</t>
  </si>
  <si>
    <t xml:space="preserve">A.V. MADHUSOODANAN</t>
  </si>
  <si>
    <t xml:space="preserve">0505974013</t>
  </si>
  <si>
    <t xml:space="preserve">4672234244</t>
  </si>
  <si>
    <t xml:space="preserve">madhuav008@gmail.com</t>
  </si>
  <si>
    <t xml:space="preserve">MEETHAL VEEDU, PALLIKERE, RAVENESHWAR,KASARAGOD DT, KERALA</t>
  </si>
  <si>
    <t xml:space="preserve">RAJEEVAN.K</t>
  </si>
  <si>
    <t xml:space="preserve">0503851333</t>
  </si>
  <si>
    <t xml:space="preserve">4985260455</t>
  </si>
  <si>
    <t xml:space="preserve">rajeevemproente1@gmail.com</t>
  </si>
  <si>
    <t xml:space="preserve">KODAKKAT POST, CANNANORE DT, KERALA</t>
  </si>
  <si>
    <t xml:space="preserve">0507764897</t>
  </si>
  <si>
    <t xml:space="preserve">jacobamayil@gmail.com</t>
  </si>
  <si>
    <t xml:space="preserve">AMAYIL, 124-A, KADAPPAKADA NAGAR,, KADAPPAKADA P.O.,KOLLAM., 04742593275</t>
  </si>
  <si>
    <t xml:space="preserve">RIJU ACHI SAMIKUTTY</t>
  </si>
  <si>
    <t xml:space="preserve">0554325478</t>
  </si>
  <si>
    <t xml:space="preserve">rijuachi@gmail.com</t>
  </si>
  <si>
    <t xml:space="preserve">ACHI HOUSE, BLANGAD, PO.CHAVAKKAD, TRICHUR, KERALA, 0091 4872501515</t>
  </si>
  <si>
    <t xml:space="preserve">EASA NADUKANDIYIL</t>
  </si>
  <si>
    <t xml:space="preserve">0506253487</t>
  </si>
  <si>
    <t xml:space="preserve">4902334874</t>
  </si>
  <si>
    <t xml:space="preserve">easanadukkandiyil@gmail.com</t>
  </si>
  <si>
    <t xml:space="preserve">ASHIKAS, CHALAKKARA, POST PALLOOR,, KANNUR, MAHE-673310, KERALA</t>
  </si>
  <si>
    <t xml:space="preserve">DR.MANOJ MATHEW</t>
  </si>
  <si>
    <t xml:space="preserve">0504828528</t>
  </si>
  <si>
    <t xml:space="preserve">4892474794</t>
  </si>
  <si>
    <t xml:space="preserve">manojma@gmail.com</t>
  </si>
  <si>
    <t xml:space="preserve">KELACHATTU PARAYIL, MEKKAD.PO, ERNAKULAM DT, KERALA</t>
  </si>
  <si>
    <t xml:space="preserve">PRAKASAN KUNJIRAMAN</t>
  </si>
  <si>
    <t xml:space="preserve">0509915294</t>
  </si>
  <si>
    <t xml:space="preserve">prakashpeeyaar@gmail.com</t>
  </si>
  <si>
    <t xml:space="preserve">HARITHA,PATHIRIYAD.PO., KANNUR DT, KERALA</t>
  </si>
  <si>
    <t xml:space="preserve">VENUGOPAL MENON</t>
  </si>
  <si>
    <t xml:space="preserve">0506282015</t>
  </si>
  <si>
    <t xml:space="preserve">venugeet@emirates.net.ae</t>
  </si>
  <si>
    <t xml:space="preserve">ARCHANA, CHERUMUKKU ROAD.PO., IRINJALAKKUDA, THRISSUR DT, KERALA</t>
  </si>
  <si>
    <t xml:space="preserve">RENJITH CROWN THOMAS</t>
  </si>
  <si>
    <t xml:space="preserve">0566363281</t>
  </si>
  <si>
    <t xml:space="preserve">566363281</t>
  </si>
  <si>
    <t xml:space="preserve">renjithcrown@me.com</t>
  </si>
  <si>
    <t xml:space="preserve">THOMAS COTTAGE, CHENNITHALA.PO, MAVELIKKARA, KERALA</t>
  </si>
  <si>
    <t xml:space="preserve">ABDUL KHADIR.T.</t>
  </si>
  <si>
    <t xml:space="preserve">0508199414</t>
  </si>
  <si>
    <t xml:space="preserve">4672273218</t>
  </si>
  <si>
    <t xml:space="preserve">KHADU207@GMAIL.COM</t>
  </si>
  <si>
    <t xml:space="preserve">9/433,C.H.NAGAR, PERIYA ROAD, PALLIKERE.PO.,KASARAGOD DT, KERALA</t>
  </si>
  <si>
    <t xml:space="preserve">MATHEW MATHEW</t>
  </si>
  <si>
    <t xml:space="preserve">0505176909</t>
  </si>
  <si>
    <t xml:space="preserve">mathewsibu@yahoo.com</t>
  </si>
  <si>
    <t xml:space="preserve">TABERNACLE, PANICKER'SLANE, MANNAMOOLA, PEROORKKADA, TRIVANDRUM, KERALA</t>
  </si>
  <si>
    <t xml:space="preserve">SAJU SOMAN</t>
  </si>
  <si>
    <t xml:space="preserve">0554192391</t>
  </si>
  <si>
    <t xml:space="preserve">4752250588</t>
  </si>
  <si>
    <t xml:space="preserve">sajusplr@gmail.com</t>
  </si>
  <si>
    <t xml:space="preserve">6/346 SAUMIYA BHAVAN, MATHRA.PO., PUNALUR, KERALA</t>
  </si>
  <si>
    <t xml:space="preserve">VIJAYAN NAIR</t>
  </si>
  <si>
    <t xml:space="preserve">0556270010</t>
  </si>
  <si>
    <t xml:space="preserve">vijayannair.karama66@gmail.com</t>
  </si>
  <si>
    <t xml:space="preserve">MANIYEL HOUSE, CHATHAMKAI, CHANDRAGIRI, KASARAGOD, KERALA, 0091 9495168000</t>
  </si>
  <si>
    <t xml:space="preserve">MOHAMED SOLAN.K</t>
  </si>
  <si>
    <t xml:space="preserve">0504273460</t>
  </si>
  <si>
    <t xml:space="preserve">solusahal@yahoo.com</t>
  </si>
  <si>
    <t xml:space="preserve">MALIYAKKAL HOUSE, ANCHANGADI, KADAPPURAM [O., TRICHUR DT, KERALA, 00914872530029</t>
  </si>
  <si>
    <t xml:space="preserve">THOMAS EAPEN</t>
  </si>
  <si>
    <t xml:space="preserve">0506342032</t>
  </si>
  <si>
    <t xml:space="preserve">4792472784</t>
  </si>
  <si>
    <t xml:space="preserve">chepadeapen@yahoo.com</t>
  </si>
  <si>
    <t xml:space="preserve">29876, ALWASMIYA AL NADHA PARK, CHEMATHU PUTHEN PURAYIL, CHEPPAD.PO, ALLEPPEY DT, KERALA</t>
  </si>
  <si>
    <t xml:space="preserve">RAJENDRAN.P</t>
  </si>
  <si>
    <t xml:space="preserve">0507889848</t>
  </si>
  <si>
    <t xml:space="preserve">8281008870</t>
  </si>
  <si>
    <t xml:space="preserve">rajendran.pv@gmail.com</t>
  </si>
  <si>
    <t xml:space="preserve">KALLIKODAN PALLIATH VEEDU, PALLICHAL, CHERUKUNNUNU.PO.,KANNUR DT, KERALA</t>
  </si>
  <si>
    <t xml:space="preserve">KRISHNAKUMAR KARICHERI</t>
  </si>
  <si>
    <t xml:space="preserve">0567729824</t>
  </si>
  <si>
    <t xml:space="preserve">9605999234</t>
  </si>
  <si>
    <t xml:space="preserve">krishnakumarkaricheri@gmail.com</t>
  </si>
  <si>
    <t xml:space="preserve">MEETHALA VEEDU, PO.PAKKAM VIA, PALLIKKERE, KASARAGOD DT, KERALA</t>
  </si>
  <si>
    <t xml:space="preserve">ABHILASH.K.</t>
  </si>
  <si>
    <t xml:space="preserve">0508658766</t>
  </si>
  <si>
    <t xml:space="preserve">4885220108</t>
  </si>
  <si>
    <t xml:space="preserve">abhi.aljumeira@gmail.com</t>
  </si>
  <si>
    <t xml:space="preserve">KOTTILINGAL HOUSE, PORKKALANGAD, KANIPAYOOR, THIRSSUR, KERALA</t>
  </si>
  <si>
    <t xml:space="preserve">T.K.PRATHEEP</t>
  </si>
  <si>
    <t xml:space="preserve">0507473126</t>
  </si>
  <si>
    <t xml:space="preserve">4923243024</t>
  </si>
  <si>
    <t xml:space="preserve">pradeep75.nair@gmail.com</t>
  </si>
  <si>
    <t xml:space="preserve">PRAKASH NILAYAM, KANIMANGALAM,NEMMARA, PALAKKAD DT, KERALA</t>
  </si>
  <si>
    <t xml:space="preserve">MOHAMMED KASIM ASHARAF</t>
  </si>
  <si>
    <t xml:space="preserve">0555050149</t>
  </si>
  <si>
    <t xml:space="preserve">9495522284</t>
  </si>
  <si>
    <t xml:space="preserve">mkashraf150@gmail.com</t>
  </si>
  <si>
    <t xml:space="preserve">EMKE LAND, MULLANALLOOR, MARUTHIKUNNU, NAVAIKULAM, TRIVANDRUM, KERALA</t>
  </si>
  <si>
    <t xml:space="preserve">SUNEESHBABU.P</t>
  </si>
  <si>
    <t xml:space="preserve">0507167693</t>
  </si>
  <si>
    <t xml:space="preserve">sunibabu19@gmail.com</t>
  </si>
  <si>
    <t xml:space="preserve">PILAVULLATHIL HOUSE, THUVAKKUNNU.PO, KANNUR DT, KERALA, 0091 490 2463282</t>
  </si>
  <si>
    <t xml:space="preserve">ARUNRAJ.A.S</t>
  </si>
  <si>
    <t xml:space="preserve">0566249376</t>
  </si>
  <si>
    <t xml:space="preserve">arunraj.lek@gmail.com</t>
  </si>
  <si>
    <t xml:space="preserve">SREYAS,VELIVILAKOM,PO.VAKKOM, TRIVANDRUM, KERALA, 00914702653355</t>
  </si>
  <si>
    <t xml:space="preserve">SHABEER.V.K.</t>
  </si>
  <si>
    <t xml:space="preserve">0585674334</t>
  </si>
  <si>
    <t xml:space="preserve">6235029047</t>
  </si>
  <si>
    <t xml:space="preserve">shabeer@everest.ae</t>
  </si>
  <si>
    <t xml:space="preserve">VALIYAKATH HOUSE, THUVANOOR, KECHERI.PO.TRICHUR. KERALA</t>
  </si>
  <si>
    <t xml:space="preserve">ABOOBACKER SIDDIQUE</t>
  </si>
  <si>
    <t xml:space="preserve">0505672254</t>
  </si>
  <si>
    <t xml:space="preserve">4962690057</t>
  </si>
  <si>
    <t xml:space="preserve">aboobackersiddique@gmail.com</t>
  </si>
  <si>
    <t xml:space="preserve">POKKINARY HOUSE, POST MUDADI NORTH, VIA QUILANDY, KOZHIKODE DT, KERALA</t>
  </si>
  <si>
    <t xml:space="preserve">SADIKH CHERUVATHOTT</t>
  </si>
  <si>
    <t xml:space="preserve">0507162488</t>
  </si>
  <si>
    <t xml:space="preserve">sadikhc@gmail.com</t>
  </si>
  <si>
    <t xml:space="preserve">CHERUVATHOTH HOUSE, PO.VRALLOOR, DIST. KOZHIKODE, KERALA</t>
  </si>
  <si>
    <t xml:space="preserve">PETER ANTHONY PINHEIRO</t>
  </si>
  <si>
    <t xml:space="preserve">0507961106</t>
  </si>
  <si>
    <t xml:space="preserve">9819252103</t>
  </si>
  <si>
    <t xml:space="preserve">peterkrizel@yahoo.com</t>
  </si>
  <si>
    <t xml:space="preserve">239 SHERE PUBJAB CO OP SOC, FLAT NO.3, MAHAKALI CAVE ROAD,ANDHERI E MUMBAI</t>
  </si>
  <si>
    <t xml:space="preserve">SAJEEV KUMAR</t>
  </si>
  <si>
    <t xml:space="preserve">0504421951</t>
  </si>
  <si>
    <t xml:space="preserve">4712599204</t>
  </si>
  <si>
    <t xml:space="preserve">saji003@gmail.com</t>
  </si>
  <si>
    <t xml:space="preserve">SLT BHAVAN, CHERVICKKAL, SREEKARYAM, TRIVANDRUM, KERALA</t>
  </si>
  <si>
    <t xml:space="preserve">T.M.BABU</t>
  </si>
  <si>
    <t xml:space="preserve">0507929460</t>
  </si>
  <si>
    <t xml:space="preserve">4842658291</t>
  </si>
  <si>
    <t xml:space="preserve">tmmbabu@yahoo.co.in</t>
  </si>
  <si>
    <t xml:space="preserve">THOTTATHIKULAM VALIAVEETTIL, IRAMALLOOR.PO.,KOTHAMANGALAM, ERNAKULAM</t>
  </si>
  <si>
    <t xml:space="preserve">MOHAMED HASHIQUE</t>
  </si>
  <si>
    <t xml:space="preserve">0507389363</t>
  </si>
  <si>
    <t xml:space="preserve">hashiqm@yahoo.com</t>
  </si>
  <si>
    <t xml:space="preserve">KALLINGAL HOUSE, BIG BAZAR, PERINTHALMANNA, KERALA, 04933228427</t>
  </si>
  <si>
    <t xml:space="preserve">ARUN SUGU</t>
  </si>
  <si>
    <t xml:space="preserve">0558822997</t>
  </si>
  <si>
    <t xml:space="preserve">9895373838</t>
  </si>
  <si>
    <t xml:space="preserve">arunsugu@hotmail.com</t>
  </si>
  <si>
    <t xml:space="preserve">KIZHAKKUMKARA PUTHEN VEEDU,MUTHANA PO, VIA PALAYAMKUNNU VARKALA, TRIVANDRUM</t>
  </si>
  <si>
    <t xml:space="preserve">TENNISON PEREIRA</t>
  </si>
  <si>
    <t xml:space="preserve">0506746721</t>
  </si>
  <si>
    <t xml:space="preserve">tennyson.pereira@gargash.ae</t>
  </si>
  <si>
    <t xml:space="preserve">SHANTHI BHAVAN, VETTUKAD.PO., TRIVANDRUM, KERALA</t>
  </si>
  <si>
    <t xml:space="preserve">RAJESH.E.K</t>
  </si>
  <si>
    <t xml:space="preserve">0507297462</t>
  </si>
  <si>
    <t xml:space="preserve">rajeshelamtholy@gmail.com</t>
  </si>
  <si>
    <t xml:space="preserve">ELAMTHOLY HOUSE, WARD NO. 11/3,GANDHIGRAM, IRINGALAKUDA.PO., THRISSUR DT, KERALA</t>
  </si>
  <si>
    <t xml:space="preserve">BALAKRISHNAN</t>
  </si>
  <si>
    <t xml:space="preserve">0505674369</t>
  </si>
  <si>
    <t xml:space="preserve">balumottammal@gmail.com</t>
  </si>
  <si>
    <t xml:space="preserve">THIRUVAMBADI HOUSE,PO. MOTTAMMAL, KANNUR DT, KERALA</t>
  </si>
  <si>
    <t xml:space="preserve">ABDU RASAQUE</t>
  </si>
  <si>
    <t xml:space="preserve">0503054100</t>
  </si>
  <si>
    <t xml:space="preserve">9048110200</t>
  </si>
  <si>
    <t xml:space="preserve">rasaquekc@gmail.com</t>
  </si>
  <si>
    <t xml:space="preserve">3442, AJMAM, THALLASSERY HOUSE,PARIYAPURAM, PACHATTIRI POST,MALAPURAM</t>
  </si>
  <si>
    <t xml:space="preserve">JOHNSON KUILAN RAPPAI</t>
  </si>
  <si>
    <t xml:space="preserve">0506346718</t>
  </si>
  <si>
    <t xml:space="preserve">johnsonrappai@yahoo.co.in</t>
  </si>
  <si>
    <t xml:space="preserve">CHERIYATH HOUSE KATHIKODUM, KORTY, TRICHUR</t>
  </si>
  <si>
    <t xml:space="preserve">BHASKARAN RADHAKRISHNAN</t>
  </si>
  <si>
    <t xml:space="preserve">0503620765</t>
  </si>
  <si>
    <t xml:space="preserve">radhakrishnanb@hotmail.com</t>
  </si>
  <si>
    <t xml:space="preserve">PLAVILA HOUSE, VAKKOM POST, TRIVANDRUM</t>
  </si>
  <si>
    <t xml:space="preserve">PADAYATTI OUSEPH THOMAS</t>
  </si>
  <si>
    <t xml:space="preserve">0506265303</t>
  </si>
  <si>
    <t xml:space="preserve">PADAYATTI HOUSE, PUTHENVELIKKARA, ERNAKULAM, 00914842487162</t>
  </si>
  <si>
    <t xml:space="preserve">SOORAJ K V</t>
  </si>
  <si>
    <t xml:space="preserve">0505866254</t>
  </si>
  <si>
    <t xml:space="preserve">skv415@gmail.com</t>
  </si>
  <si>
    <t xml:space="preserve">SWARALAYA, KANIYAMBADI, BEKAL POST, KASARAGOD(DIST), 00914672238415</t>
  </si>
  <si>
    <t xml:space="preserve">ANISH THOMAS</t>
  </si>
  <si>
    <t xml:space="preserve">0506325063</t>
  </si>
  <si>
    <t xml:space="preserve">4692695752</t>
  </si>
  <si>
    <t xml:space="preserve">anishkthomas@yahoo.com</t>
  </si>
  <si>
    <t xml:space="preserve">KOLLARAKUZHYIL HOUSE,MALLAPALLY P.O,MALLAPALLY WEST, PATHANAMTHITTA DIST, KERALA- 689585</t>
  </si>
  <si>
    <t xml:space="preserve">ANILA PHILIP</t>
  </si>
  <si>
    <t xml:space="preserve">0503797119</t>
  </si>
  <si>
    <t xml:space="preserve">4742761005</t>
  </si>
  <si>
    <t xml:space="preserve">bindhyas@rediffmail.com</t>
  </si>
  <si>
    <t xml:space="preserve">BINDHYAS,KOCHUPILAMOODU,KOLLAM-1,KERALA,INDIA</t>
  </si>
  <si>
    <t xml:space="preserve">BABU RAJ.KOTTUNGAL</t>
  </si>
  <si>
    <t xml:space="preserve">0506460877</t>
  </si>
  <si>
    <t xml:space="preserve">4972722164</t>
  </si>
  <si>
    <t xml:space="preserve">kottungal@gmail.com</t>
  </si>
  <si>
    <t xml:space="preserve">ANANDA NIVAS.P.O. MUNDAYAD. KANNUR</t>
  </si>
  <si>
    <t xml:space="preserve">NAUSHAD BARE MOHAMMED</t>
  </si>
  <si>
    <t xml:space="preserve">0504585200</t>
  </si>
  <si>
    <t xml:space="preserve">bee@hivefoods.com</t>
  </si>
  <si>
    <t xml:space="preserve">PATEL MANZEL,P.O.BEKAL-671318, KASARAGOD DT.KERALA</t>
  </si>
  <si>
    <t xml:space="preserve">MATHEW M. THOMAS</t>
  </si>
  <si>
    <t xml:space="preserve">0502949022</t>
  </si>
  <si>
    <t xml:space="preserve">4682314943</t>
  </si>
  <si>
    <t xml:space="preserve">manappara.mmt@gmail.com</t>
  </si>
  <si>
    <t xml:space="preserve">MANNUMELEDATHU MEMURIYIL,KOZHENCHERRY . P.O, PATHANAMTHITTA,KERALA -689641</t>
  </si>
  <si>
    <t xml:space="preserve">ABY PHILIP</t>
  </si>
  <si>
    <t xml:space="preserve">0504677262</t>
  </si>
  <si>
    <t xml:space="preserve">9495440036</t>
  </si>
  <si>
    <t xml:space="preserve">abyphilip.aby@gmail.com</t>
  </si>
  <si>
    <t xml:space="preserve">PARIYARATHU HOUSE,P.O.PULIYOOR, CHENGANNUR</t>
  </si>
  <si>
    <t xml:space="preserve">LABI SIMON PULIKKOTIL</t>
  </si>
  <si>
    <t xml:space="preserve">0555140323</t>
  </si>
  <si>
    <t xml:space="preserve">9497744333</t>
  </si>
  <si>
    <t xml:space="preserve">labi_simon@yahoo.co.in</t>
  </si>
  <si>
    <t xml:space="preserve">28/760 PULIKKOTTIL HOUSE,EZAUTHACHAN NAGAR-2'ND LANE, VADKECHIRA, THRISSUR</t>
  </si>
  <si>
    <t xml:space="preserve">SREEKUMAR VASUDEVAN PILLAI</t>
  </si>
  <si>
    <t xml:space="preserve">0507460544</t>
  </si>
  <si>
    <t xml:space="preserve">kumar.sukya@gmail.com</t>
  </si>
  <si>
    <t xml:space="preserve">VYANTHAPURATHIL, MANNANKARACHIRA,, THIRUVALLA, PATHANAMTHITTA DT., 0091 4692633299</t>
  </si>
  <si>
    <t xml:space="preserve">NEBU KUNJACHAN JOHN</t>
  </si>
  <si>
    <t xml:space="preserve">0509321006</t>
  </si>
  <si>
    <t xml:space="preserve">nebukjohn@gmail.com</t>
  </si>
  <si>
    <t xml:space="preserve">PULIMOOTIL,PODIYATTUVILA, KOLLAM DT. KERALA</t>
  </si>
  <si>
    <t xml:space="preserve">ABRAHAM GEORGE</t>
  </si>
  <si>
    <t xml:space="preserve">0502010288</t>
  </si>
  <si>
    <t xml:space="preserve">9495726066</t>
  </si>
  <si>
    <t xml:space="preserve">rannysaji@gmail.com</t>
  </si>
  <si>
    <t xml:space="preserve">AZHAKANAKUZHIYIL ANGADI, P.O RANNI,PIN 689674</t>
  </si>
  <si>
    <t xml:space="preserve">SAIFUDDIN SALAHUDIN</t>
  </si>
  <si>
    <t xml:space="preserve">0558302269</t>
  </si>
  <si>
    <t xml:space="preserve">SHAM MANZIL,EDAVA,POST PIN 695311, TRIVANDRUM,KERALA</t>
  </si>
  <si>
    <t xml:space="preserve">BHASKARAN K.V</t>
  </si>
  <si>
    <t xml:space="preserve">0552713810</t>
  </si>
  <si>
    <t xml:space="preserve">kbhvarun@gmail.com</t>
  </si>
  <si>
    <t xml:space="preserve">KIZHAKKEVALAPPIL VEEDU,AARATHU KADAVU, KANAMKULAM,KASARGOD., HARI KUMAR CHAKKALAYIL NARAYANLAN N31A6I6R, 60932, Sharjah, CHAKALAYIL,EDANADU P.O, CHENGANNUR</t>
  </si>
  <si>
    <t xml:space="preserve">MADHAVAN NAIR</t>
  </si>
  <si>
    <t xml:space="preserve">0506770040</t>
  </si>
  <si>
    <t xml:space="preserve">4994239083</t>
  </si>
  <si>
    <t xml:space="preserve">madhavan338@gmail.com</t>
  </si>
  <si>
    <t xml:space="preserve">VIMAL NIVAS, BENOOR, PERUMBALA POST,KASARGOD</t>
  </si>
  <si>
    <t xml:space="preserve">PRAVEEN RAJ PARAMESWARAN</t>
  </si>
  <si>
    <t xml:space="preserve">0502024268</t>
  </si>
  <si>
    <t xml:space="preserve">4842435769</t>
  </si>
  <si>
    <t xml:space="preserve">pravi814@gmail.com</t>
  </si>
  <si>
    <t xml:space="preserve">SREE SAILAM,VADUTHALA, COCHIN,682023</t>
  </si>
  <si>
    <t xml:space="preserve">KOTTILINGAL KRISHNAKUMAR</t>
  </si>
  <si>
    <t xml:space="preserve">0561351976</t>
  </si>
  <si>
    <t xml:space="preserve">krisnakumarkottilingal@gmal.com</t>
  </si>
  <si>
    <t xml:space="preserve">KRISHNAJAM,THOTTUPALAM, PALAKKAD DISTRICT,SHORANUR, +914662223622</t>
  </si>
  <si>
    <t xml:space="preserve">ANAND PUTHANMADHOM</t>
  </si>
  <si>
    <t xml:space="preserve">0507848791</t>
  </si>
  <si>
    <t xml:space="preserve">4662246580</t>
  </si>
  <si>
    <t xml:space="preserve">anand656@gmail.com</t>
  </si>
  <si>
    <t xml:space="preserve">PADMASREE, A-54 38/1661, KADAVANTHRA PO ERNAKULAM, KERALA</t>
  </si>
  <si>
    <t xml:space="preserve">CHIRAYATH ANTHONY DEVASSY</t>
  </si>
  <si>
    <t xml:space="preserve">0503042682</t>
  </si>
  <si>
    <t xml:space="preserve">4802830026</t>
  </si>
  <si>
    <t xml:space="preserve">devassy.antony@gmail.com</t>
  </si>
  <si>
    <t xml:space="preserve">CHIRAYATH HOUSE, NADAVARAMBA.PO, TRICHUR DT, KERALA</t>
  </si>
  <si>
    <t xml:space="preserve">MOHAMMED ALI SIRAJUDEEN</t>
  </si>
  <si>
    <t xml:space="preserve">0506532144</t>
  </si>
  <si>
    <t xml:space="preserve">9947360778</t>
  </si>
  <si>
    <t xml:space="preserve">perfectg@emirates.net.ae</t>
  </si>
  <si>
    <t xml:space="preserve">RAAHATH, KARICHARA, PALLIPPURAM, TRIVANDRUM DT, KERALA</t>
  </si>
  <si>
    <t xml:space="preserve">MUHAMMED SIDDIQUE.K.A</t>
  </si>
  <si>
    <t xml:space="preserve">0559373007</t>
  </si>
  <si>
    <t xml:space="preserve">4872391789</t>
  </si>
  <si>
    <t xml:space="preserve">sidiq.abdulla@gmail.com</t>
  </si>
  <si>
    <t xml:space="preserve">KAVUNGAL HOUSE, POST NATTIKA BEACH, THRISSUR, KERALA</t>
  </si>
  <si>
    <t xml:space="preserve">EGNASHIAS.S.F.</t>
  </si>
  <si>
    <t xml:space="preserve">0504384171</t>
  </si>
  <si>
    <t xml:space="preserve">9747951166</t>
  </si>
  <si>
    <t xml:space="preserve">sfegnashias@gmail.com</t>
  </si>
  <si>
    <t xml:space="preserve">IZIDORS BHAVAN, MARUTHADY P.O.,, KOLLAM-691003, KERALA</t>
  </si>
  <si>
    <t xml:space="preserve">ERSHAD ABDUL REHIMAN KUNJU</t>
  </si>
  <si>
    <t xml:space="preserve">0568106345</t>
  </si>
  <si>
    <t xml:space="preserve">ershadar@gmail.com</t>
  </si>
  <si>
    <t xml:space="preserve">KANNAMPALLIL, PAYIKUZHI, OACHIRA,KOLLAM DT, KERALA, 0091 476 2692168</t>
  </si>
  <si>
    <t xml:space="preserve">K.SURENDRAN</t>
  </si>
  <si>
    <t xml:space="preserve">0505888076</t>
  </si>
  <si>
    <t xml:space="preserve">surendran5888@gmail.com</t>
  </si>
  <si>
    <t xml:space="preserve">RAVANESWARAM HOUSE, AJANUR, RAVANESWARAM,PO.KASARAGOD, KERALA, 0091467 223097</t>
  </si>
  <si>
    <t xml:space="preserve">A. KABIR CHANNANKARA</t>
  </si>
  <si>
    <t xml:space="preserve">0501533871</t>
  </si>
  <si>
    <t xml:space="preserve">9496100447</t>
  </si>
  <si>
    <t xml:space="preserve">kabeer.tkv@gmail.com</t>
  </si>
  <si>
    <t xml:space="preserve">DAR AL HASEEB, CHANNANKARA.PO, KANIYAPURAM,TRIVANDRUM, KERALA</t>
  </si>
  <si>
    <t xml:space="preserve">MADHAVAN KUNHIRAMAN NAIR</t>
  </si>
  <si>
    <t xml:space="preserve">0504996334</t>
  </si>
  <si>
    <t xml:space="preserve">9946905090</t>
  </si>
  <si>
    <t xml:space="preserve">mknair999@gmail.com</t>
  </si>
  <si>
    <t xml:space="preserve">THRIYAMBAKAM, POINACHI, THEKKIL.PO, CHENGALA VIA KASARAGOD DT, KERALA</t>
  </si>
  <si>
    <t xml:space="preserve">JITHIN BABU KALATHIL</t>
  </si>
  <si>
    <t xml:space="preserve">0555520031</t>
  </si>
  <si>
    <t xml:space="preserve">4872290581</t>
  </si>
  <si>
    <t xml:space="preserve">jithinbabu@gmail.com</t>
  </si>
  <si>
    <t xml:space="preserve">KALATHIL HOUSE, ENGANDIYUR, THRISSUR, KERALA</t>
  </si>
  <si>
    <t xml:space="preserve">FAIZAL.V.</t>
  </si>
  <si>
    <t xml:space="preserve">0524494968</t>
  </si>
  <si>
    <t xml:space="preserve">9633314070</t>
  </si>
  <si>
    <t xml:space="preserve">faisaljus4u@gmail.com</t>
  </si>
  <si>
    <t xml:space="preserve">VAYAKKARERAKATH HOUSE, MANGAD.PO., KALLISSERI, KANNUR,KERALA</t>
  </si>
  <si>
    <t xml:space="preserve">SURAJ THOMAS</t>
  </si>
  <si>
    <t xml:space="preserve">0547021670</t>
  </si>
  <si>
    <t xml:space="preserve">9447244799</t>
  </si>
  <si>
    <t xml:space="preserve">surajthomas_s@hotmail.com</t>
  </si>
  <si>
    <t xml:space="preserve">SURAJ BUNGLOW, EAST KUNDARA, KOLLAM, KERALA</t>
  </si>
  <si>
    <t xml:space="preserve">KATAVAN SIHAB</t>
  </si>
  <si>
    <t xml:space="preserve">0501733688</t>
  </si>
  <si>
    <t xml:space="preserve">SOUJATH MANZIL, NEAR KOTTAKUNNU UPS, PO.KATAMPALLI, KANNUR, KERALA, 04972775719</t>
  </si>
  <si>
    <t xml:space="preserve">MOHAMMAD SHAJED AYAR</t>
  </si>
  <si>
    <t xml:space="preserve">0505699920</t>
  </si>
  <si>
    <t xml:space="preserve">sajidayar@gmail.com</t>
  </si>
  <si>
    <t xml:space="preserve">AYAR WEST HOUSE, MATTOOL SOUTH, KANNUR, KERALA, 0091497 2842046/9895699922</t>
  </si>
  <si>
    <t xml:space="preserve">HAMZA MAVVAL</t>
  </si>
  <si>
    <t xml:space="preserve">0507729753</t>
  </si>
  <si>
    <t xml:space="preserve">4672272723</t>
  </si>
  <si>
    <t xml:space="preserve">THAYAL MAVVAL HOUSE, PO. MAVVAL VIA, PALLIKKERE, KASARAGOD DT, KERALA</t>
  </si>
  <si>
    <t xml:space="preserve">C.K.HAREENDRAN</t>
  </si>
  <si>
    <t xml:space="preserve">0551508236</t>
  </si>
  <si>
    <t xml:space="preserve">9447810992</t>
  </si>
  <si>
    <t xml:space="preserve">ckharinambiar@gmail.com</t>
  </si>
  <si>
    <t xml:space="preserve">CHANDROTH HOUSE,PO. MUZHALLUNNU, KANNUR DT, KERALA</t>
  </si>
  <si>
    <t xml:space="preserve">JOSEPH MATHUKUTTY</t>
  </si>
  <si>
    <t xml:space="preserve">0508706562</t>
  </si>
  <si>
    <t xml:space="preserve">4692773607</t>
  </si>
  <si>
    <t xml:space="preserve">chairman@ntvuae.com</t>
  </si>
  <si>
    <t xml:space="preserve">KADONE HOUSE,PO.VELLAYIL,, PATHANAMTHITTA DIST, KERALA</t>
  </si>
  <si>
    <t xml:space="preserve">PHULWANI NARENDRA KUMAR</t>
  </si>
  <si>
    <t xml:space="preserve">0506355946</t>
  </si>
  <si>
    <t xml:space="preserve">anilphulwani@hotmail.com</t>
  </si>
  <si>
    <t xml:space="preserve">22, BAKHTAWAR MARG, FREE GANJ, UJJAIN, M.P</t>
  </si>
  <si>
    <t xml:space="preserve">EDISON RAJ</t>
  </si>
  <si>
    <t xml:space="preserve">0505770426</t>
  </si>
  <si>
    <t xml:space="preserve">9447412640</t>
  </si>
  <si>
    <t xml:space="preserve">edison8157@gmail.com</t>
  </si>
  <si>
    <t xml:space="preserve">CHITTILAPPILLY HOUSE,M G KAVU, KANAL BUND ROAD, GRAMALA, TRICHUR, KERALA</t>
  </si>
  <si>
    <t xml:space="preserve">ABDUL NAZER.K.T</t>
  </si>
  <si>
    <t xml:space="preserve">0507144354</t>
  </si>
  <si>
    <t xml:space="preserve">9895869098</t>
  </si>
  <si>
    <t xml:space="preserve">anazer@alyousuf.com</t>
  </si>
  <si>
    <t xml:space="preserve">KOORIPARAMBIL THEKKUMPAT, PO.VALANCHERRY, KERALA</t>
  </si>
  <si>
    <t xml:space="preserve">JITHIN NARAYANAN</t>
  </si>
  <si>
    <t xml:space="preserve">0509275681</t>
  </si>
  <si>
    <t xml:space="preserve">9497254890</t>
  </si>
  <si>
    <t xml:space="preserve">jithinbekal@gmail.com</t>
  </si>
  <si>
    <t xml:space="preserve">SOUPARNIKA, CHALINGAL,HARIPURAM, KASARAGOD, KERALA</t>
  </si>
  <si>
    <t xml:space="preserve">ISMAIL KIZHAKKUMMURI</t>
  </si>
  <si>
    <t xml:space="preserve">0501025678</t>
  </si>
  <si>
    <t xml:space="preserve">9497610650</t>
  </si>
  <si>
    <t xml:space="preserve">95029, Rolla Shj Uae, MUSALIYARAVIDA THUZHAKUNI, TALAYI.PO, EDACHERI, KOZHIKODE, KERALA</t>
  </si>
  <si>
    <t xml:space="preserve">VARGHESE JOY</t>
  </si>
  <si>
    <t xml:space="preserve">0505672741</t>
  </si>
  <si>
    <t xml:space="preserve">vinujoy@eim.ae</t>
  </si>
  <si>
    <t xml:space="preserve">9B, MYSTIC HEIGHTS 1, EROOR.PO, COCHIN, KERALA, 0091 484 3535553</t>
  </si>
  <si>
    <t xml:space="preserve">SIBY GEORGE</t>
  </si>
  <si>
    <t xml:space="preserve">0503899423</t>
  </si>
  <si>
    <t xml:space="preserve">sibygeorge001@gmail.com</t>
  </si>
  <si>
    <t xml:space="preserve">THOTTAKAVU PARAMPIL, THALAVADY.PO, THALAVODY, ALAPPUZHA, KERALA, 0091 477 2213659</t>
  </si>
  <si>
    <t xml:space="preserve">PRADEEP KUMAR</t>
  </si>
  <si>
    <t xml:space="preserve">0506007833</t>
  </si>
  <si>
    <t xml:space="preserve">7994615472</t>
  </si>
  <si>
    <t xml:space="preserve">kspkumar001@gmail.com</t>
  </si>
  <si>
    <t xml:space="preserve">KATTUPARAMBIL HOUSE, PUTHENCHIRA, KANNIKULANGARA, TRICHUR DT, KERALA</t>
  </si>
  <si>
    <t xml:space="preserve">SHANTY THOMAS CHERUVATHOOR</t>
  </si>
  <si>
    <t xml:space="preserve">0558430530</t>
  </si>
  <si>
    <t xml:space="preserve">4884265051</t>
  </si>
  <si>
    <t xml:space="preserve">shantyronia@yahoo.com</t>
  </si>
  <si>
    <t xml:space="preserve">CHERUVATHOOR HOUSE, THEKKAKKARA PO, PUNNAMPARAMBU, TRICHUR DT, KERALA</t>
  </si>
  <si>
    <t xml:space="preserve">DINESH ITTY THOMAS</t>
  </si>
  <si>
    <t xml:space="preserve">0504551082</t>
  </si>
  <si>
    <t xml:space="preserve">4792350060</t>
  </si>
  <si>
    <t xml:space="preserve">dineshithomas@gmail.com</t>
  </si>
  <si>
    <t xml:space="preserve">PUTHENPURACKAL HOUSE,, VENMONY PO, CHENGANNUR,</t>
  </si>
  <si>
    <t xml:space="preserve">SANTHOSH K. KETTETH</t>
  </si>
  <si>
    <t xml:space="preserve">0506317912</t>
  </si>
  <si>
    <t xml:space="preserve">9995123420</t>
  </si>
  <si>
    <t xml:space="preserve">ketteth@gmail.com</t>
  </si>
  <si>
    <t xml:space="preserve">KRISHNA KRIPA, MANJUMMAL.PO, ERNAKULAM, KERALA</t>
  </si>
  <si>
    <t xml:space="preserve">ABDUL SALAM MOHAMMED</t>
  </si>
  <si>
    <t xml:space="preserve">0507781583</t>
  </si>
  <si>
    <t xml:space="preserve">4994282183</t>
  </si>
  <si>
    <t xml:space="preserve">salamt83@gmail.com</t>
  </si>
  <si>
    <t xml:space="preserve">K H HOUSE, ILYASNAGAR 13/296, PALLIKKERE.PO., BEKAL VIA, KASARAGOD, KERALA</t>
  </si>
  <si>
    <t xml:space="preserve">P.C.VARGHESE</t>
  </si>
  <si>
    <t xml:space="preserve">0506288730</t>
  </si>
  <si>
    <t xml:space="preserve">4762691188</t>
  </si>
  <si>
    <t xml:space="preserve">dgmemirates@yahoo.com</t>
  </si>
  <si>
    <t xml:space="preserve">PEEDIKATHARAYIL,NJAKKANAL,OACHIRA, KOLLAM, KERALA</t>
  </si>
  <si>
    <t xml:space="preserve">ANNAM VARUGHESE</t>
  </si>
  <si>
    <t xml:space="preserve">0505276486</t>
  </si>
  <si>
    <t xml:space="preserve">4692645289</t>
  </si>
  <si>
    <t xml:space="preserve">thomasket@yahoo.com</t>
  </si>
  <si>
    <t xml:space="preserve">KOCHUPURAKKAL HOUSE, EZHINJILLAM,PERUMTHURUTHY.PO, TIRUVALLA, PATHANAMTHITTA, KERALA</t>
  </si>
  <si>
    <t xml:space="preserve">SUBI SREEDHARAN</t>
  </si>
  <si>
    <t xml:space="preserve">0502147481</t>
  </si>
  <si>
    <t xml:space="preserve">4682214336</t>
  </si>
  <si>
    <t xml:space="preserve">subisreedharan@gmail.com</t>
  </si>
  <si>
    <t xml:space="preserve">SREENILAYAM,KOZHENCHERRY EAST, PATHANAMTHITTA KERALA</t>
  </si>
  <si>
    <t xml:space="preserve">RENJITH KUMAR.G</t>
  </si>
  <si>
    <t xml:space="preserve">0504889156</t>
  </si>
  <si>
    <t xml:space="preserve">renjithbudhanoor@gmail.com</t>
  </si>
  <si>
    <t xml:space="preserve">P.K.SADANAM,BUDHANOOR.PO.,VIA CHENGANNUR, ALLAPPUZHA DIST, KERALA, 0091 479 2465666</t>
  </si>
  <si>
    <t xml:space="preserve">MANOJ MATHEW</t>
  </si>
  <si>
    <t xml:space="preserve">0502683234</t>
  </si>
  <si>
    <t xml:space="preserve">manojmathew1977@live.com</t>
  </si>
  <si>
    <t xml:space="preserve">PUTHENPEEDIKAYIL MANOJ VILLA, MANTHUKA.PO, KULANADA, PATHANAMTHITTA, KERALA, 0091 473 4260520</t>
  </si>
  <si>
    <t xml:space="preserve">JIJOY GOPALAKRISHNAN</t>
  </si>
  <si>
    <t xml:space="preserve">0505390468</t>
  </si>
  <si>
    <t xml:space="preserve">4742752751</t>
  </si>
  <si>
    <t xml:space="preserve">jijoyg@gmail.com</t>
  </si>
  <si>
    <t xml:space="preserve">LEKSHMI SADANAM,KALLUMTHAZHAM.PO., KILIKOLLUR,KOLLAM,KERALA</t>
  </si>
  <si>
    <t xml:space="preserve">K.R.PRADEEP</t>
  </si>
  <si>
    <t xml:space="preserve">9995333399</t>
  </si>
  <si>
    <t xml:space="preserve">pradeepkuriakkottu@gmail.com</t>
  </si>
  <si>
    <t xml:space="preserve">KURIAKKOTTU HOUSE,PO.PUZHAKKAL, THRISSUR, KERALA</t>
  </si>
  <si>
    <t xml:space="preserve">IRSHAD ABDUL RAHIM</t>
  </si>
  <si>
    <t xml:space="preserve">0507297089</t>
  </si>
  <si>
    <t xml:space="preserve">irshadrahim@ymail.com</t>
  </si>
  <si>
    <t xml:space="preserve">SUSHAR, NEAR GOVT. HOSPITAL, KANNUR, KERALA</t>
  </si>
  <si>
    <t xml:space="preserve">AHAMED RAWTHER SHIBILY</t>
  </si>
  <si>
    <t xml:space="preserve">0506460657</t>
  </si>
  <si>
    <t xml:space="preserve">4752293227</t>
  </si>
  <si>
    <t xml:space="preserve">shibly1234@gmail.com</t>
  </si>
  <si>
    <t xml:space="preserve">'BAITH UL ANAS', OZHUKUPARAKAL-P.O.,, AYOOR, KOLLAM, KERALA</t>
  </si>
  <si>
    <t xml:space="preserve">NISHANTH.M.V</t>
  </si>
  <si>
    <t xml:space="preserve">0559491625</t>
  </si>
  <si>
    <t xml:space="preserve">4952855936</t>
  </si>
  <si>
    <t xml:space="preserve">mvnishanth_sn@outlook.com</t>
  </si>
  <si>
    <t xml:space="preserve">VALIYAPARAMBIL, NANMINDA, KOZHIKODE DT, KERALA</t>
  </si>
  <si>
    <t xml:space="preserve">DILEEP KAKKAT</t>
  </si>
  <si>
    <t xml:space="preserve">0506343167</t>
  </si>
  <si>
    <t xml:space="preserve">4942571267</t>
  </si>
  <si>
    <t xml:space="preserve">dileepkakkat@yahoo.com</t>
  </si>
  <si>
    <t xml:space="preserve">KAKKAT (H) KURUMBATHUR.PO, MALAPPURAM DT, KERALA</t>
  </si>
  <si>
    <t xml:space="preserve">BINU PHILIP</t>
  </si>
  <si>
    <t xml:space="preserve">0503604569</t>
  </si>
  <si>
    <t xml:space="preserve">4812468479</t>
  </si>
  <si>
    <t xml:space="preserve">brandriya@gmail.com</t>
  </si>
  <si>
    <t xml:space="preserve">CHERIPURATHU, THOTTAKKAD.PO, KOTTAYAM, KERALA</t>
  </si>
  <si>
    <t xml:space="preserve">RENJAN JACOB</t>
  </si>
  <si>
    <t xml:space="preserve">0566942861</t>
  </si>
  <si>
    <t xml:space="preserve">4742524241</t>
  </si>
  <si>
    <t xml:space="preserve">renjanjaco@gmail.com</t>
  </si>
  <si>
    <t xml:space="preserve">KULAKKADA KUDUMBAM, NEDUMPAIKULAM, KUNDARA, KOLLAM, KERALA</t>
  </si>
  <si>
    <t xml:space="preserve">JOSEPH.P.VARUGHESE</t>
  </si>
  <si>
    <t xml:space="preserve">0506265249</t>
  </si>
  <si>
    <t xml:space="preserve">info@unitedgroupllc.com</t>
  </si>
  <si>
    <t xml:space="preserve">PALACKATHARAYIL HOUSE, SEETHATHODE.PO, PATHANAMTHITTA, KERALA, 0091 9605200000/0091 9446777777</t>
  </si>
  <si>
    <t xml:space="preserve">SIYAB SIRAJUDDIN</t>
  </si>
  <si>
    <t xml:space="preserve">0503810301</t>
  </si>
  <si>
    <t xml:space="preserve">KIDANGHAZHIKAM, 4/297-A, PRIDYADARSINI HOUSING COLONY, MARADU.PO., ERNAKULAM, KERALA</t>
  </si>
  <si>
    <t xml:space="preserve">V.S.SUBHASH</t>
  </si>
  <si>
    <t xml:space="preserve">0553738387</t>
  </si>
  <si>
    <t xml:space="preserve">9999186227</t>
  </si>
  <si>
    <t xml:space="preserve">viyyathsubash@gmail.com</t>
  </si>
  <si>
    <t xml:space="preserve">VIYYATH HOUSE,PERUVANKULANGARA, OLLUR, NEAR CHIRA VIA TRICHUR, KERALA</t>
  </si>
  <si>
    <t xml:space="preserve">SOMAGIRI. K. KAIPPULLY</t>
  </si>
  <si>
    <t xml:space="preserve">0506300433</t>
  </si>
  <si>
    <t xml:space="preserve">48722783479961595959</t>
  </si>
  <si>
    <t xml:space="preserve">kk.somagiri@gmail.com</t>
  </si>
  <si>
    <t xml:space="preserve">KAIPPULLY HOUSE, KIZHAKKUMMURI.PO, PERINGOTTUKARA, THRISSUR, KERALA</t>
  </si>
  <si>
    <t xml:space="preserve">MANESH POULOSE</t>
  </si>
  <si>
    <t xml:space="preserve">0505492909</t>
  </si>
  <si>
    <t xml:space="preserve">4872554428</t>
  </si>
  <si>
    <t xml:space="preserve">maneshpoulosep@gmail.com</t>
  </si>
  <si>
    <t xml:space="preserve">PULIKKOTTIL HOUSE, THAIKKAD GURUVAYOOR, TRICHUR DT, KERALA</t>
  </si>
  <si>
    <t xml:space="preserve">SHAJI THOMAS</t>
  </si>
  <si>
    <t xml:space="preserve">0504589022</t>
  </si>
  <si>
    <t xml:space="preserve">4792414591</t>
  </si>
  <si>
    <t xml:space="preserve">shajiharipad@gmail.com</t>
  </si>
  <si>
    <t xml:space="preserve">PUTHEN PARAMBIL HOUSE,T.P.CENTRE,HARIPAD.PO., ALAPPUZHA, KERALA</t>
  </si>
  <si>
    <t xml:space="preserve">SHIBU ASANPURAKAL</t>
  </si>
  <si>
    <t xml:space="preserve">0558410182</t>
  </si>
  <si>
    <t xml:space="preserve">4872294711</t>
  </si>
  <si>
    <t xml:space="preserve">shibu@ntde.com</t>
  </si>
  <si>
    <t xml:space="preserve">ASANPURAKAL HOUSE, SHEEJA NIVAS, ANJANGADI, THRISSUR, KERALA</t>
  </si>
  <si>
    <t xml:space="preserve">SANTHOSH KRISHNAN NAIR</t>
  </si>
  <si>
    <t xml:space="preserve">0506350180</t>
  </si>
  <si>
    <t xml:space="preserve">4792349012</t>
  </si>
  <si>
    <t xml:space="preserve">lekha_san@yahoo.com</t>
  </si>
  <si>
    <t xml:space="preserve">AIKARA VEEDU,PALLARIMANGALAM.PO., ALLAPPUZHA DT, KERALA</t>
  </si>
  <si>
    <t xml:space="preserve">ABDUL AZEES HASSAN KUNJU</t>
  </si>
  <si>
    <t xml:space="preserve">0554644101</t>
  </si>
  <si>
    <t xml:space="preserve">aziemirates@gmail.com</t>
  </si>
  <si>
    <t xml:space="preserve">DARUSSALAM, KOOVALLOOR.PO,, PALLARIMANGALAM, ERNAKULAM, KERALA, 00914852563573</t>
  </si>
  <si>
    <t xml:space="preserve">PHALGUNAN NARSHAKODI</t>
  </si>
  <si>
    <t xml:space="preserve">0506343521</t>
  </si>
  <si>
    <t xml:space="preserve">babtexas.p@gmail.com</t>
  </si>
  <si>
    <t xml:space="preserve">VANNARKOL HOUSE, PO. ATTENGANAM, BELLUR, KASARAGOD, KERALA, 0091 4672246407</t>
  </si>
  <si>
    <t xml:space="preserve">BINU KAITHAVANA THOMAS</t>
  </si>
  <si>
    <t xml:space="preserve">0556509689</t>
  </si>
  <si>
    <t xml:space="preserve">4734224604</t>
  </si>
  <si>
    <t xml:space="preserve">binu.touch@gmail.com</t>
  </si>
  <si>
    <t xml:space="preserve">KAITHAVANA, ASHLEY VILLA,KARUVATTA, ADOOR.PO., PATHANAMTHITTA DIST, KERALA\</t>
  </si>
  <si>
    <t xml:space="preserve">AMARLAL VEEYYOTH</t>
  </si>
  <si>
    <t xml:space="preserve">0506720771</t>
  </si>
  <si>
    <t xml:space="preserve">4962537041</t>
  </si>
  <si>
    <t xml:space="preserve">amer014@gmail.com</t>
  </si>
  <si>
    <t xml:space="preserve">VEEYYOTH VIHARAM, PO.BADAGARA, KOZHIKODE, KERALA</t>
  </si>
  <si>
    <t xml:space="preserve">MANIKANDAN MELOTH</t>
  </si>
  <si>
    <t xml:space="preserve">0503608477</t>
  </si>
  <si>
    <t xml:space="preserve">4672285858</t>
  </si>
  <si>
    <t xml:space="preserve">manimeloth@hotmail.com</t>
  </si>
  <si>
    <t xml:space="preserve">41778 HAMARIYA FREE ZONE, MADHAVAM, PALLIKKALA,PO.NILESHWAR, KASARAGOD, KERALA</t>
  </si>
  <si>
    <t xml:space="preserve">JACOB PURAMATH JOHN</t>
  </si>
  <si>
    <t xml:space="preserve">0502611969</t>
  </si>
  <si>
    <t xml:space="preserve">47124321909037984877</t>
  </si>
  <si>
    <t xml:space="preserve">jacobjj@eim.ae</t>
  </si>
  <si>
    <t xml:space="preserve">T.C.4/2373, PURAMATH HOUSE, VIKRAMAPURAM HILL, KOWDIAR, TRIVANDRUM, KERALA</t>
  </si>
  <si>
    <t xml:space="preserve">MADHAVAN PILLAI MAHADEVAN</t>
  </si>
  <si>
    <t xml:space="preserve">0506356878</t>
  </si>
  <si>
    <t xml:space="preserve">9479243600105522307670557070397</t>
  </si>
  <si>
    <t xml:space="preserve">gretcco7@gmail.com</t>
  </si>
  <si>
    <t xml:space="preserve">VAZHASSERIL HOUSE, MALAMEL BHAGUM,, KARIYILAKULANGARA.PO.KAYAMKULAM, ALLEPEY, KERALA</t>
  </si>
  <si>
    <t xml:space="preserve">BIJI SREEDHARAN</t>
  </si>
  <si>
    <t xml:space="preserve">0505885794</t>
  </si>
  <si>
    <t xml:space="preserve">6282335345</t>
  </si>
  <si>
    <t xml:space="preserve">saji@gafoorkas.ae</t>
  </si>
  <si>
    <t xml:space="preserve">NEMOM.PO.,TRIVANDRUM, KERALA</t>
  </si>
  <si>
    <t xml:space="preserve">RATHEESH KANDATHIL VEEDU</t>
  </si>
  <si>
    <t xml:space="preserve">0559366200</t>
  </si>
  <si>
    <t xml:space="preserve">9747141687</t>
  </si>
  <si>
    <t xml:space="preserve">ratheeshchittey@yahoo.com</t>
  </si>
  <si>
    <t xml:space="preserve">CHITTEY HOUSE, ATHIYAMBOOR,POKANHANGAD, KASARAGOD, KERALA</t>
  </si>
  <si>
    <t xml:space="preserve">STANLY MANUAL</t>
  </si>
  <si>
    <t xml:space="preserve">0507578040</t>
  </si>
  <si>
    <t xml:space="preserve">4931230041</t>
  </si>
  <si>
    <t xml:space="preserve">stanlymanual@hotmail.com</t>
  </si>
  <si>
    <t xml:space="preserve">KUNNATHUMATTAM, PALUNDA, EDAKARA PO, MALAPPURAM DT, KERALA</t>
  </si>
  <si>
    <t xml:space="preserve">SAJIL ABOOTTY</t>
  </si>
  <si>
    <t xml:space="preserve">0551724545</t>
  </si>
  <si>
    <t xml:space="preserve">sajilabootty@gmail.com</t>
  </si>
  <si>
    <t xml:space="preserve">SABREENAS, KAKKANCHAL 7 TH MILE,, TALIPARAMBA, KANNUR DT, KERALA, 0091 9633858990</t>
  </si>
  <si>
    <t xml:space="preserve">C.P.MOHAN</t>
  </si>
  <si>
    <t xml:space="preserve">0506516675</t>
  </si>
  <si>
    <t xml:space="preserve">mohanmvk77@gmail.com</t>
  </si>
  <si>
    <t xml:space="preserve">POTHIYIL HOUSE, THATTARAMPALAM.PO, MAVELIKKARA, ALLEPPEY, KERALA, 0091 4972305977</t>
  </si>
  <si>
    <t xml:space="preserve">MURALIDHARAN NAMBIAR</t>
  </si>
  <si>
    <t xml:space="preserve">0582566879</t>
  </si>
  <si>
    <t xml:space="preserve">8251283729</t>
  </si>
  <si>
    <t xml:space="preserve">muralinaramthatta@gmail.com</t>
  </si>
  <si>
    <t xml:space="preserve">ELENTHAJE HOUSE, KAVACIHAR POST, ARIADKA VILL, PUTHUR, KARNATAKA</t>
  </si>
  <si>
    <t xml:space="preserve">V. KUTTAPPAN</t>
  </si>
  <si>
    <t xml:space="preserve">0557262723</t>
  </si>
  <si>
    <t xml:space="preserve">4703251359</t>
  </si>
  <si>
    <t xml:space="preserve">kuttappanalzahra@gmail.com</t>
  </si>
  <si>
    <t xml:space="preserve">PANAYIL VEEDU, VETTOOR, VARKALA, TRIVANDRUM, KERALA</t>
  </si>
  <si>
    <t xml:space="preserve">SREEJITH KOVVALIL</t>
  </si>
  <si>
    <t xml:space="preserve">0504815358</t>
  </si>
  <si>
    <t xml:space="preserve">467260302</t>
  </si>
  <si>
    <t xml:space="preserve">sreejithkovvalil@yahoo.com</t>
  </si>
  <si>
    <t xml:space="preserve">THOTTAMBADI HOUSE, MAICHA, CHERUVATHUR.PO, KASARAGOD DIST, KERALA</t>
  </si>
  <si>
    <t xml:space="preserve">P.V.SUKESAN</t>
  </si>
  <si>
    <t xml:space="preserve">0505472119</t>
  </si>
  <si>
    <t xml:space="preserve">9995091717</t>
  </si>
  <si>
    <t xml:space="preserve">sukesan@gmail.com</t>
  </si>
  <si>
    <t xml:space="preserve">POTTEKKAT HOUSE, H.NO. 58,, MURUGA NAGAR, PONKUNNAM, THRISSUR, KERALA</t>
  </si>
  <si>
    <t xml:space="preserve">BIJU KUMAR.V.S</t>
  </si>
  <si>
    <t xml:space="preserve">0503568606</t>
  </si>
  <si>
    <t xml:space="preserve">9946391527</t>
  </si>
  <si>
    <t xml:space="preserve">vsbijukumar@gmail.com</t>
  </si>
  <si>
    <t xml:space="preserve">VATTAVILAKATHU VEEDU,T.C.10/530, HOSPITAL ROAD, PEROORKADA.PO. TRIVANDRUM</t>
  </si>
  <si>
    <t xml:space="preserve">SAJU K.R.</t>
  </si>
  <si>
    <t xml:space="preserve">0505479250</t>
  </si>
  <si>
    <t xml:space="preserve">4829267213</t>
  </si>
  <si>
    <t xml:space="preserve">saju1695@gmail.com</t>
  </si>
  <si>
    <t xml:space="preserve">KALLUKADAVIL HOUSE,KALLARA SOUTH, KOTTAYAM,KERALA</t>
  </si>
  <si>
    <t xml:space="preserve">RAFEEK AHAMED</t>
  </si>
  <si>
    <t xml:space="preserve">0508148117</t>
  </si>
  <si>
    <t xml:space="preserve">rafeek.ahamed0@gmail.com</t>
  </si>
  <si>
    <t xml:space="preserve">KOLATU THARAYIL HOUSE, THAZHAVA.PO, KARUNAGAPPALLY, KOLLAM ,KERALA, 0091 476 2 622851</t>
  </si>
  <si>
    <t xml:space="preserve">JAYAN PUNNOOR KRISHNAPILLAI</t>
  </si>
  <si>
    <t xml:space="preserve">0505474704</t>
  </si>
  <si>
    <t xml:space="preserve">jayanpunnoor@gmail.com</t>
  </si>
  <si>
    <t xml:space="preserve">PUNNOOR HOUSE, IKARUNACHI, EDAKKARA.PO, MALAPPURAM DT, KERALA, 0091 9446 247966</t>
  </si>
  <si>
    <t xml:space="preserve">MATHUKUTTY FRANCIS</t>
  </si>
  <si>
    <t xml:space="preserve">0506772131</t>
  </si>
  <si>
    <t xml:space="preserve">8593937989</t>
  </si>
  <si>
    <t xml:space="preserve">joyalrawi@gmail.com</t>
  </si>
  <si>
    <t xml:space="preserve">PORIYATHU HOUSE,NARIANGANAM.PO., PLASSANAL, KOTTAYAM DT, KERALA</t>
  </si>
  <si>
    <t xml:space="preserve">KRISHNAPRASAD KORAPPATH</t>
  </si>
  <si>
    <t xml:space="preserve">0551057369</t>
  </si>
  <si>
    <t xml:space="preserve">4872250851</t>
  </si>
  <si>
    <t xml:space="preserve">kkrishprasad@hotmail.com</t>
  </si>
  <si>
    <t xml:space="preserve">VAISHNAVAM,KANAKKATH LANE,T.T.ROAD, OLLUR.PO.,THRISSUR,KERALA</t>
  </si>
  <si>
    <t xml:space="preserve">RINU TOM GEORGE</t>
  </si>
  <si>
    <t xml:space="preserve">0565894662</t>
  </si>
  <si>
    <t xml:space="preserve">6238301594</t>
  </si>
  <si>
    <t xml:space="preserve">rinutomgeorge85@gmail.com</t>
  </si>
  <si>
    <t xml:space="preserve">KANJIKUZHIYIL RANNI.PO., PATHANAMTHITTA, KERALA</t>
  </si>
  <si>
    <t xml:space="preserve">SURENDRAN AYYAPPAN</t>
  </si>
  <si>
    <t xml:space="preserve">0506465292</t>
  </si>
  <si>
    <t xml:space="preserve">4734270980</t>
  </si>
  <si>
    <t xml:space="preserve">jabaltoor@gmail.com</t>
  </si>
  <si>
    <t xml:space="preserve">MARANATTU HOUSE, KALANJOOR.PO., PATHANAMTHITTA POST, KERALA</t>
  </si>
  <si>
    <t xml:space="preserve">PRASAD DAMODHARAN</t>
  </si>
  <si>
    <t xml:space="preserve">0553264212</t>
  </si>
  <si>
    <t xml:space="preserve">7034512171</t>
  </si>
  <si>
    <t xml:space="preserve">prasadbare@gmail.com</t>
  </si>
  <si>
    <t xml:space="preserve">CHAVOK VALAPPIL HOUSE, MUKKUNNOTH, POST BARE,, UDMA, KASARAGOD DIST, KERALA</t>
  </si>
  <si>
    <t xml:space="preserve">RENJITH RAJ</t>
  </si>
  <si>
    <t xml:space="preserve">0558418466</t>
  </si>
  <si>
    <t xml:space="preserve">9447972437</t>
  </si>
  <si>
    <t xml:space="preserve">rnjthraj1@gmail.com</t>
  </si>
  <si>
    <t xml:space="preserve">RENJITH BHAVAN, AYLARA PO, KOLLAM, KERALA</t>
  </si>
  <si>
    <t xml:space="preserve">SANOOP T.SUBHASH</t>
  </si>
  <si>
    <t xml:space="preserve">0504839295</t>
  </si>
  <si>
    <t xml:space="preserve">4872682737</t>
  </si>
  <si>
    <t xml:space="preserve">sanoopbulls@gmail.com</t>
  </si>
  <si>
    <t xml:space="preserve">THAZHASSERY HOUSE, THOZHIYOOR POST, TRICHUR DIST, KERALA STATE</t>
  </si>
  <si>
    <t xml:space="preserve">SHUJINDRA KUMAR R.</t>
  </si>
  <si>
    <t xml:space="preserve">0506972913</t>
  </si>
  <si>
    <t xml:space="preserve">474514221</t>
  </si>
  <si>
    <t xml:space="preserve">jkgm2004@yahoo.com</t>
  </si>
  <si>
    <t xml:space="preserve">SARASWATHY VIHAR, MEENADU,, NEDUNGOLAM POST, KOLLAM</t>
  </si>
  <si>
    <t xml:space="preserve">ANWAR PANDIKADAVATH</t>
  </si>
  <si>
    <t xml:space="preserve">0506526509</t>
  </si>
  <si>
    <t xml:space="preserve">anwarnaha@hotmail.com</t>
  </si>
  <si>
    <t xml:space="preserve">NEKKUNNATH HOUSE, PARAPPANANGADI, MALAPPURAM DIST, KERALA</t>
  </si>
  <si>
    <t xml:space="preserve">AMEER.A.U</t>
  </si>
  <si>
    <t xml:space="preserve">0565342525</t>
  </si>
  <si>
    <t xml:space="preserve">amiblues002@yahoo.co.in</t>
  </si>
  <si>
    <t xml:space="preserve">ARAKKAVEETTIL HOUSE, B.S.ROAD, PO.VATANAPPALLY, THRISSUR, KERALA, 0091 487 2605558</t>
  </si>
  <si>
    <t xml:space="preserve">V.K.MOHAMMED NAZEER</t>
  </si>
  <si>
    <t xml:space="preserve">0559155524</t>
  </si>
  <si>
    <t xml:space="preserve">9656006666</t>
  </si>
  <si>
    <t xml:space="preserve">nazeer721@gmail.com</t>
  </si>
  <si>
    <t xml:space="preserve">VAIPANAKATTIL HOUSE, CHENTHRAPPIINNI, MATHILAKAM, TRICHUR DIST, KERALA</t>
  </si>
  <si>
    <t xml:space="preserve">MOHAMMED SHAFI ABDULL AHAJI</t>
  </si>
  <si>
    <t xml:space="preserve">0504626261</t>
  </si>
  <si>
    <t xml:space="preserve">mohd.alshafie@gmail.com</t>
  </si>
  <si>
    <t xml:space="preserve">DARUL SALAM, MUTTOM BAZAR.PO., VENGARA, KANNUR DT, KERALA</t>
  </si>
  <si>
    <t xml:space="preserve">MUHAMMADALI THAYULLATHIL</t>
  </si>
  <si>
    <t xml:space="preserve">0555573535</t>
  </si>
  <si>
    <t xml:space="preserve">9496353535</t>
  </si>
  <si>
    <t xml:space="preserve">aleeka3535@gmail.com</t>
  </si>
  <si>
    <t xml:space="preserve">THUVVAKUNNU.PO. CANNANORE, KERALA</t>
  </si>
  <si>
    <t xml:space="preserve">PRARATH ABDUL RAFIQ</t>
  </si>
  <si>
    <t xml:space="preserve">0506526718</t>
  </si>
  <si>
    <t xml:space="preserve">48702680993</t>
  </si>
  <si>
    <t xml:space="preserve">rafiqthozhu@gmail.com</t>
  </si>
  <si>
    <t xml:space="preserve">THOZHUKKATTIL HOUSE, KALLUR.PO, VADAKKEKAD VIA, TRICHUR DT-659562, KERALA</t>
  </si>
  <si>
    <t xml:space="preserve">SUDHAKARAN THALAPAN</t>
  </si>
  <si>
    <t xml:space="preserve">0505344619</t>
  </si>
  <si>
    <t xml:space="preserve">4985260527</t>
  </si>
  <si>
    <t xml:space="preserve">sudhakaranthalapan@gmail.com</t>
  </si>
  <si>
    <t xml:space="preserve">KODAKKAL HOUSE, PO. KARIVELLORE, KANNUR DT, KERALA</t>
  </si>
  <si>
    <t xml:space="preserve">MANOHARAN KUNDATHIL</t>
  </si>
  <si>
    <t xml:space="preserve">0506461162</t>
  </si>
  <si>
    <t xml:space="preserve">9633385477</t>
  </si>
  <si>
    <t xml:space="preserve">manohar.dubai@gmail.com</t>
  </si>
  <si>
    <t xml:space="preserve">KUNDATHIL HOUSE, EDAKKAD PO, KANNUR DT, KERALA</t>
  </si>
  <si>
    <t xml:space="preserve">M.G.MANI</t>
  </si>
  <si>
    <t xml:space="preserve">0506956864</t>
  </si>
  <si>
    <t xml:space="preserve">mani3manakody@gmail.com</t>
  </si>
  <si>
    <t xml:space="preserve">MENOTHU PARAMBIL, MANAKODY PO., TRICHUR, KERALA, 0091 487 2311381</t>
  </si>
  <si>
    <t xml:space="preserve">YOOSAF MUKOOD</t>
  </si>
  <si>
    <t xml:space="preserve">0566209702</t>
  </si>
  <si>
    <t xml:space="preserve">4672273075</t>
  </si>
  <si>
    <t xml:space="preserve">yoosufbismi@gmail.com</t>
  </si>
  <si>
    <t xml:space="preserve">THAVAL HOUSE, KEEKAN PO., PALLIKKERE, VIA KASARAGOD, KERALA</t>
  </si>
  <si>
    <t xml:space="preserve">MOHAMMED SHABEER PANAKKAD</t>
  </si>
  <si>
    <t xml:space="preserve">0503622866</t>
  </si>
  <si>
    <t xml:space="preserve">4962673287</t>
  </si>
  <si>
    <t xml:space="preserve">shabeerpanakkat@gmail.com</t>
  </si>
  <si>
    <t xml:space="preserve">SHAB ATHOLI, KONGANNUR, KOZHIKODE, KERALA.</t>
  </si>
  <si>
    <t xml:space="preserve">VINEETH MADHUSOODHANAN</t>
  </si>
  <si>
    <t xml:space="preserve">0556445747</t>
  </si>
  <si>
    <t xml:space="preserve">4672237886</t>
  </si>
  <si>
    <t xml:space="preserve">vineethvaniyan@gmail.com</t>
  </si>
  <si>
    <t xml:space="preserve">KARIKKAT HOUSE,PO.BARE VIA, UDMA, KASARAGOD, KERALA</t>
  </si>
  <si>
    <t xml:space="preserve">SREERAG NYAREKKAT</t>
  </si>
  <si>
    <t xml:space="preserve">0553417164</t>
  </si>
  <si>
    <t xml:space="preserve">4872380536</t>
  </si>
  <si>
    <t xml:space="preserve">sreerag.nyarekkat@gmail.com</t>
  </si>
  <si>
    <t xml:space="preserve">SREEGIRI LENIN NAGAR, POONKUNNAM, THRISSUR,KERALA</t>
  </si>
  <si>
    <t xml:space="preserve">ABDUL GAFOOR CHALLAKKARA</t>
  </si>
  <si>
    <t xml:space="preserve">0505843981</t>
  </si>
  <si>
    <t xml:space="preserve">4972842241</t>
  </si>
  <si>
    <t xml:space="preserve">gafoorc@gmail.com</t>
  </si>
  <si>
    <t xml:space="preserve">SAROO MANZIL, MATTUL.PO.,, KANNUR DT, KERALA</t>
  </si>
  <si>
    <t xml:space="preserve">KUNHI MOHAMED.S.</t>
  </si>
  <si>
    <t xml:space="preserve">0558118174</t>
  </si>
  <si>
    <t xml:space="preserve">9037515105</t>
  </si>
  <si>
    <t xml:space="preserve">sakmuhammed@gmail.com</t>
  </si>
  <si>
    <t xml:space="preserve">SRANKINTAKATH HOUSE, PO. PALAPETTY, DIST.MALAPPURAM ,KERALA</t>
  </si>
  <si>
    <t xml:space="preserve">RAHUL RAMACHANDRAN</t>
  </si>
  <si>
    <t xml:space="preserve">0567630816</t>
  </si>
  <si>
    <t xml:space="preserve">rahulramachandran1988@gmail.com</t>
  </si>
  <si>
    <t xml:space="preserve">KRISHNA NIVAS, PARAPPUKARA.PO.,, THRISSUR, KERALA, 04802791826</t>
  </si>
  <si>
    <t xml:space="preserve">PRABIN PRABHAKARAN</t>
  </si>
  <si>
    <t xml:space="preserve">0509640422</t>
  </si>
  <si>
    <t xml:space="preserve">9400700026</t>
  </si>
  <si>
    <t xml:space="preserve">prabhakaranprabin@gmail.com</t>
  </si>
  <si>
    <t xml:space="preserve">PRABHA HOUSE, PAYYOLI,AYANIKAD.PO., KOZHIKODE DT, KERALA</t>
  </si>
  <si>
    <t xml:space="preserve">THOMAS GEORGE</t>
  </si>
  <si>
    <t xml:space="preserve">0506317471</t>
  </si>
  <si>
    <t xml:space="preserve">4772710348</t>
  </si>
  <si>
    <t xml:space="preserve">thomas@eastfish-uae.ae</t>
  </si>
  <si>
    <t xml:space="preserve">KARUKAYIL HOUSE, KAINADY.PO, ALLEPPEY DT, KERALA</t>
  </si>
  <si>
    <t xml:space="preserve">ARIF SAFARULLA</t>
  </si>
  <si>
    <t xml:space="preserve">0503688804</t>
  </si>
  <si>
    <t xml:space="preserve">94400773324</t>
  </si>
  <si>
    <t xml:space="preserve">arifsafar@gmail.com</t>
  </si>
  <si>
    <t xml:space="preserve">SAJI MANZIL, PANGALKUNNU, PANGODE.PO, TRIVANDRUM DT, KERALA</t>
  </si>
  <si>
    <t xml:space="preserve">ABDU RAHIM KALATHINGAL</t>
  </si>
  <si>
    <t xml:space="preserve">0507655025</t>
  </si>
  <si>
    <t xml:space="preserve">8714336605</t>
  </si>
  <si>
    <t xml:space="preserve">ark976n@gmail.com</t>
  </si>
  <si>
    <t xml:space="preserve">KALATHINGAL HOUSE, PO.THENNALA, THARAYIL, MALAPPURAM DT, KERALA</t>
  </si>
  <si>
    <t xml:space="preserve">JOLLY VARGHESE</t>
  </si>
  <si>
    <t xml:space="preserve">0506568304</t>
  </si>
  <si>
    <t xml:space="preserve">4842690013</t>
  </si>
  <si>
    <t xml:space="preserve">almasshard@gmail.com</t>
  </si>
  <si>
    <t xml:space="preserve">VATHACHIRA HOUSE, PARIYAPURAM, MALAPPURAM DT, KERALA</t>
  </si>
  <si>
    <t xml:space="preserve">MOHAMMED HANEEFA SHAFEEK</t>
  </si>
  <si>
    <t xml:space="preserve">0506766005</t>
  </si>
  <si>
    <t xml:space="preserve">4722873435</t>
  </si>
  <si>
    <t xml:space="preserve">shafeekvenma@gmail.com</t>
  </si>
  <si>
    <t xml:space="preserve">MANKUZHY HOUSE, NAGARUKUZHI, PALAMKONAM, VENJARAMOODU, TRIVANDRUM KERALA</t>
  </si>
  <si>
    <t xml:space="preserve">CHANDRAN MEKKAT</t>
  </si>
  <si>
    <t xml:space="preserve">0506314598</t>
  </si>
  <si>
    <t xml:space="preserve">9048571477</t>
  </si>
  <si>
    <t xml:space="preserve">chandranvmuaq@gmail.com</t>
  </si>
  <si>
    <t xml:space="preserve">MEKKAT HOUSE,MADIKAI-P.O, NILESWAR, KASARAGOD,KERALA</t>
  </si>
  <si>
    <t xml:space="preserve">MOHAMMED SHAFI KOLAKKAT</t>
  </si>
  <si>
    <t xml:space="preserve">0509935186</t>
  </si>
  <si>
    <t xml:space="preserve">4942681286</t>
  </si>
  <si>
    <t xml:space="preserve">shafikolakatt@gmail.com</t>
  </si>
  <si>
    <t xml:space="preserve">KOLAKKAT HOUSE, THATTANPADI, EDAPPAL, MALAPPURAM DTA, KERALA</t>
  </si>
  <si>
    <t xml:space="preserve">BIJOY DAS</t>
  </si>
  <si>
    <t xml:space="preserve">0501001806</t>
  </si>
  <si>
    <t xml:space="preserve">hsbijoydas@yahoo.com</t>
  </si>
  <si>
    <t xml:space="preserve">98024 ABU SHAGARA, H.NO.225,SATHYA BHAVAN, VENPALAVATTOM-P.O., TRIVANDRUM-695029, 00919895909069</t>
  </si>
  <si>
    <t xml:space="preserve">NAMBALAT SURESH</t>
  </si>
  <si>
    <t xml:space="preserve">0503348687</t>
  </si>
  <si>
    <t xml:space="preserve">4872381277</t>
  </si>
  <si>
    <t xml:space="preserve">sureshnambalat@gmail.com</t>
  </si>
  <si>
    <t xml:space="preserve">SUJATHA VIHAR,MARAVANCHERY LANE, POONKUNNAM,TRICHUR,KERALA</t>
  </si>
  <si>
    <t xml:space="preserve">ABDUL AZIZ ANZAR</t>
  </si>
  <si>
    <t xml:space="preserve">0504976485</t>
  </si>
  <si>
    <t xml:space="preserve">9744538306</t>
  </si>
  <si>
    <t xml:space="preserve">anzar123@yahoo.com</t>
  </si>
  <si>
    <t xml:space="preserve">SHAHAL MANZIL,KILIKOLLOOR,KOLLAM-4, KERALA.</t>
  </si>
  <si>
    <t xml:space="preserve">BENNY PONNAMPIDI ANTONY</t>
  </si>
  <si>
    <t xml:space="preserve">0506394017</t>
  </si>
  <si>
    <t xml:space="preserve">9037020202</t>
  </si>
  <si>
    <t xml:space="preserve">bennieanthony@gmail.com</t>
  </si>
  <si>
    <t xml:space="preserve">PONNAMPIDI HOUSE, THOTTIPPAL.PO, THRISSUR DT, KERALA</t>
  </si>
  <si>
    <t xml:space="preserve">NADEER ALI</t>
  </si>
  <si>
    <t xml:space="preserve">0502016878</t>
  </si>
  <si>
    <t xml:space="preserve">4884282812</t>
  </si>
  <si>
    <t xml:space="preserve">nadeer@himatrix.com</t>
  </si>
  <si>
    <t xml:space="preserve">Flat No.901,Jamal Building,, Mohaisinah-4,Dubai.</t>
  </si>
  <si>
    <t xml:space="preserve">SURESH PUTHIYAPURAYIL</t>
  </si>
  <si>
    <t xml:space="preserve">0506559312</t>
  </si>
  <si>
    <t xml:space="preserve">7736604860</t>
  </si>
  <si>
    <t xml:space="preserve">sureshkashi@yahoo.com</t>
  </si>
  <si>
    <t xml:space="preserve">GURUKRIPA,UDMA,KASARAGOD Dt.,, KERALA,,PIN.671319</t>
  </si>
  <si>
    <t xml:space="preserve">SHIBU ZACHARIAH</t>
  </si>
  <si>
    <t xml:space="preserve">0569228844</t>
  </si>
  <si>
    <t xml:space="preserve">shibuaircon@gmail.com</t>
  </si>
  <si>
    <t xml:space="preserve">AMBALAVELIL HOUSE, KALLISSERY P.O.,, CHENGANNUR, ALLEPPEY, KERALA, PRAMOD VARILKOLILTHARAYIL GOVILNDA 3N319, 24995, SHARJAH, VARILKOLILTHARAYIL HOUSE, KOTTAMPALLY, OACHIRA,KOLLAM,KERALA-690526, 0091 4762690353</t>
  </si>
  <si>
    <t xml:space="preserve">ABDUL SATHAR .M.M.</t>
  </si>
  <si>
    <t xml:space="preserve">0504500351</t>
  </si>
  <si>
    <t xml:space="preserve">satharchettiyaden@yahoo.com</t>
  </si>
  <si>
    <t xml:space="preserve">CHETTIYATIL HOUSE,VYLATHUR.P.O.,, TRICHUR,KERALA.</t>
  </si>
  <si>
    <t xml:space="preserve">JAINY ANOOB</t>
  </si>
  <si>
    <t xml:space="preserve">0502085954</t>
  </si>
  <si>
    <t xml:space="preserve">9645157209</t>
  </si>
  <si>
    <t xml:space="preserve">jainyanoop@gmail.com</t>
  </si>
  <si>
    <t xml:space="preserve">RAJEEV NIVAS,PINDIMANA-P.O.,, KOTHAMANGALAM, ERNAKULAM,KERALA</t>
  </si>
  <si>
    <t xml:space="preserve">JOHN SAMUEL</t>
  </si>
  <si>
    <t xml:space="preserve">0506588195</t>
  </si>
  <si>
    <t xml:space="preserve">8138039393</t>
  </si>
  <si>
    <t xml:space="preserve">johnsuae@hotmail.com</t>
  </si>
  <si>
    <t xml:space="preserve">VALAM PARAMBIL, NIRANAM-P.O.,, THIRUVALLA, KERALA</t>
  </si>
  <si>
    <t xml:space="preserve">VENUGOPALAN NAIR K.</t>
  </si>
  <si>
    <t xml:space="preserve">0504287221</t>
  </si>
  <si>
    <t xml:space="preserve">918111972844</t>
  </si>
  <si>
    <t xml:space="preserve">venu9610@gmail.com</t>
  </si>
  <si>
    <t xml:space="preserve">SREE NILAYAM,ATTENGHANAM-P.O.,, KASARAGOD, KERALA</t>
  </si>
  <si>
    <t xml:space="preserve">PRATAP PRABHAKARAN ADIYODI</t>
  </si>
  <si>
    <t xml:space="preserve">0503628427</t>
  </si>
  <si>
    <t xml:space="preserve">9176807981</t>
  </si>
  <si>
    <t xml:space="preserve">pratap.adiyodi@gmail.com</t>
  </si>
  <si>
    <t xml:space="preserve">KOVILAKAM,K.P.HOUSE,, MANDUR-P.O.,KANNUR,KERALA-670501</t>
  </si>
  <si>
    <t xml:space="preserve">KUNHAMED V.P. MAMBARAT</t>
  </si>
  <si>
    <t xml:space="preserve">0506768710</t>
  </si>
  <si>
    <t xml:space="preserve">4972841202</t>
  </si>
  <si>
    <t xml:space="preserve">vepeeyem@gmail.com</t>
  </si>
  <si>
    <t xml:space="preserve">V.P.M.HOUSE, P.O.MATTOOL, NORTH, KANNOOR, KERALA</t>
  </si>
  <si>
    <t xml:space="preserve">CHRISTOPHER CHACKO</t>
  </si>
  <si>
    <t xml:space="preserve">0501679743</t>
  </si>
  <si>
    <t xml:space="preserve">christochacko84@gmail.com</t>
  </si>
  <si>
    <t xml:space="preserve">KUNDUPARAMBIL(H),CHALAMPADAM,, IRINJALAKUDA-P.O.,KERALA</t>
  </si>
  <si>
    <t xml:space="preserve">POOLAKKAL BEERAN</t>
  </si>
  <si>
    <t xml:space="preserve">0506574946</t>
  </si>
  <si>
    <t xml:space="preserve">9656613737</t>
  </si>
  <si>
    <t xml:space="preserve">maanupoolakkal100@gmail.com</t>
  </si>
  <si>
    <t xml:space="preserve">POOLAKKAL HOUSE,POST CODACAL-676108, MALAPPURAM,KERALA</t>
  </si>
  <si>
    <t xml:space="preserve">ISMAILKUTTY SHAJAHAN</t>
  </si>
  <si>
    <t xml:space="preserve">0506866774</t>
  </si>
  <si>
    <t xml:space="preserve">mdalbustangroup@gmail.com</t>
  </si>
  <si>
    <t xml:space="preserve">PARIPPALLIL THARAYIL,THRIKKUNNAPUZHA SOUTH, PATHARAM-P.O.,KOLLAM,KERALA</t>
  </si>
  <si>
    <t xml:space="preserve">GAYATHRY KUMKUMATH</t>
  </si>
  <si>
    <t xml:space="preserve">0527409106</t>
  </si>
  <si>
    <t xml:space="preserve">arabchemllc@gmail.com</t>
  </si>
  <si>
    <t xml:space="preserve">KUMKUMATH NO.XII,491,VAZHANI ROAD, ENKAKAD P.O.,TRICHUR DT.,KERALA-680590</t>
  </si>
  <si>
    <t xml:space="preserve">SABI SHAMSUDEEN</t>
  </si>
  <si>
    <t xml:space="preserve">0557107644</t>
  </si>
  <si>
    <t xml:space="preserve">thahashamsudeen@gmail.com</t>
  </si>
  <si>
    <t xml:space="preserve">SAJU HOUSE,THEKKIL,CHANAPARA P.O., KADAKKAL,KOLLAM</t>
  </si>
  <si>
    <t xml:space="preserve">RANJITH</t>
  </si>
  <si>
    <t xml:space="preserve">0554887017</t>
  </si>
  <si>
    <t xml:space="preserve">9400440523</t>
  </si>
  <si>
    <t xml:space="preserve">madikairanjith@gmail.com</t>
  </si>
  <si>
    <t xml:space="preserve">KOKKOT KUNNUMAL HOUSE,, P.O.AECHIKANAM, KASARGODE</t>
  </si>
  <si>
    <t xml:space="preserve">FAISAL PAKKIYARA MUHAMMED</t>
  </si>
  <si>
    <t xml:space="preserve">0553987777</t>
  </si>
  <si>
    <t xml:space="preserve">9895333338</t>
  </si>
  <si>
    <t xml:space="preserve">faisalpm999@yahoo.com</t>
  </si>
  <si>
    <t xml:space="preserve">MEETHAL MAVVAL,P.O.PALLIKERE,, KASARGOD-671316,KERALA</t>
  </si>
  <si>
    <t xml:space="preserve">PRAKASAN VAKKAYIL BHASKARAN</t>
  </si>
  <si>
    <t xml:space="preserve">0504847212</t>
  </si>
  <si>
    <t xml:space="preserve">95679620011</t>
  </si>
  <si>
    <t xml:space="preserve">prakash@yacht-intl.com</t>
  </si>
  <si>
    <t xml:space="preserve">VAKKAYIL HOUSE,EDAKKAZHIYOOR P.O.,, TRICHUR, KERALA.</t>
  </si>
  <si>
    <t xml:space="preserve">PRATHEEP KUMAR THANKAPPAN</t>
  </si>
  <si>
    <t xml:space="preserve">0506528263</t>
  </si>
  <si>
    <t xml:space="preserve">pratheepgct@gmail.com</t>
  </si>
  <si>
    <t xml:space="preserve">PUTHANPURAYIL HOUSE, P.O..KOODAL,, PATHANAMTHITTA, KERALA</t>
  </si>
  <si>
    <t xml:space="preserve">MOIDU PERUMPAREMMAL</t>
  </si>
  <si>
    <t xml:space="preserve">0506525049</t>
  </si>
  <si>
    <t xml:space="preserve">8086495475</t>
  </si>
  <si>
    <t xml:space="preserve">sheqooq@gmail.com</t>
  </si>
  <si>
    <t xml:space="preserve">PERUMPAREMMAL HOUSE,P.O. MOKERI,, KOZHIKODE-673516</t>
  </si>
  <si>
    <t xml:space="preserve">AJITH KUMAR</t>
  </si>
  <si>
    <t xml:space="preserve">0505675083</t>
  </si>
  <si>
    <t xml:space="preserve">ajithdubailand@gmail.com</t>
  </si>
  <si>
    <t xml:space="preserve">VETTATHARAKADA, ELAMANNOOR P.O.,, PATHANAMTHITTA, KERALA</t>
  </si>
  <si>
    <t xml:space="preserve">M.THAHIRALI</t>
  </si>
  <si>
    <t xml:space="preserve">0557067868</t>
  </si>
  <si>
    <t xml:space="preserve">onethahirone@gmail.com</t>
  </si>
  <si>
    <t xml:space="preserve">VNP HOUSE, POROPPAD P.O., ELAMBACHI,, KASARAGOD, KERALA-671311, 00914672210109</t>
  </si>
  <si>
    <t xml:space="preserve">SUNAND THAIVALAPPIL</t>
  </si>
  <si>
    <t xml:space="preserve">0559485379</t>
  </si>
  <si>
    <t xml:space="preserve">sunandkaruna@yahoo.co.in</t>
  </si>
  <si>
    <t xml:space="preserve">KARUNA, CHOOTTA PARAMBU P.O.,, EZHOME, KANNUR DIST.,KERALA</t>
  </si>
  <si>
    <t xml:space="preserve">VIKAS CHANDRAN</t>
  </si>
  <si>
    <t xml:space="preserve">0553217345</t>
  </si>
  <si>
    <t xml:space="preserve">9895582898</t>
  </si>
  <si>
    <t xml:space="preserve">vikaschandran@gmail.com</t>
  </si>
  <si>
    <t xml:space="preserve">KAUSTHUBAM,TC-7/1381/8,, VATTIYOORKAVU,TRIVANDRUM</t>
  </si>
  <si>
    <t xml:space="preserve">SUMESH PONNATH VIVEKANANDAN</t>
  </si>
  <si>
    <t xml:space="preserve">0553177080</t>
  </si>
  <si>
    <t xml:space="preserve">487229131600919847684418</t>
  </si>
  <si>
    <t xml:space="preserve">sumeshvivek@gmail.com</t>
  </si>
  <si>
    <t xml:space="preserve">PONNATH HOUSE, PO.THRITHALLOOR, THRISSUR DT, KERALA</t>
  </si>
  <si>
    <t xml:space="preserve">SIJU CHERIAN</t>
  </si>
  <si>
    <t xml:space="preserve">0557870114</t>
  </si>
  <si>
    <t xml:space="preserve">sijucherian77@gmail.com</t>
  </si>
  <si>
    <t xml:space="preserve">PODI MATTATHIL HOUSE,NEDUMKANDAM P.O.,, IDUKKI, KERALA-685553</t>
  </si>
  <si>
    <t xml:space="preserve">REGY PHILIP</t>
  </si>
  <si>
    <t xml:space="preserve">0502011577</t>
  </si>
  <si>
    <t xml:space="preserve">regypulooran@gmail.com</t>
  </si>
  <si>
    <t xml:space="preserve">PULOOR HOUSE,KOZHENCHERRY-P.O,, PATHANAMTHITTA,KERALA</t>
  </si>
  <si>
    <t xml:space="preserve">UMMER K.A.</t>
  </si>
  <si>
    <t xml:space="preserve">0505845746</t>
  </si>
  <si>
    <t xml:space="preserve">4994280222</t>
  </si>
  <si>
    <t xml:space="preserve">umerpanalam@gmail.com</t>
  </si>
  <si>
    <t xml:space="preserve">ERIYAL HOUSE, PANDALAM-P.O., ALAMPADY, KASARAGOD</t>
  </si>
  <si>
    <t xml:space="preserve">LENGUMON JOSEPH ALEXANDER</t>
  </si>
  <si>
    <t xml:space="preserve">0508099662</t>
  </si>
  <si>
    <t xml:space="preserve">lenjumon@eim.ae</t>
  </si>
  <si>
    <t xml:space="preserve">MURIKOLIPUZHA, PAZHAVANGADI P.O.,, PATTANAMTHITTA, KERALA</t>
  </si>
  <si>
    <t xml:space="preserve">STANLY BLESSON CHACKO</t>
  </si>
  <si>
    <t xml:space="preserve">0556717939</t>
  </si>
  <si>
    <t xml:space="preserve">stanly25689@gmail.com</t>
  </si>
  <si>
    <t xml:space="preserve">KIZHAKKADATHU VAZHUVADY, MAVELIKARA, KERALA</t>
  </si>
  <si>
    <t xml:space="preserve">RAJASEKHARAN VEDITHARAKKAL</t>
  </si>
  <si>
    <t xml:space="preserve">0557869912</t>
  </si>
  <si>
    <t xml:space="preserve">monarchfcllc@gmail.com</t>
  </si>
  <si>
    <t xml:space="preserve">VEDITHARAKKAL HOUSE,BEKAL -P.O.,, KASARAGOD DT, KERALA</t>
  </si>
  <si>
    <t xml:space="preserve">EBY JOHN CHERIAN</t>
  </si>
  <si>
    <t xml:space="preserve">0557044961</t>
  </si>
  <si>
    <t xml:space="preserve">8921890198</t>
  </si>
  <si>
    <t xml:space="preserve">ebypkdcherian@gmail.com</t>
  </si>
  <si>
    <t xml:space="preserve">VAYALA P.O.,ERATHU,, PATHANAMTHITTA, KERALA</t>
  </si>
  <si>
    <t xml:space="preserve">SAHAL KABEER KAMALUDEEN</t>
  </si>
  <si>
    <t xml:space="preserve">0554200787</t>
  </si>
  <si>
    <t xml:space="preserve">9446773333</t>
  </si>
  <si>
    <t xml:space="preserve">sahal@telcongroup.com</t>
  </si>
  <si>
    <t xml:space="preserve">KARAPPAMVEETTIL HOUSE, MARATHAMCODE,, THRISSUR, KERALA</t>
  </si>
  <si>
    <t xml:space="preserve">0506318150</t>
  </si>
  <si>
    <t xml:space="preserve">9495908888</t>
  </si>
  <si>
    <t xml:space="preserve">alexabba@eim.ae</t>
  </si>
  <si>
    <t xml:space="preserve">MURIKKOLIPUZHA HOUSE,PAZHAVANGADI POST,, RANNY-689673,PATHANAMTHITTA</t>
  </si>
  <si>
    <t xml:space="preserve">MUTHU JAYA CHANDRA</t>
  </si>
  <si>
    <t xml:space="preserve">0504983518</t>
  </si>
  <si>
    <t xml:space="preserve">jai@smartgiftuae.com</t>
  </si>
  <si>
    <t xml:space="preserve">VAYALAMKUZHI HOUSE,P.O.PERUMBALA, VIA KALNAD,KASARAGOD DIST.</t>
  </si>
  <si>
    <t xml:space="preserve">SREENIKETH</t>
  </si>
  <si>
    <t xml:space="preserve">0553647825</t>
  </si>
  <si>
    <t xml:space="preserve">KANIYATH HOUSE,PUTHIYAKAVU, P.O. MATHILAKAM,THRISSUR,KERALA</t>
  </si>
  <si>
    <t xml:space="preserve">PUSHPARAJAN KARIPPOTH</t>
  </si>
  <si>
    <t xml:space="preserve">0503006943</t>
  </si>
  <si>
    <t xml:space="preserve">prknair77@gmail.com</t>
  </si>
  <si>
    <t xml:space="preserve">KUTTIKKATTE VEEDU, P.KOZHUVAL,, NILESWAR, KASARAGOD, KERALA.</t>
  </si>
  <si>
    <t xml:space="preserve">ADV. SANTHOSH K. NAIR</t>
  </si>
  <si>
    <t xml:space="preserve">0557829934</t>
  </si>
  <si>
    <t xml:space="preserve">k.santhosh.adv@gmail.com</t>
  </si>
  <si>
    <t xml:space="preserve">DEVAKI MANDIRAM, EDANAD P.O.,PUTHENKAVU-VIA, CHENGANNOOR,ALAPPUZHA,KERALA</t>
  </si>
  <si>
    <t xml:space="preserve">SUDEEP KUMAR</t>
  </si>
  <si>
    <t xml:space="preserve">0559976324</t>
  </si>
  <si>
    <t xml:space="preserve">sudeepkbabu@gmail.com</t>
  </si>
  <si>
    <t xml:space="preserve">SREE KRISHNA,MANGALAPURAM,, THONNAKKAL-P.O.,TRIVANDRUM, 055 9976324</t>
  </si>
  <si>
    <t xml:space="preserve">NIHAZ NAZIMUDHEEN</t>
  </si>
  <si>
    <t xml:space="preserve">0553626009</t>
  </si>
  <si>
    <t xml:space="preserve">4872508464</t>
  </si>
  <si>
    <t xml:space="preserve">nihaznazim@gmail.com</t>
  </si>
  <si>
    <t xml:space="preserve">PUZHANGARA ILLATH,P.O.MUTUVATTOOR,, CHAVAKKAD, THRISSUR,KERALA</t>
  </si>
  <si>
    <t xml:space="preserve">KARAPPAMVEETTIL ABU NABEER</t>
  </si>
  <si>
    <t xml:space="preserve">0557722416</t>
  </si>
  <si>
    <t xml:space="preserve">8086111101</t>
  </si>
  <si>
    <t xml:space="preserve">ameer.ka@gmail.com</t>
  </si>
  <si>
    <t xml:space="preserve">KARAPPAMVEETTIL , PANNITHADAM, TRICHUR, KERALA</t>
  </si>
  <si>
    <t xml:space="preserve">GOPALAN KRISHNA KURUP</t>
  </si>
  <si>
    <t xml:space="preserve">0505501621</t>
  </si>
  <si>
    <t xml:space="preserve">famouskk@gmail.com</t>
  </si>
  <si>
    <t xml:space="preserve">CHEMPAKASSERIL, THAZHATTUKULAKKADA, P.O.KULAKKADA, KOLLAM, KERALA</t>
  </si>
  <si>
    <t xml:space="preserve">SAJEEV BHASKARAN</t>
  </si>
  <si>
    <t xml:space="preserve">0506959625</t>
  </si>
  <si>
    <t xml:space="preserve">bhaskar.sajeev@gmail.com</t>
  </si>
  <si>
    <t xml:space="preserve">REVATHI GARDENS, KOTTUPPURAM,, PARAVOOR, KOLLAM</t>
  </si>
  <si>
    <t xml:space="preserve">IQBAL AHMED HAJI</t>
  </si>
  <si>
    <t xml:space="preserve">0505767728</t>
  </si>
  <si>
    <t xml:space="preserve">iqbal2396@gmail.com</t>
  </si>
  <si>
    <t xml:space="preserve">CEERA VEETTIL HOUSE, MATTUL P.O., KANNUR, KERALA</t>
  </si>
  <si>
    <t xml:space="preserve">JIBY BABY</t>
  </si>
  <si>
    <t xml:space="preserve">0553034412</t>
  </si>
  <si>
    <t xml:space="preserve">jibybaby80@gmail.com</t>
  </si>
  <si>
    <t xml:space="preserve">KIZHAKKEVILA VEEDU, SADANANDAPURAM, KOTTARAKKARA, KERALA</t>
  </si>
  <si>
    <t xml:space="preserve">SAMEER KARYAKKARAN</t>
  </si>
  <si>
    <t xml:space="preserve">0509757575</t>
  </si>
  <si>
    <t xml:space="preserve">9656665656</t>
  </si>
  <si>
    <t xml:space="preserve">lvshameer@hotmail.com</t>
  </si>
  <si>
    <t xml:space="preserve">KARIYAKKARAN VALPATTANAM,, P.O.KANNUR DIST.,KERALA-670010</t>
  </si>
  <si>
    <t xml:space="preserve">THAMPAN NAIR T.</t>
  </si>
  <si>
    <t xml:space="preserve">0507631302</t>
  </si>
  <si>
    <t xml:space="preserve">thamban696@gmail.com</t>
  </si>
  <si>
    <t xml:space="preserve">VALAPOTH HOUSE, PARANANAVUM, KALANAD</t>
  </si>
  <si>
    <t xml:space="preserve">CYRIL FERNANDEZ</t>
  </si>
  <si>
    <t xml:space="preserve">0502009769</t>
  </si>
  <si>
    <t xml:space="preserve">lirinafernandez1970@gmail.com</t>
  </si>
  <si>
    <t xml:space="preserve">KUZHIYIL VEEDU,VALIYAVELI P.O.,, THIRUVANANTHAPURAM,KERALA, 919447226406</t>
  </si>
  <si>
    <t xml:space="preserve">SACHU VIJAYAN</t>
  </si>
  <si>
    <t xml:space="preserve">0503036748</t>
  </si>
  <si>
    <t xml:space="preserve">sachuvijayan91@gmail.com</t>
  </si>
  <si>
    <t xml:space="preserve">NICE VILLA, KAKKODU P.O., PUNALUR, KOLLAM, KERALA, 91 8547580676</t>
  </si>
  <si>
    <t xml:space="preserve">MOHANDAS GOPALAN NAIR</t>
  </si>
  <si>
    <t xml:space="preserve">0505175685</t>
  </si>
  <si>
    <t xml:space="preserve">mohandasgnair@gmail.com</t>
  </si>
  <si>
    <t xml:space="preserve">P.K.HOUSE,P.O.KODENCHERY,, KOZHIKODE- 673503</t>
  </si>
  <si>
    <t xml:space="preserve">GEORGE MATHAI</t>
  </si>
  <si>
    <t xml:space="preserve">0506469158</t>
  </si>
  <si>
    <t xml:space="preserve">gm@notredame.ae</t>
  </si>
  <si>
    <t xml:space="preserve">AZHUMANKALAYIL HOUSE, AYAMKUDY-P.O.,, KOTTAYAM, KERALA</t>
  </si>
  <si>
    <t xml:space="preserve">MOHAMMED HYDER</t>
  </si>
  <si>
    <t xml:space="preserve">0501676745</t>
  </si>
  <si>
    <t xml:space="preserve">hyderkottilil@gmail.com</t>
  </si>
  <si>
    <t xml:space="preserve">AL-HILAL,KOTTILIL HOUSE,, SUGAPURAMP.O., PIN-679576, KERALA</t>
  </si>
  <si>
    <t xml:space="preserve">AL SAHAR NASIMUDEEN</t>
  </si>
  <si>
    <t xml:space="preserve">0501662946</t>
  </si>
  <si>
    <t xml:space="preserve">alsaharns47@gmail.com</t>
  </si>
  <si>
    <t xml:space="preserve">FAROOK BANGLOW,KUMILI,, PALLIPURAM P.O.,TRIVANDRUM</t>
  </si>
  <si>
    <t xml:space="preserve">JUNAID AHMED</t>
  </si>
  <si>
    <t xml:space="preserve">0505251500</t>
  </si>
  <si>
    <t xml:space="preserve">junaidtv@gmail.com</t>
  </si>
  <si>
    <t xml:space="preserve">T.V.HOUSE,NEAR CMLP SCHOOL,, P.O.MATTOOL NORTH,KANNUR-670325</t>
  </si>
  <si>
    <t xml:space="preserve">VINOD KUMAR</t>
  </si>
  <si>
    <t xml:space="preserve">0503124074</t>
  </si>
  <si>
    <t xml:space="preserve">vinod1n@hotmail.com</t>
  </si>
  <si>
    <t xml:space="preserve">34/408, NATHANJINI,, VADAKKANTHARA, PALAKKAD-12</t>
  </si>
  <si>
    <t xml:space="preserve">SURENDRAN KUNHI RAMAN</t>
  </si>
  <si>
    <t xml:space="preserve">0502239509</t>
  </si>
  <si>
    <t xml:space="preserve">suruperiya@gmail.com</t>
  </si>
  <si>
    <t xml:space="preserve">PERIYA-P.O., PALLIKARA-(VIA), KASARGOD, KERALA</t>
  </si>
  <si>
    <t xml:space="preserve">ANWAR SADATH ABOBACKER</t>
  </si>
  <si>
    <t xml:space="preserve">0506799174</t>
  </si>
  <si>
    <t xml:space="preserve">sadathhitec@gmail.com</t>
  </si>
  <si>
    <t xml:space="preserve">NAVALATHUM PARAMBIL, KAVILPAD, HEMAMBIKA NAGAR, PALAKKAD, KERALA</t>
  </si>
  <si>
    <t xml:space="preserve">DERICK GEORGE</t>
  </si>
  <si>
    <t xml:space="preserve">0509879842</t>
  </si>
  <si>
    <t xml:space="preserve">alfaametalcoating@outlook.com</t>
  </si>
  <si>
    <t xml:space="preserve">PARAKKADAVIL HOUSE,CHANGANACHERRY,, AMARA-P.O.,KOTTAYAM, KERALA, 914812444728</t>
  </si>
  <si>
    <t xml:space="preserve">SALMANUL FARIS</t>
  </si>
  <si>
    <t xml:space="preserve">0551364137</t>
  </si>
  <si>
    <t xml:space="preserve">salmanulfaris@ymail.com</t>
  </si>
  <si>
    <t xml:space="preserve">AL-MANAR, KORICHIYIL P.O.,, THALASSEERY -2 , KERALA., 0091 9496533335</t>
  </si>
  <si>
    <t xml:space="preserve">FAISAL ABDUL KAREEM</t>
  </si>
  <si>
    <t xml:space="preserve">0581007783</t>
  </si>
  <si>
    <t xml:space="preserve">8129862219</t>
  </si>
  <si>
    <t xml:space="preserve">faipharma@gmail.com</t>
  </si>
  <si>
    <t xml:space="preserve">RAHMATH MANZIL, P.O.AKALAD,, THRISSUR, KERALA</t>
  </si>
  <si>
    <t xml:space="preserve">DONAL ALOYSIOUS</t>
  </si>
  <si>
    <t xml:space="preserve">0509578131</t>
  </si>
  <si>
    <t xml:space="preserve">7034422277</t>
  </si>
  <si>
    <t xml:space="preserve">donalaloysious@yahoo.com</t>
  </si>
  <si>
    <t xml:space="preserve">BABY VILLA, MEKKADU, CHAVARA - P.O., KOLLAM</t>
  </si>
  <si>
    <t xml:space="preserve">BABU PATTIRETHU MADHAVAN</t>
  </si>
  <si>
    <t xml:space="preserve">0558931312</t>
  </si>
  <si>
    <t xml:space="preserve">9947718671</t>
  </si>
  <si>
    <t xml:space="preserve">PATTIRATHU HOUSE, ELAVAMTHITTA P.O.,, PATHANAMTHITTA, KERALA</t>
  </si>
  <si>
    <t xml:space="preserve">SURESH KUMAR GOVINDAN</t>
  </si>
  <si>
    <t xml:space="preserve">0507654954</t>
  </si>
  <si>
    <t xml:space="preserve">dasadvt@gmail.com</t>
  </si>
  <si>
    <t xml:space="preserve">KANJIKAL HOUSE,PULIMEL,PATTOOR P.O.,, NOORANAD, ALLEPPEY-690529</t>
  </si>
  <si>
    <t xml:space="preserve">BIJU THOMAS</t>
  </si>
  <si>
    <t xml:space="preserve">0561903295</t>
  </si>
  <si>
    <t xml:space="preserve">4742663933</t>
  </si>
  <si>
    <t xml:space="preserve">bincybiju1@gmail.com</t>
  </si>
  <si>
    <t xml:space="preserve">MUKKIL HOUSE, KARICKOM P.O.,, KOTTARAKKARA, KERALA.</t>
  </si>
  <si>
    <t xml:space="preserve">SASANKAN SAHADEVAN</t>
  </si>
  <si>
    <t xml:space="preserve">0506536726</t>
  </si>
  <si>
    <t xml:space="preserve">sasankan.ihap@gmail.com</t>
  </si>
  <si>
    <t xml:space="preserve">KALLUVILA VEEDU,MELKADAKKAVUR POST,, KADAKKAVOOR, TRIVANDRUM</t>
  </si>
  <si>
    <t xml:space="preserve">SHARAFATH ALI BAJAKUDLU</t>
  </si>
  <si>
    <t xml:space="preserve">0505223842</t>
  </si>
  <si>
    <t xml:space="preserve">sharafathali.bajakudlu@gmail.com</t>
  </si>
  <si>
    <t xml:space="preserve">9/188, BAJAKUDLU,PERLA-P.O.,, KASARGOD-671552, KERALA.</t>
  </si>
  <si>
    <t xml:space="preserve">LIJU VARGHESE</t>
  </si>
  <si>
    <t xml:space="preserve">0502502090</t>
  </si>
  <si>
    <t xml:space="preserve">varunnyliju@yahoo.co.in</t>
  </si>
  <si>
    <t xml:space="preserve">MENOTH HOUSE, WEST CHALAKUDY, CHALAKUDY-P.O.,THRISSUR., 914802708156</t>
  </si>
  <si>
    <t xml:space="preserve">SAMSON PAULOSE</t>
  </si>
  <si>
    <t xml:space="preserve">0502164795</t>
  </si>
  <si>
    <t xml:space="preserve">samsonpaulose@gmail.com</t>
  </si>
  <si>
    <t xml:space="preserve">ELENJICKAMALY (H), KOMBANAD-P.O.,, PERUMBAVOOR, ERNAKULAM, KERALA</t>
  </si>
  <si>
    <t xml:space="preserve">AMMED PAROLIKANDIYIL</t>
  </si>
  <si>
    <t xml:space="preserve">0559114368</t>
  </si>
  <si>
    <t xml:space="preserve">ahmedparoli@yahoo.com</t>
  </si>
  <si>
    <t xml:space="preserve">PAROLIKANDIYIL HOUSE,P.O.PULIYAVIL VIA ,, PARAKKADAVU,KOZHIKODE</t>
  </si>
  <si>
    <t xml:space="preserve">AMEERALI MANAKKAT</t>
  </si>
  <si>
    <t xml:space="preserve">0504542840</t>
  </si>
  <si>
    <t xml:space="preserve">ameeralimtp004@gmail.com</t>
  </si>
  <si>
    <t xml:space="preserve">METTEMMEL, P.O. ELEMBACHI,, KANNUR, KERALA</t>
  </si>
  <si>
    <t xml:space="preserve">JAYAKRISHNAN S.K.</t>
  </si>
  <si>
    <t xml:space="preserve">0507246192</t>
  </si>
  <si>
    <t xml:space="preserve">9847861235</t>
  </si>
  <si>
    <t xml:space="preserve">thejayakrishnan@gmail.com</t>
  </si>
  <si>
    <t xml:space="preserve">IKKARAMADATHIL, PODIYADI-P.O.,, THIRUVALLA,KERALA</t>
  </si>
  <si>
    <t xml:space="preserve">SREE KUMAR V.P.</t>
  </si>
  <si>
    <t xml:space="preserve">0504812320</t>
  </si>
  <si>
    <t xml:space="preserve">sreemaya99@gmail.com</t>
  </si>
  <si>
    <t xml:space="preserve">PUTHEN PURAKAL,SOORANAD NORTH P.O.,, KOLLAM, KERALA.</t>
  </si>
  <si>
    <t xml:space="preserve">ANWAR ABOOBUCKER</t>
  </si>
  <si>
    <t xml:space="preserve">0507566674</t>
  </si>
  <si>
    <t xml:space="preserve">9447777711</t>
  </si>
  <si>
    <t xml:space="preserve">alzaier@hotmail.com</t>
  </si>
  <si>
    <t xml:space="preserve">P.O.EDATHURUTHY, KUTTAMANGALAM,, THRISSUR, KERALA</t>
  </si>
  <si>
    <t xml:space="preserve">SHAJAHAN PUTHAN PURAKKAL</t>
  </si>
  <si>
    <t xml:space="preserve">0505418065</t>
  </si>
  <si>
    <t xml:space="preserve">4942650921</t>
  </si>
  <si>
    <t xml:space="preserve">shajahan@powergasglobal.com</t>
  </si>
  <si>
    <t xml:space="preserve">P. O. OTHALOOR WEST, VIA KOKKUR,, MALAPPURAM-679591, KERALA</t>
  </si>
  <si>
    <t xml:space="preserve">SURESH KRISHNAN</t>
  </si>
  <si>
    <t xml:space="preserve">0529086191</t>
  </si>
  <si>
    <t xml:space="preserve">9947539873</t>
  </si>
  <si>
    <t xml:space="preserve">3151211@emirates.com</t>
  </si>
  <si>
    <t xml:space="preserve">K.S.MANDIRAM, MANGAD,, PARAPPARA-P.O, VITHURA-695551</t>
  </si>
  <si>
    <t xml:space="preserve">PRADEESH CHITHARA</t>
  </si>
  <si>
    <t xml:space="preserve">0558680919</t>
  </si>
  <si>
    <t xml:space="preserve">pradiuae1@yahoo.com</t>
  </si>
  <si>
    <t xml:space="preserve">ASHA MANDIRAM, CHITHARA,, KOLLAM, KERALA., 0091 9605007926, 9946001963</t>
  </si>
  <si>
    <t xml:space="preserve">ABDU SHUKOOR M.K.</t>
  </si>
  <si>
    <t xml:space="preserve">0505665272</t>
  </si>
  <si>
    <t xml:space="preserve">shukurchavakad@gmail.com</t>
  </si>
  <si>
    <t xml:space="preserve">NALAKATH HOUSE,MANATHALA, CHAVAKAD,THRISSUR,KERALA</t>
  </si>
  <si>
    <t xml:space="preserve">BIJOY MATHEW</t>
  </si>
  <si>
    <t xml:space="preserve">0507679286</t>
  </si>
  <si>
    <t xml:space="preserve">9495717463</t>
  </si>
  <si>
    <t xml:space="preserve">bijoymathew77@gmail.com</t>
  </si>
  <si>
    <t xml:space="preserve">THOPPIL KALATHIL HOUSE, NEAR B-ED COLLEGE,, THIRUVALLA, PATHANAMTHITTA.</t>
  </si>
  <si>
    <t xml:space="preserve">KUNHI KANNAN PALAKUNNIL VEETTIL</t>
  </si>
  <si>
    <t xml:space="preserve">0556287329</t>
  </si>
  <si>
    <t xml:space="preserve">mail4pvkk@gmail.com</t>
  </si>
  <si>
    <t xml:space="preserve">KADAMBARI HOUSE, PALLAM,, UDMA-P.O., KASARAGOD,KERALA-671319.</t>
  </si>
  <si>
    <t xml:space="preserve">SHIBU KUNJAMMA JOHN</t>
  </si>
  <si>
    <t xml:space="preserve">0506458409</t>
  </si>
  <si>
    <t xml:space="preserve">shibu6927@gmail.com</t>
  </si>
  <si>
    <t xml:space="preserve">PAZHAYIDATHUMARY LAND,KURATTIZERY,, MANNAR-P.O.,ALLEPPY, KERALA.</t>
  </si>
  <si>
    <t xml:space="preserve">SANOOJ OOMMEN</t>
  </si>
  <si>
    <t xml:space="preserve">0553779172</t>
  </si>
  <si>
    <t xml:space="preserve">9605771512</t>
  </si>
  <si>
    <t xml:space="preserve">sanooj002@gmail.com</t>
  </si>
  <si>
    <t xml:space="preserve">POONAM PALLIL PUTHEN VEEDU,S.V.MARKET,, KOZHIKODE, KARUNAGAPALLY, KOLLAM, KERALA</t>
  </si>
  <si>
    <t xml:space="preserve">BIJU DAMODARAN</t>
  </si>
  <si>
    <t xml:space="preserve">0553656894</t>
  </si>
  <si>
    <t xml:space="preserve">bijuds77@gmail.com</t>
  </si>
  <si>
    <t xml:space="preserve">THENGUVILA VEEDU, GOVINDAMANGALAM, KADAKKAL.PO. KOLLAM KERALA</t>
  </si>
  <si>
    <t xml:space="preserve">SUBI VASUDEVAN</t>
  </si>
  <si>
    <t xml:space="preserve">0506243148</t>
  </si>
  <si>
    <t xml:space="preserve">7594819277</t>
  </si>
  <si>
    <t xml:space="preserve">subivasu2@gmail.com</t>
  </si>
  <si>
    <t xml:space="preserve">PULAMBI HOUSE, PO.THALIKULAM, TRICHUR DT, KERALA</t>
  </si>
  <si>
    <t xml:space="preserve">RAMIA RAMADAS</t>
  </si>
  <si>
    <t xml:space="preserve">0506328926</t>
  </si>
  <si>
    <t xml:space="preserve">9526235193</t>
  </si>
  <si>
    <t xml:space="preserve">ramiarnn@gmail.com</t>
  </si>
  <si>
    <t xml:space="preserve">NEELANJANAM POST, VIYYOOR, TRICHUR, KERALA</t>
  </si>
  <si>
    <t xml:space="preserve">SUNIL RAJ</t>
  </si>
  <si>
    <t xml:space="preserve">0553840038</t>
  </si>
  <si>
    <t xml:space="preserve">sunilrajk@gmail.com</t>
  </si>
  <si>
    <t xml:space="preserve">IRATTU HOUSE, AYYANKAVU TEMPLE ROAD, IRINJALAKUDA, THRISSUR, KERALA</t>
  </si>
  <si>
    <t xml:space="preserve">BOBY THOMAS</t>
  </si>
  <si>
    <t xml:space="preserve">0556322766</t>
  </si>
  <si>
    <t xml:space="preserve">jrbbobythomas@gmail.com</t>
  </si>
  <si>
    <t xml:space="preserve">KONUKKUDY HOUSE, NEELESWARAM.PO., KALADY, KERALA, 0091 484 246 6405</t>
  </si>
  <si>
    <t xml:space="preserve">SHERIN SARAH MATHEW</t>
  </si>
  <si>
    <t xml:space="preserve">0507693494</t>
  </si>
  <si>
    <t xml:space="preserve">MANAKADAMPALLIL HOUSE, AYROR SOUTH, PATHANAMTHITTA, KERALA</t>
  </si>
  <si>
    <t xml:space="preserve">ARIF EBRAHIM</t>
  </si>
  <si>
    <t xml:space="preserve">0552173160</t>
  </si>
  <si>
    <t xml:space="preserve">arifdasurkar@gmail.com</t>
  </si>
  <si>
    <t xml:space="preserve">204,HUMA PARK BUILDING,KAUSA, MUMBRA,DIST.THANE-400612,MAHARASTRA.</t>
  </si>
  <si>
    <t xml:space="preserve">CHANDRAN K. N.</t>
  </si>
  <si>
    <t xml:space="preserve">0557720114</t>
  </si>
  <si>
    <t xml:space="preserve">9400667567</t>
  </si>
  <si>
    <t xml:space="preserve">chandrankn@gmail.com</t>
  </si>
  <si>
    <t xml:space="preserve">KURUVATH HOUSE,KIZHAKKUMURI,, PERINGOTTUKARA,THRISSUR, KERALA.</t>
  </si>
  <si>
    <t xml:space="preserve">BAIJU THAMARASSERIL JOHN</t>
  </si>
  <si>
    <t xml:space="preserve">0556857083</t>
  </si>
  <si>
    <t xml:space="preserve">4682349896</t>
  </si>
  <si>
    <t xml:space="preserve">thbaiju@gmail.com</t>
  </si>
  <si>
    <t xml:space="preserve">THAMARASSERIL HOUSE, KIZHAKKUPURAM P.O.,, KUMBAZHA, PATHANAMTHITTA.</t>
  </si>
  <si>
    <t xml:space="preserve">NEGI JAMES</t>
  </si>
  <si>
    <t xml:space="preserve">0504815821</t>
  </si>
  <si>
    <t xml:space="preserve">nejijames@gmail.com</t>
  </si>
  <si>
    <t xml:space="preserve">MARUTHUMPARACKAL HOUSE, H.NO.V-73,, PUNNECKAD,KEERAMPARA-P.O.,KOTHAMANGALAM, ERNAKULAM</t>
  </si>
  <si>
    <t xml:space="preserve">ANU M.BABY</t>
  </si>
  <si>
    <t xml:space="preserve">0506814340</t>
  </si>
  <si>
    <t xml:space="preserve">anu.baby@ae.luluexchange.com</t>
  </si>
  <si>
    <t xml:space="preserve">MULAMTHADATHIL,THOLICODU P.O.,, PUNALUR, KOLLAM, KERALA</t>
  </si>
  <si>
    <t xml:space="preserve">LINEESH PADMANABHAN</t>
  </si>
  <si>
    <t xml:space="preserve">0559643399</t>
  </si>
  <si>
    <t xml:space="preserve">linesh.nambiar@gmail.com</t>
  </si>
  <si>
    <t xml:space="preserve">SREE PADMAM HOUSE,, VATAKARA, KOZHIKODE</t>
  </si>
  <si>
    <t xml:space="preserve">ABDUL BASHEER M.K.</t>
  </si>
  <si>
    <t xml:space="preserve">0503454841</t>
  </si>
  <si>
    <t xml:space="preserve">7994476787</t>
  </si>
  <si>
    <t xml:space="preserve">bashrbekal@gmail.com</t>
  </si>
  <si>
    <t xml:space="preserve">MABROOK MANZIL, ILLYAS NAGAR, BEKAL,, PALLIKERE P.O., KASARGOD, KERALA-671316.</t>
  </si>
  <si>
    <t xml:space="preserve">ANIL PAPPACHAN</t>
  </si>
  <si>
    <t xml:space="preserve">0505453460</t>
  </si>
  <si>
    <t xml:space="preserve">anilpappachan18@gmail.com</t>
  </si>
  <si>
    <t xml:space="preserve">AREEKARA PUTHEN VEEDU,, PERUNGALA - P.O., ALAPUZHA</t>
  </si>
  <si>
    <t xml:space="preserve">VIVEK T. VENUGOPAL</t>
  </si>
  <si>
    <t xml:space="preserve">0561949676</t>
  </si>
  <si>
    <t xml:space="preserve">vivekvenugopal86@yahoo.com</t>
  </si>
  <si>
    <t xml:space="preserve">THOTTAPPILLY HOUSE, P.O.POOPPATHY,, THRISSUR DIST.- 680733</t>
  </si>
  <si>
    <t xml:space="preserve">REJEESH KINATTINKARA</t>
  </si>
  <si>
    <t xml:space="preserve">0506303385</t>
  </si>
  <si>
    <t xml:space="preserve">krejeeshnair@gmail.com</t>
  </si>
  <si>
    <t xml:space="preserve">VENGAYIL ANAKKALLU HOUSE, BALAL -P.O.,, PARAPPA VIA,KASARAGOD , KERALA-671533</t>
  </si>
  <si>
    <t xml:space="preserve">DEVASIA THOMAS ( BIJI THOMAS)</t>
  </si>
  <si>
    <t xml:space="preserve">0505861335</t>
  </si>
  <si>
    <t xml:space="preserve">cidevasia@yahoo.com</t>
  </si>
  <si>
    <t xml:space="preserve">PANIKKAN PARAMBIL HOUSE, NALUKODY P.O.,, CHANGANACHERRY, KOTTAYAM, KERALA</t>
  </si>
  <si>
    <t xml:space="preserve">WILSON THOMAS</t>
  </si>
  <si>
    <t xml:space="preserve">0504546811</t>
  </si>
  <si>
    <t xml:space="preserve">wilsonthomas16@hotmail.com</t>
  </si>
  <si>
    <t xml:space="preserve">NEDUMPACHAYIL VEEDU,MAVILA,, AREEPLACHI P.O.,KOLLAM,KERALA.</t>
  </si>
  <si>
    <t xml:space="preserve">SUBIN SUGARAJAN</t>
  </si>
  <si>
    <t xml:space="preserve">0557893581</t>
  </si>
  <si>
    <t xml:space="preserve">8129896508</t>
  </si>
  <si>
    <t xml:space="preserve">subinrajan789@gmail.com</t>
  </si>
  <si>
    <t xml:space="preserve">POLIYARA VEEDU, EDAYADI,, BOOTHAKULAM, KOLLAM</t>
  </si>
  <si>
    <t xml:space="preserve">SAJU SAMBAN</t>
  </si>
  <si>
    <t xml:space="preserve">0504574090</t>
  </si>
  <si>
    <t xml:space="preserve">9961248456</t>
  </si>
  <si>
    <t xml:space="preserve">sajuriviera@gmail.com</t>
  </si>
  <si>
    <t xml:space="preserve">SABITHA BHAVAN, PERUMKULAM-P.O.,, ATTINGAL, KERALA</t>
  </si>
  <si>
    <t xml:space="preserve">SHABEER A.C.</t>
  </si>
  <si>
    <t xml:space="preserve">0509068844</t>
  </si>
  <si>
    <t xml:space="preserve">7994641531</t>
  </si>
  <si>
    <t xml:space="preserve">shaby.ac@gmail.com</t>
  </si>
  <si>
    <t xml:space="preserve">A.C.HOUSE,NO.MP IX/351,NEAR R.C.CHURCH,, MADAYI POST,KANNUR-670304.</t>
  </si>
  <si>
    <t xml:space="preserve">JAMALUDDEEN</t>
  </si>
  <si>
    <t xml:space="preserve">0506337510</t>
  </si>
  <si>
    <t xml:space="preserve">jamal@rajay-intl.com</t>
  </si>
  <si>
    <t xml:space="preserve">KOLAKKADATHIL HOUSE, P.O.PALERI,, VIA KUTTIADI, CALICUT, KERALA</t>
  </si>
  <si>
    <t xml:space="preserve">SHAJI MAMMEN</t>
  </si>
  <si>
    <t xml:space="preserve">0506457664</t>
  </si>
  <si>
    <t xml:space="preserve">shaji@alsadeel.com</t>
  </si>
  <si>
    <t xml:space="preserve">ETTUPARAYIL,PANDANKARY P.O.,, EDATHUA, ALAPPUZHA, KERALA.</t>
  </si>
  <si>
    <t xml:space="preserve">PRAVEEN KAMALAKSHAN</t>
  </si>
  <si>
    <t xml:space="preserve">0506780521</t>
  </si>
  <si>
    <t xml:space="preserve">praveenkamal@yahoo.com</t>
  </si>
  <si>
    <t xml:space="preserve">SOUPARNIKA, BEKAL- P.O.,, KASARAGOD, KERALA</t>
  </si>
  <si>
    <t xml:space="preserve">PRAMOD PUTHIYA VEETIL</t>
  </si>
  <si>
    <t xml:space="preserve">0559426949</t>
  </si>
  <si>
    <t xml:space="preserve">pramod.v.nileshwar@gmail.com</t>
  </si>
  <si>
    <t xml:space="preserve">VAININGAL HOUSE, BENGALAM POST,, NEELESHWRAM, KASARAGOD, 0091 9495457140</t>
  </si>
  <si>
    <t xml:space="preserve">SHAREEN ISMAIL</t>
  </si>
  <si>
    <t xml:space="preserve">0504828519</t>
  </si>
  <si>
    <t xml:space="preserve">4792353667</t>
  </si>
  <si>
    <t xml:space="preserve">shareen.ismail@yahoo.com</t>
  </si>
  <si>
    <t xml:space="preserve">SHAREEN VILLA, ALLEPPY,, KERALA</t>
  </si>
  <si>
    <t xml:space="preserve">RATHEESH ADINCHAL</t>
  </si>
  <si>
    <t xml:space="preserve">0503645677</t>
  </si>
  <si>
    <t xml:space="preserve">amrutha45677@gmail.com</t>
  </si>
  <si>
    <t xml:space="preserve">MANIKOTHU HOUSE,POST MANIKOTH,, KANJANHAD, KASARAGOD, KERALA.</t>
  </si>
  <si>
    <t xml:space="preserve">MOIDUNNY KUTTY ALATHAYIL</t>
  </si>
  <si>
    <t xml:space="preserve">0503844400</t>
  </si>
  <si>
    <t xml:space="preserve">moidunny@akmalgroup.com</t>
  </si>
  <si>
    <t xml:space="preserve">ALATHAYIL HOUSE,AKALAD,NR.BACKERPALLY,, PUNNAYUR,THRISSUR, KERALA-680518.</t>
  </si>
  <si>
    <t xml:space="preserve">SHAJU KALLIDUMBIL</t>
  </si>
  <si>
    <t xml:space="preserve">0562031162</t>
  </si>
  <si>
    <t xml:space="preserve">9961402702</t>
  </si>
  <si>
    <t xml:space="preserve">shaju.kalidumbil@gmail.com</t>
  </si>
  <si>
    <t xml:space="preserve">KALLIDUMBIL HOUSE, KOZHICHENA, MALAPPURAM, P.O.THENMALA</t>
  </si>
  <si>
    <t xml:space="preserve">SURESH BHASKARAN</t>
  </si>
  <si>
    <t xml:space="preserve">0558811062</t>
  </si>
  <si>
    <t xml:space="preserve">9495952299</t>
  </si>
  <si>
    <t xml:space="preserve">sureshtravel@yahoo.com</t>
  </si>
  <si>
    <t xml:space="preserve">'SURABHI', KALLUKUTTIYAL,, POLPULLY POST, PALAKKAD</t>
  </si>
  <si>
    <t xml:space="preserve">SIDDIQUE PALLIPATH</t>
  </si>
  <si>
    <t xml:space="preserve">0559250037</t>
  </si>
  <si>
    <t xml:space="preserve">PALLIPATH HOUSE, P. O. IRIKKUR, KANNUR DIST, KERALA</t>
  </si>
  <si>
    <t xml:space="preserve">RAJIT KUMAR</t>
  </si>
  <si>
    <t xml:space="preserve">0557159314</t>
  </si>
  <si>
    <t xml:space="preserve">rajit.73@gmail.com</t>
  </si>
  <si>
    <t xml:space="preserve">KAROOR PADEETTATHIL, 619 / IX,, PALLICKAL P.O., KATTANAM, KAYAMKULAM, ALLEPPY DIST.</t>
  </si>
  <si>
    <t xml:space="preserve">VIJITH THAITHERA</t>
  </si>
  <si>
    <t xml:space="preserve">0507867606</t>
  </si>
  <si>
    <t xml:space="preserve">4602240774</t>
  </si>
  <si>
    <t xml:space="preserve">vijitharomal@gmail.com</t>
  </si>
  <si>
    <t xml:space="preserve">INDEEVARAM,, KAYARALAM - P.O., KANNUR.</t>
  </si>
  <si>
    <t xml:space="preserve">VARUGHESE M.</t>
  </si>
  <si>
    <t xml:space="preserve">0504793093</t>
  </si>
  <si>
    <t xml:space="preserve">sanciavarghese@gmail.com</t>
  </si>
  <si>
    <t xml:space="preserve">MULAMMOOTTIL KALAYIL HOUSE,THONNIAMALA P.O.,, PATHANAMTHITTA DIST., PIN- 689668, KERALA, 0091-7025681690</t>
  </si>
  <si>
    <t xml:space="preserve">AJITH YOUSUF KUNJU</t>
  </si>
  <si>
    <t xml:space="preserve">0556433183</t>
  </si>
  <si>
    <t xml:space="preserve">ajithlb2@yahoo.co.in</t>
  </si>
  <si>
    <t xml:space="preserve">THODIYIL VEEDU, LEKSHMINADA,, CUTCHERRY - P.O., KOLLAM., 00919895851495</t>
  </si>
  <si>
    <t xml:space="preserve">PRETHAP CHANDRAN</t>
  </si>
  <si>
    <t xml:space="preserve">0502060426</t>
  </si>
  <si>
    <t xml:space="preserve">prathap@periwinkleuae.com</t>
  </si>
  <si>
    <t xml:space="preserve">VAZHAPALLIL HOUSE, KOMALLOOR P.O.,, NOORANAD, ALAPPUZHA</t>
  </si>
  <si>
    <t xml:space="preserve">AB</t>
  </si>
  <si>
    <t xml:space="preserve">SHEEJITH KAVUNGAL VEEDU</t>
  </si>
  <si>
    <t xml:space="preserve">0505657469</t>
  </si>
  <si>
    <t xml:space="preserve">4672238776</t>
  </si>
  <si>
    <t xml:space="preserve">sheejithraji@gmail.com</t>
  </si>
  <si>
    <t xml:space="preserve">KAVUNGAL HOUSE, P.O.UDMA PADINHAR,, KASARAGOD , KERALA</t>
  </si>
  <si>
    <t xml:space="preserve">PRASANTH M.</t>
  </si>
  <si>
    <t xml:space="preserve">0544321331</t>
  </si>
  <si>
    <t xml:space="preserve">9895185751</t>
  </si>
  <si>
    <t xml:space="preserve">pmnair74@gmail.com</t>
  </si>
  <si>
    <t xml:space="preserve">AYODHYA, VANDANAM, ALAPUZHA,, KERALA, INDIA</t>
  </si>
  <si>
    <t xml:space="preserve">SATHEESH MANNINGAL</t>
  </si>
  <si>
    <t xml:space="preserve">0529082875</t>
  </si>
  <si>
    <t xml:space="preserve">satheesh_pkd@yahoo.com</t>
  </si>
  <si>
    <t xml:space="preserve">MANNINGAL HOUSE, THIRUVALATHUR-(P.O.),, KODUMBA, PALAKKAD-678551,KERALA</t>
  </si>
  <si>
    <t xml:space="preserve">V.V.KUNHI KANNAN</t>
  </si>
  <si>
    <t xml:space="preserve">0507084414</t>
  </si>
  <si>
    <t xml:space="preserve">vbabu_sumathi@yahoo.co.in</t>
  </si>
  <si>
    <t xml:space="preserve">CHARISKAVI BHAVAN,PALLAM,, UDMA,KASARAGOD</t>
  </si>
  <si>
    <t xml:space="preserve">ZAKARIYA ABDULLA KUNHI</t>
  </si>
  <si>
    <t xml:space="preserve">0506352975</t>
  </si>
  <si>
    <t xml:space="preserve">9995775999</t>
  </si>
  <si>
    <t xml:space="preserve">eassas@gmail.com</t>
  </si>
  <si>
    <t xml:space="preserve">A. P. HOUSE (WEST), NOORMAHAL,, POST MATTOOL, KANNUR, KERALA-670302</t>
  </si>
  <si>
    <t xml:space="preserve">GEORGE ITTICHERIA</t>
  </si>
  <si>
    <t xml:space="preserve">0507290458</t>
  </si>
  <si>
    <t xml:space="preserve">sobhavigi@yahoo.com</t>
  </si>
  <si>
    <t xml:space="preserve">KANNANKARA HOUSE, ELANTHOOR, ELANTHOOR P.O.,, PATHANAMTHITTA, KERALA</t>
  </si>
  <si>
    <t xml:space="preserve">UDAYAKUMAR</t>
  </si>
  <si>
    <t xml:space="preserve">0558820246</t>
  </si>
  <si>
    <t xml:space="preserve">VAZHAPPALLIL PUTHAN VEEDU, ADICHANALLUR,, KOLLAM, KERALA.</t>
  </si>
  <si>
    <t xml:space="preserve">RENJESH RAJAN</t>
  </si>
  <si>
    <t xml:space="preserve">0505243384</t>
  </si>
  <si>
    <t xml:space="preserve">renjesh.rajan@gmail.com</t>
  </si>
  <si>
    <t xml:space="preserve">ANDIKKOTT HOUSE, POOMANGALAM, ARIPALAM P.O.,, IRINJALAKUDA, VIA THRISSUR DIST, KERALA, 919048893959</t>
  </si>
  <si>
    <t xml:space="preserve">P. CHACKO JACOB</t>
  </si>
  <si>
    <t xml:space="preserve">0504982140</t>
  </si>
  <si>
    <t xml:space="preserve">pc.jacob6@gmail.com</t>
  </si>
  <si>
    <t xml:space="preserve">PADINJARA KUTTU,PANDANAD NORTH, P.O.,, KALLISSERY, VIA CHENGANNOOR, KERALA, 919446129849</t>
  </si>
  <si>
    <t xml:space="preserve">JAMIL AHMED</t>
  </si>
  <si>
    <t xml:space="preserve">0542795661</t>
  </si>
  <si>
    <t xml:space="preserve">4972873703</t>
  </si>
  <si>
    <t xml:space="preserve">tna.bui@gmail.com</t>
  </si>
  <si>
    <t xml:space="preserve">BITHUL AFIA, SAW MILL ROAD, PAYANGADI, RAILWAY STN., KANNUR-670358, KERALA.</t>
  </si>
  <si>
    <t xml:space="preserve">SAJI THOMAS</t>
  </si>
  <si>
    <t xml:space="preserve">0505746638</t>
  </si>
  <si>
    <t xml:space="preserve">sajithomasv@hotmail.com</t>
  </si>
  <si>
    <t xml:space="preserve">VATHACHIRA HOUSE, PARIYAPURAM P.O.,, ANGADIPURAM VIA,MALAPPURAM DIST,KERALA.</t>
  </si>
  <si>
    <t xml:space="preserve">ABEY SAMUEL</t>
  </si>
  <si>
    <t xml:space="preserve">0559947904</t>
  </si>
  <si>
    <t xml:space="preserve">abshesam@gmail.com</t>
  </si>
  <si>
    <t xml:space="preserve">PARUMOOTTIL HOUSE , MULAKUZHA P.O.,, CHENGANNUR, ALAPPUZHA, KERALA</t>
  </si>
  <si>
    <t xml:space="preserve">JAYARAM KAVALLOOR</t>
  </si>
  <si>
    <t xml:space="preserve">0504628520</t>
  </si>
  <si>
    <t xml:space="preserve">6238785667</t>
  </si>
  <si>
    <t xml:space="preserve">kavallor@eim.ae</t>
  </si>
  <si>
    <t xml:space="preserve">KAVALLOOR HOUSE,P.O. ENGANDIYOR,, TRICHUR, KERALA.</t>
  </si>
  <si>
    <t xml:space="preserve">JIBEESH K.J.</t>
  </si>
  <si>
    <t xml:space="preserve">0503050548</t>
  </si>
  <si>
    <t xml:space="preserve">7034360060</t>
  </si>
  <si>
    <t xml:space="preserve">jibeesh.kuniyath@gmail.com</t>
  </si>
  <si>
    <t xml:space="preserve">KUNIYATH HOUSE, EAST CHERAYI,, ANDATHODE P.O.,THRISSUR.</t>
  </si>
  <si>
    <t xml:space="preserve">NANDAKUMAR PILLAI</t>
  </si>
  <si>
    <t xml:space="preserve">0551076504</t>
  </si>
  <si>
    <t xml:space="preserve">nandan67@gmail.com</t>
  </si>
  <si>
    <t xml:space="preserve">KARUVELIL KATTIL HOUSE,CHENNITHALA, P.O.,, MAVELIKARA, KERALA-690105</t>
  </si>
  <si>
    <t xml:space="preserve">MOHAMMAD NABEEL</t>
  </si>
  <si>
    <t xml:space="preserve">0568207096</t>
  </si>
  <si>
    <t xml:space="preserve">9567235666</t>
  </si>
  <si>
    <t xml:space="preserve">mohammadnabeelayoob@gmail.com</t>
  </si>
  <si>
    <t xml:space="preserve">NABEEL COTTAGE, THEKKUMBHAGOM-P.O.,, PARAVUR, KOLLAM-691319</t>
  </si>
  <si>
    <t xml:space="preserve">DENNIS THOMAS</t>
  </si>
  <si>
    <t xml:space="preserve">0554491739</t>
  </si>
  <si>
    <t xml:space="preserve">4491739@gmail.com</t>
  </si>
  <si>
    <t xml:space="preserve">CHAKKALA PARAMBIL HOUSE, MANJOOR-P.O,, KURUPPAMTHARA, KOTTAYAM</t>
  </si>
  <si>
    <t xml:space="preserve">DEEPA MERIN JACOB</t>
  </si>
  <si>
    <t xml:space="preserve">0507264890</t>
  </si>
  <si>
    <t xml:space="preserve">deepa.jacob@emirates.net.ae</t>
  </si>
  <si>
    <t xml:space="preserve">CHANGARAMPALLIL HOUSE, ANAPUZHAKKAL,, ANCHAL, KOLLAM, KERALA, 91 9495331331</t>
  </si>
  <si>
    <t xml:space="preserve">SAMBASIVAN SATHEESH</t>
  </si>
  <si>
    <t xml:space="preserve">0505244723</t>
  </si>
  <si>
    <t xml:space="preserve">8111954361</t>
  </si>
  <si>
    <t xml:space="preserve">ssthkvu@gmail.com</t>
  </si>
  <si>
    <t xml:space="preserve">PRABHA NIVAS, KODAKAVUR P.O.,, TRIVANDRUM, KERALA</t>
  </si>
  <si>
    <t xml:space="preserve">ABDUL VAHAB</t>
  </si>
  <si>
    <t xml:space="preserve">0562163366</t>
  </si>
  <si>
    <t xml:space="preserve">4872343027</t>
  </si>
  <si>
    <t xml:space="preserve">vahabz@gmail.com</t>
  </si>
  <si>
    <t xml:space="preserve">KADAVIL, CHERPU WEST P.O.,, TRICHUR, KERALA - 680573.</t>
  </si>
  <si>
    <t xml:space="preserve">JANARDANAN KANATHIL VEEDU</t>
  </si>
  <si>
    <t xml:space="preserve">0503643034</t>
  </si>
  <si>
    <t xml:space="preserve">janardhanan08@yahoo.com</t>
  </si>
  <si>
    <t xml:space="preserve">KANATHIL HOUSE,HARIPURAM P.O.,, KASARAGOD, KERALA.PIN. 671316</t>
  </si>
  <si>
    <t xml:space="preserve">V. V. BALAKRISHNAN</t>
  </si>
  <si>
    <t xml:space="preserve">0506590338</t>
  </si>
  <si>
    <t xml:space="preserve">fmsellc@eim.ae</t>
  </si>
  <si>
    <t xml:space="preserve">NIHAL BHAVAN,UDUMA P.O.,, KASARAGOD, PIN-671319, KERALA</t>
  </si>
  <si>
    <t xml:space="preserve">MOIDU P.V.</t>
  </si>
  <si>
    <t xml:space="preserve">0507850657</t>
  </si>
  <si>
    <t xml:space="preserve">moidu_pv@yahoo.com</t>
  </si>
  <si>
    <t xml:space="preserve">NELLIYULLATHIL HOUSE,PULIYAVU P.O.,, PARAKKADAVU, KOZHIKODE, KERALA</t>
  </si>
  <si>
    <t xml:space="preserve">P.KURIAKOSE ANTOO</t>
  </si>
  <si>
    <t xml:space="preserve">0506544719</t>
  </si>
  <si>
    <t xml:space="preserve">antokuriakos@gmail.com</t>
  </si>
  <si>
    <t xml:space="preserve">PENGIPARAMBIL HOUSE, AVITTATHUR P.O.,, IRINJALAKUDA, THRISSUR, KERALA</t>
  </si>
  <si>
    <t xml:space="preserve">ABDULSALAM SULFI SAJEER</t>
  </si>
  <si>
    <t xml:space="preserve">0506393893</t>
  </si>
  <si>
    <t xml:space="preserve">alrazibldg@yahoo.com</t>
  </si>
  <si>
    <t xml:space="preserve">AL SAJ, ELEKAMON, P.O. AYIROOR,, VARKALA , TRIVANDRUM</t>
  </si>
  <si>
    <t xml:space="preserve">APARNA JAYADEVAN</t>
  </si>
  <si>
    <t xml:space="preserve">0504835412</t>
  </si>
  <si>
    <t xml:space="preserve">aparnajayadevan@ymail.com</t>
  </si>
  <si>
    <t xml:space="preserve">H.NO. 563 / 1, KURUPPUMTHARA,, KUMMANAM - P.O., KOTTAYAM - 686035</t>
  </si>
  <si>
    <t xml:space="preserve">SREELESH</t>
  </si>
  <si>
    <t xml:space="preserve">0564024221</t>
  </si>
  <si>
    <t xml:space="preserve">sreeleshvk@gmail.com</t>
  </si>
  <si>
    <t xml:space="preserve">SREEVIHARAM HOUSE,NELLIKKUNNUMMAL,, KOOLIPPOYYIL POST, NANMINDA, KOZHIKODE - 673613</t>
  </si>
  <si>
    <t xml:space="preserve">SUDHEER PATTATHIL</t>
  </si>
  <si>
    <t xml:space="preserve">0547646588</t>
  </si>
  <si>
    <t xml:space="preserve">spaloor@yahoo.co.uk</t>
  </si>
  <si>
    <t xml:space="preserve">PATTATHIL HOUSE, THANIPARA,ALOOR-P.O.,, TRICHUR, KERALA - 680683</t>
  </si>
  <si>
    <t xml:space="preserve">RIYAS ILLIKKAL</t>
  </si>
  <si>
    <t xml:space="preserve">0505194071</t>
  </si>
  <si>
    <t xml:space="preserve">4962551786</t>
  </si>
  <si>
    <t xml:space="preserve">riyasmajlis@gmail.com</t>
  </si>
  <si>
    <t xml:space="preserve">ILLIKKAL HOUSE, P.O.KALLACHI, VADAKARA, KOZHIKODE, KERALA</t>
  </si>
  <si>
    <t xml:space="preserve">ANVAR EDAKKANDAN</t>
  </si>
  <si>
    <t xml:space="preserve">0555571535</t>
  </si>
  <si>
    <t xml:space="preserve">9847143736</t>
  </si>
  <si>
    <t xml:space="preserve">anwarfms@emirates.net.ae</t>
  </si>
  <si>
    <t xml:space="preserve">EDAKKANDAN HOUSE,KOTTAPARAMBA,IRINGALLUR P.O.,, VENGARA VIA,MLAPPURAM DT. KERALA</t>
  </si>
  <si>
    <t xml:space="preserve">ABDUL NASAR</t>
  </si>
  <si>
    <t xml:space="preserve">0529944299</t>
  </si>
  <si>
    <t xml:space="preserve">nachumk@hotmail.com</t>
  </si>
  <si>
    <t xml:space="preserve">THAWAKKAL MANZIL, MADIYAN, MANIKOTH P.O., KASARAGOD., 0091 82 777 7777 9</t>
  </si>
  <si>
    <t xml:space="preserve">MOHAMED RAFI ORAVIL MOIDUNNI</t>
  </si>
  <si>
    <t xml:space="preserve">0505093693</t>
  </si>
  <si>
    <t xml:space="preserve">raforavil@gmail.com</t>
  </si>
  <si>
    <t xml:space="preserve">ORAVIL HOUSE, PADINHARANGADI P.O.,, KUMARANELLUR, PALAKKAD, KERALA, 0091 9846326894</t>
  </si>
  <si>
    <t xml:space="preserve">MAJEED PULLANCHERI</t>
  </si>
  <si>
    <t xml:space="preserve">0564253053</t>
  </si>
  <si>
    <t xml:space="preserve">4962591563</t>
  </si>
  <si>
    <t xml:space="preserve">tastyfoodmajeed@gmail.com</t>
  </si>
  <si>
    <t xml:space="preserve">THIRUVANACHALIL HOUSE, P. O. PONMERI, KOZHIKODE, KERALA</t>
  </si>
  <si>
    <t xml:space="preserve">AFSAL MUHAMMED</t>
  </si>
  <si>
    <t xml:space="preserve">0503646345</t>
  </si>
  <si>
    <t xml:space="preserve">afsalmuhammed39@gmail.com</t>
  </si>
  <si>
    <t xml:space="preserve">NELLIMALA PUTHUPARAMBIL, PAROTHODU-P.O.,, EDAKKUNNAM, PAROTHODU, KOTTAYAM, KERALA-686512</t>
  </si>
  <si>
    <t xml:space="preserve">ABDUL NASAR THAYAL</t>
  </si>
  <si>
    <t xml:space="preserve">0508916600</t>
  </si>
  <si>
    <t xml:space="preserve">nasarmadeena@gmail.com</t>
  </si>
  <si>
    <t xml:space="preserve">THWAHA MANZIL, MADIYAN MANIKOTH,, P.O.KANHANGAD, KASARAGOD, KERALA</t>
  </si>
  <si>
    <t xml:space="preserve">BEJOY BABY GEORGE</t>
  </si>
  <si>
    <t xml:space="preserve">0501424540</t>
  </si>
  <si>
    <t xml:space="preserve">91</t>
  </si>
  <si>
    <t xml:space="preserve">docbgeorge@gmail.com</t>
  </si>
  <si>
    <t xml:space="preserve">EDATHUNDIYIL HOUSE, EAST OTHARA, THIRUVALLA, PATHANAMTHITTA, KERALA - 689546</t>
  </si>
  <si>
    <t xml:space="preserve">SAM VARGHESE</t>
  </si>
  <si>
    <t xml:space="preserve">0505709629</t>
  </si>
  <si>
    <t xml:space="preserve">kurungaden@gmail.com</t>
  </si>
  <si>
    <t xml:space="preserve">KURUNGATTU HOUSE, SANTHOSH JN.,, PATHANAMTHITTA - P.O, PATHANAMTHITTA</t>
  </si>
  <si>
    <t xml:space="preserve">VINESH</t>
  </si>
  <si>
    <t xml:space="preserve">0503091846</t>
  </si>
  <si>
    <t xml:space="preserve">ivvinesh92@gmail.com</t>
  </si>
  <si>
    <t xml:space="preserve">ITHIKKAT HOUSE, TALIKULAM, THAMBANKADAVU-P.O., THRISSUR</t>
  </si>
  <si>
    <t xml:space="preserve">YESUDASAN JERMIAS</t>
  </si>
  <si>
    <t xml:space="preserve">0509807343</t>
  </si>
  <si>
    <t xml:space="preserve">yesudas.jermias@gmail.com</t>
  </si>
  <si>
    <t xml:space="preserve">JOEL NIVAS, VELUTHURUTH,, NEENDAKARA P.O., KOLLAM- 691582, 91 9847213318</t>
  </si>
  <si>
    <t xml:space="preserve">BABU G.</t>
  </si>
  <si>
    <t xml:space="preserve">0504518266</t>
  </si>
  <si>
    <t xml:space="preserve">9447225678</t>
  </si>
  <si>
    <t xml:space="preserve">babu.gopal@hotmail.com</t>
  </si>
  <si>
    <t xml:space="preserve">HARIJI, KILIKOLLOOR- P.O.,, KOLLAM, KERALA.</t>
  </si>
  <si>
    <t xml:space="preserve">ABDUL NASAR VARIKKOLI</t>
  </si>
  <si>
    <t xml:space="preserve">0552270102</t>
  </si>
  <si>
    <t xml:space="preserve">nasarv.786@gmail.com</t>
  </si>
  <si>
    <t xml:space="preserve">VARIKKOLI HOUSE, VELAM,, SHANTINAGAR, KUTTIADI</t>
  </si>
  <si>
    <t xml:space="preserve">ANEES ABDUL REHMAN</t>
  </si>
  <si>
    <t xml:space="preserve">0589487377</t>
  </si>
  <si>
    <t xml:space="preserve">aneezark187@gmail.com</t>
  </si>
  <si>
    <t xml:space="preserve">NEDIYATHU KIZHAKKATHIL,, THEVALAKKARA P.O., KOLLAM</t>
  </si>
  <si>
    <t xml:space="preserve">RAMAKRISHNAN</t>
  </si>
  <si>
    <t xml:space="preserve">0505272479</t>
  </si>
  <si>
    <t xml:space="preserve">ramakrishnan.kandampully@gmail.com</t>
  </si>
  <si>
    <t xml:space="preserve">KANDAMPULLY HOUSE, KONGANUR - P.O., AKATHIYOOR,KUNNAMKULAM, THRISSUR</t>
  </si>
  <si>
    <t xml:space="preserve">FAHAD KORAMKANDAN</t>
  </si>
  <si>
    <t xml:space="preserve">0558770675</t>
  </si>
  <si>
    <t xml:space="preserve">fahadbinabdussamad@gmail.com</t>
  </si>
  <si>
    <t xml:space="preserve">JASEERA MANZIL, K.C. ROAD,, P.O.TIRURANGADI, MALAPPURAM</t>
  </si>
  <si>
    <t xml:space="preserve">PRAVEEN T.P.</t>
  </si>
  <si>
    <t xml:space="preserve">0508523825</t>
  </si>
  <si>
    <t xml:space="preserve">praveenp79@gmail.com</t>
  </si>
  <si>
    <t xml:space="preserve">THEKKINIYEDATH HOUSE, VALAPAD BEACH, THRISSUR, KERALA.</t>
  </si>
  <si>
    <t xml:space="preserve">MURALIDHARAN NAIR</t>
  </si>
  <si>
    <t xml:space="preserve">0502913220</t>
  </si>
  <si>
    <t xml:space="preserve">muralinnair@gmail.com</t>
  </si>
  <si>
    <t xml:space="preserve">265, KARIKE,MADIKERI,, COORG, KARNATAKA</t>
  </si>
  <si>
    <t xml:space="preserve">STANLY THOMAS</t>
  </si>
  <si>
    <t xml:space="preserve">0504446254</t>
  </si>
  <si>
    <t xml:space="preserve">stanlini@eim.ae</t>
  </si>
  <si>
    <t xml:space="preserve">MUTHUKUDUKKAIL, PRAKANAM,, PATHANAMTHITTA, KERALA, 0091 468 2326448</t>
  </si>
  <si>
    <t xml:space="preserve">ZAKKARIYA KARIYIL</t>
  </si>
  <si>
    <t xml:space="preserve">0526463628</t>
  </si>
  <si>
    <t xml:space="preserve">zakkariyauae@gmail.com</t>
  </si>
  <si>
    <t xml:space="preserve">BADARIYA MANZIL, P.O.MOWANCHERY,, CHAKKARAKKAL, KANNUR DT., KERALA-670613</t>
  </si>
  <si>
    <t xml:space="preserve">SAJEEV K. A.</t>
  </si>
  <si>
    <t xml:space="preserve">0506797893</t>
  </si>
  <si>
    <t xml:space="preserve">9544449022</t>
  </si>
  <si>
    <t xml:space="preserve">sajifmaestro@gmail.com</t>
  </si>
  <si>
    <t xml:space="preserve">KOLLATHU VEETTIL, OLD HEALTH CENTRE,, ERIYAD-P.O., KODUNGALLUR,THRISSUR, KERALA.</t>
  </si>
  <si>
    <t xml:space="preserve">SAJITH RAVINDRANATH</t>
  </si>
  <si>
    <t xml:space="preserve">0501469549</t>
  </si>
  <si>
    <t xml:space="preserve">saji.ravindranath@gmaii.com</t>
  </si>
  <si>
    <t xml:space="preserve">PACHERY HOUSE, KOMBARA WEST,, IRINJALAKUDA P.O.,THRISSUR-680121, KERALA</t>
  </si>
  <si>
    <t xml:space="preserve">RAGHAVAN KOOTTAPPANA</t>
  </si>
  <si>
    <t xml:space="preserve">0505887197</t>
  </si>
  <si>
    <t xml:space="preserve">CHOYEE NILAYAM, KOOTTAPPANA, P.O.MYLATTY, VIA UDMA, BEKAL, KASARAGOD, KERALA</t>
  </si>
  <si>
    <t xml:space="preserve">RAJEEV KARICHERY</t>
  </si>
  <si>
    <t xml:space="preserve">0508657495</t>
  </si>
  <si>
    <t xml:space="preserve">rajvij8190@gmail.com</t>
  </si>
  <si>
    <t xml:space="preserve">ADUKKATH VAYAL HOUSE, UDMA VIA., MYLATTY P.O., KASARAGOD, KERALA.</t>
  </si>
  <si>
    <t xml:space="preserve">JAYAKUMARAN NAIR K.P.</t>
  </si>
  <si>
    <t xml:space="preserve">0508839091</t>
  </si>
  <si>
    <t xml:space="preserve">kjnair@hotmail.com</t>
  </si>
  <si>
    <t xml:space="preserve">'SAUPARNIKA', H.NO.16/B, DEVAPALAN NAGAR,, PEROORKADA,TRIVANDRUM</t>
  </si>
  <si>
    <t xml:space="preserve">ANISH NAIR</t>
  </si>
  <si>
    <t xml:space="preserve">0529114949</t>
  </si>
  <si>
    <t xml:space="preserve">anishgp@hotmail.com</t>
  </si>
  <si>
    <t xml:space="preserve">'SREE MANGAL', 29/1691, VALLAKKADAVU P.O.,, PLANCHERRY LANE, PERUNTHANNI,TRIVANDRUM.</t>
  </si>
  <si>
    <t xml:space="preserve">SREEJITH SREENIVASAN</t>
  </si>
  <si>
    <t xml:space="preserve">0508967283</t>
  </si>
  <si>
    <t xml:space="preserve">9846366692</t>
  </si>
  <si>
    <t xml:space="preserve">sreeju_in1985@yahoo.co.in</t>
  </si>
  <si>
    <t xml:space="preserve">KALEERAKATH HOUSE, P.O. KUNDALIYOOR, THRISSUR, KERALA</t>
  </si>
  <si>
    <t xml:space="preserve">SASIKUMAR U. V.</t>
  </si>
  <si>
    <t xml:space="preserve">0506976581</t>
  </si>
  <si>
    <t xml:space="preserve">sasiuv@yahoo.com</t>
  </si>
  <si>
    <t xml:space="preserve">'KRISHNA VIHAR', P.O.MANGATTIRI,TIRUR- 676105,, MALAPPURAM DT., KERALA.</t>
  </si>
  <si>
    <t xml:space="preserve">BIJU T. JOHNSON</t>
  </si>
  <si>
    <t xml:space="preserve">0556898583</t>
  </si>
  <si>
    <t xml:space="preserve">johnson.biju@yahoo.com</t>
  </si>
  <si>
    <t xml:space="preserve">'THADATHUKALAYIL', KUZHIKALA P.O.,, PATHANAMTHITTA, KERALA, 00914682213062</t>
  </si>
  <si>
    <t xml:space="preserve">PRAMOD KINAYATH</t>
  </si>
  <si>
    <t xml:space="preserve">0507878396</t>
  </si>
  <si>
    <t xml:space="preserve">kinayathpramodh@yahoo.com</t>
  </si>
  <si>
    <t xml:space="preserve">KINAYATH HOUSE, PERUVEMBA P.O.,, PALAKKAD DIST.,KERALA - 678531, 00914923252565</t>
  </si>
  <si>
    <t xml:space="preserve">SATHYAN L.</t>
  </si>
  <si>
    <t xml:space="preserve">0508976269</t>
  </si>
  <si>
    <t xml:space="preserve">9656669493</t>
  </si>
  <si>
    <t xml:space="preserve">sathyan144@gmail.com</t>
  </si>
  <si>
    <t xml:space="preserve">GOVINDANAZHIKAM, MULLUVILA,, VADAKKEVILA POST, KOLLAM 10</t>
  </si>
  <si>
    <t xml:space="preserve">ARUN THOMAS</t>
  </si>
  <si>
    <t xml:space="preserve">0502999155</t>
  </si>
  <si>
    <t xml:space="preserve">arun@fjtco.com</t>
  </si>
  <si>
    <t xml:space="preserve">MUNDACKAL HOUSE, NEDUMKUNDAM P.O.,, IDUKKI, KERALA.</t>
  </si>
  <si>
    <t xml:space="preserve">MOHAMED ABOOBACKER</t>
  </si>
  <si>
    <t xml:space="preserve">0506977950</t>
  </si>
  <si>
    <t xml:space="preserve">9846473891</t>
  </si>
  <si>
    <t xml:space="preserve">abackervt@gmail.com</t>
  </si>
  <si>
    <t xml:space="preserve">'VALIYAKATH THAIKKADAVIL HOUSE', MANATHALA P.O., CHAVAKKAD, THRISSUR</t>
  </si>
  <si>
    <t xml:space="preserve">JAFFER KOOKOT</t>
  </si>
  <si>
    <t xml:space="preserve">0504819679</t>
  </si>
  <si>
    <t xml:space="preserve">kookot@yahoo.com</t>
  </si>
  <si>
    <t xml:space="preserve">KOOKOT HOUSE, P.O. KARIVELLUR,, KANNUR, KERALA.</t>
  </si>
  <si>
    <t xml:space="preserve">ABDUL GAFOOR BEKAL MOIDU</t>
  </si>
  <si>
    <t xml:space="preserve">0558977123</t>
  </si>
  <si>
    <t xml:space="preserve">755908538</t>
  </si>
  <si>
    <t xml:space="preserve">gafurbekal@gmail.com</t>
  </si>
  <si>
    <t xml:space="preserve">FATHIMA VILLA,BEKAL PO KOTTAKKUNNU, PALLIKARE PO KASARAGOD DT,KERALA</t>
  </si>
  <si>
    <t xml:space="preserve">SHAFEEQUE ALI MARAKKANTHODI</t>
  </si>
  <si>
    <t xml:space="preserve">0525584424</t>
  </si>
  <si>
    <t xml:space="preserve">shafeeqtrkd@gmail.com</t>
  </si>
  <si>
    <t xml:space="preserve">MARAKKATHODI HOUSE, P.O.THRIKKATERI,, PALAKKAD.</t>
  </si>
  <si>
    <t xml:space="preserve">NIDHIN</t>
  </si>
  <si>
    <t xml:space="preserve">nidhin001sathya@gmail.com</t>
  </si>
  <si>
    <t xml:space="preserve">PUVASSERY HOUSE, ENAMAKKAL,, VENKITANGU P.O., THRISSUR.</t>
  </si>
  <si>
    <t xml:space="preserve">RAMAN DIVAKARAN</t>
  </si>
  <si>
    <t xml:space="preserve">0506799587</t>
  </si>
  <si>
    <t xml:space="preserve">harshandivakaran@gmail.com</t>
  </si>
  <si>
    <t xml:space="preserve">NEERALI HOUSE, ACHIKANAM P. O., ANANDASRAMAM, KASARAGOD, 0091 9497118144</t>
  </si>
  <si>
    <t xml:space="preserve">GEO CHERUKATTU THOMAS</t>
  </si>
  <si>
    <t xml:space="preserve">0506864630</t>
  </si>
  <si>
    <t xml:space="preserve">geocthomas@gmail.com</t>
  </si>
  <si>
    <t xml:space="preserve">CHERUKKATTU HOUSE, KOLABHAGOM P.O.,, THADIYOOR, PATHANAMTHITTA, KERALA-689545</t>
  </si>
  <si>
    <t xml:space="preserve">ALEX PALAMATTOM GEORGE</t>
  </si>
  <si>
    <t xml:space="preserve">0505952433</t>
  </si>
  <si>
    <t xml:space="preserve">alex.palamattom@gmail.com</t>
  </si>
  <si>
    <t xml:space="preserve">PALAMATTOM HOUSE,CHUNKAPPARA P.O.,, PERUMPETTY,PATHANAMTHITTA, KERALA.</t>
  </si>
  <si>
    <t xml:space="preserve">BIJU SEBASTIAN</t>
  </si>
  <si>
    <t xml:space="preserve">0507381429</t>
  </si>
  <si>
    <t xml:space="preserve">sebastianbiju@yahoo.com</t>
  </si>
  <si>
    <t xml:space="preserve">'MANADAN', H - KALLUR,, ANNAMANADA P.O.,TRICHUR, KERALA</t>
  </si>
  <si>
    <t xml:space="preserve">KAREEM KOLAVAYAL</t>
  </si>
  <si>
    <t xml:space="preserve">0504829431</t>
  </si>
  <si>
    <t xml:space="preserve">kareemkolavayal@gmail.com</t>
  </si>
  <si>
    <t xml:space="preserve">'BAITULIZZA', P.O.KOLAVAYAL,, KASARAGOD, KERALA</t>
  </si>
  <si>
    <t xml:space="preserve">SUBAIR PULAYANKANDIYIL</t>
  </si>
  <si>
    <t xml:space="preserve">0527224444</t>
  </si>
  <si>
    <t xml:space="preserve">masaknsubair@gmail.com</t>
  </si>
  <si>
    <t xml:space="preserve">PULAYANKANDIYIL H., CHERUMOTH P.O.,, CALICUT, KERALA.</t>
  </si>
  <si>
    <t xml:space="preserve">BIJESH BABU</t>
  </si>
  <si>
    <t xml:space="preserve">0555680573</t>
  </si>
  <si>
    <t xml:space="preserve">9446672987</t>
  </si>
  <si>
    <t xml:space="preserve">bijeshvimaya@gmail.com</t>
  </si>
  <si>
    <t xml:space="preserve">PUSHPALAYAM, KUTTALI,, KANNOOR, KERALA</t>
  </si>
  <si>
    <t xml:space="preserve">SUBHASH DERMAL</t>
  </si>
  <si>
    <t xml:space="preserve">0569964843</t>
  </si>
  <si>
    <t xml:space="preserve">9947725082</t>
  </si>
  <si>
    <t xml:space="preserve">subash@visionlabel.com</t>
  </si>
  <si>
    <t xml:space="preserve">1907,U.A.Q,UAE, DERMAL - P.O., NAREEKAM VALLI,, ARATHIL KOTTA, KANNUR, KERALA</t>
  </si>
  <si>
    <t xml:space="preserve">RAJESH TALASSERI</t>
  </si>
  <si>
    <t xml:space="preserve">0505500326</t>
  </si>
  <si>
    <t xml:space="preserve">rajesh@chemsbury.com</t>
  </si>
  <si>
    <t xml:space="preserve">NANDHANAM, THALASSERI HOUSE, CHETHIPADI POST,, PARAPPANANGADI, MALAPPURAM, KERALA</t>
  </si>
  <si>
    <t xml:space="preserve">MANOJ MADATHODI</t>
  </si>
  <si>
    <t xml:space="preserve">0505672312</t>
  </si>
  <si>
    <t xml:space="preserve">manojmadathodil@gmail.com</t>
  </si>
  <si>
    <t xml:space="preserve">MADATHODI, P.O. MARUTHA, MALAPPURAM, KERALA, 0091 8281961822</t>
  </si>
  <si>
    <t xml:space="preserve">JOHN BINO CARLOSE</t>
  </si>
  <si>
    <t xml:space="preserve">0556514200</t>
  </si>
  <si>
    <t xml:space="preserve">johnbinocarlose@gmail.com</t>
  </si>
  <si>
    <t xml:space="preserve">ROSA MYSTICA , THEVALAKKARA , KOIVILA ,, KARUNAGAPALLY, KOLLAM , KERALA - 691590</t>
  </si>
  <si>
    <t xml:space="preserve">AMJITH PARAMBUVEETEL</t>
  </si>
  <si>
    <t xml:space="preserve">0505231470</t>
  </si>
  <si>
    <t xml:space="preserve">9495131056</t>
  </si>
  <si>
    <t xml:space="preserve">amjith100@gmail.com</t>
  </si>
  <si>
    <t xml:space="preserve">PARAMBUVEETEL, PERINJANAM-P.O, THRISSUR, KERALA</t>
  </si>
  <si>
    <t xml:space="preserve">MATHEW KAVALAM MATHEW</t>
  </si>
  <si>
    <t xml:space="preserve">0506559308</t>
  </si>
  <si>
    <t xml:space="preserve">kavalam@eim.ae</t>
  </si>
  <si>
    <t xml:space="preserve">KAVALAM HOUSE, KARIMPINTHOTTIL,, KANAKADALAM POST, ERUMELI, KOTTAYAM</t>
  </si>
  <si>
    <t xml:space="preserve">THANKACHAN SAMUEL</t>
  </si>
  <si>
    <t xml:space="preserve">0503983406</t>
  </si>
  <si>
    <t xml:space="preserve">samuel@wetradeintl.com</t>
  </si>
  <si>
    <t xml:space="preserve">ANAVEENAYATHU HOUSE, VALLIKUNNAM,, PUTHENCHANTHA, ALLEPPY, KERALA</t>
  </si>
  <si>
    <t xml:space="preserve">DOMINI PAZHUMKARAN DEVASSY</t>
  </si>
  <si>
    <t xml:space="preserve">0507909314</t>
  </si>
  <si>
    <t xml:space="preserve">dominipd@gmail.com</t>
  </si>
  <si>
    <t xml:space="preserve">PAZHUMKARAN, P.O.MUTTITHADI ALENGAD,, KALLUR, THRISSUR, KERALA</t>
  </si>
  <si>
    <t xml:space="preserve">JAIJY JAMES</t>
  </si>
  <si>
    <t xml:space="preserve">0504815826</t>
  </si>
  <si>
    <t xml:space="preserve">jaijy@dtmetal.ae</t>
  </si>
  <si>
    <t xml:space="preserve">MARUTHUMPARACKAL HOUSE, KEERAMPARA,, PUNNACKAD, ERNAKULAM, KERALA</t>
  </si>
  <si>
    <t xml:space="preserve">BIJIN BASHEER</t>
  </si>
  <si>
    <t xml:space="preserve">0504093651</t>
  </si>
  <si>
    <t xml:space="preserve">4702693113</t>
  </si>
  <si>
    <t xml:space="preserve">bijinbasheer@gmail.com</t>
  </si>
  <si>
    <t xml:space="preserve">MELETHAZHVILAKOM,KALLAMBALAM-P.O.,, TRIVANDRUM, KERALA</t>
  </si>
  <si>
    <t xml:space="preserve">PRADEEP K.B.</t>
  </si>
  <si>
    <t xml:space="preserve">0554801241</t>
  </si>
  <si>
    <t xml:space="preserve">4872553070</t>
  </si>
  <si>
    <t xml:space="preserve">kbpradeep2000@gmail.com</t>
  </si>
  <si>
    <t xml:space="preserve">KADANKARA HOUSE, THAMARAYUR.P.O.,, KARAYUR, TRICHUR, KERALA</t>
  </si>
  <si>
    <t xml:space="preserve">ABDUL KADER PUTHIYA BALAPPIL</t>
  </si>
  <si>
    <t xml:space="preserve">0507972576</t>
  </si>
  <si>
    <t xml:space="preserve">kadarsharjah@gmail.com</t>
  </si>
  <si>
    <t xml:space="preserve">PUTHIYA BALAPPIL, CHITHARI-P.O.,, KASARAGOD, KERALA</t>
  </si>
  <si>
    <t xml:space="preserve">RAJEEVAN RAMAPURATH</t>
  </si>
  <si>
    <t xml:space="preserve">0504551075</t>
  </si>
  <si>
    <t xml:space="preserve">shivadam1969@gmail.com</t>
  </si>
  <si>
    <t xml:space="preserve">SHIVADAM, MANIYATT,, TRIKARIPUR VIA, KASARAGOD., 00914672266059</t>
  </si>
  <si>
    <t xml:space="preserve">SAMEER SAEED ALI</t>
  </si>
  <si>
    <t xml:space="preserve">0508665221</t>
  </si>
  <si>
    <t xml:space="preserve">sameersaeedali@gmail.com</t>
  </si>
  <si>
    <t xml:space="preserve">KARUTHEDATH PARAMBIL HOUSE,, KALADI VIA, P.O.KADANCHERY, KERALA</t>
  </si>
  <si>
    <t xml:space="preserve">RADHAKRISHNAN T.</t>
  </si>
  <si>
    <t xml:space="preserve">0506263865</t>
  </si>
  <si>
    <t xml:space="preserve">9995093333</t>
  </si>
  <si>
    <t xml:space="preserve">sundertks@yahoo.com</t>
  </si>
  <si>
    <t xml:space="preserve">THATTANKANDI HOUSE, P.O.ULLANAM,, PARAPANANGADI, MALAPPURAM, KERALA</t>
  </si>
  <si>
    <t xml:space="preserve">KURIAN THOMAS</t>
  </si>
  <si>
    <t xml:space="preserve">0506469508</t>
  </si>
  <si>
    <t xml:space="preserve">shaji@eiffelpp.ae</t>
  </si>
  <si>
    <t xml:space="preserve">IYAKARA PENIEL HOUSE, KUMBANAD P.O.,, MUTTUMON,THIRUVALLA, PATHANAMTHITTA.</t>
  </si>
  <si>
    <t xml:space="preserve">ABDUL KHALAM HANEEFA KUNJU</t>
  </si>
  <si>
    <t xml:space="preserve">0506337620</t>
  </si>
  <si>
    <t xml:space="preserve">9744547388</t>
  </si>
  <si>
    <t xml:space="preserve">hakhalam@eim.ae</t>
  </si>
  <si>
    <t xml:space="preserve">PALOTTU PUTHEN VEEDU, PANKONAM,, MUKHATHALA, KOLLAM, KERALA</t>
  </si>
  <si>
    <t xml:space="preserve">NASEER KUNIYIL</t>
  </si>
  <si>
    <t xml:space="preserve">0566374650</t>
  </si>
  <si>
    <t xml:space="preserve">9946467210</t>
  </si>
  <si>
    <t xml:space="preserve">madinatzayedrest@gmail.com</t>
  </si>
  <si>
    <t xml:space="preserve">KUNIYIL JATHIYERI, P.O. PULIYAVIL,, KOZHIKODE, KERALA</t>
  </si>
  <si>
    <t xml:space="preserve">ABDUL HAMEED THAYYIL</t>
  </si>
  <si>
    <t xml:space="preserve">0504966591</t>
  </si>
  <si>
    <t xml:space="preserve">483278319</t>
  </si>
  <si>
    <t xml:space="preserve">hameedthayyil@gmail.com</t>
  </si>
  <si>
    <t xml:space="preserve">THAYYIL HOUSE, KOLAPPARAMBA P.O.,, MANJERI, MALAPPURAM, KERALA</t>
  </si>
  <si>
    <t xml:space="preserve">VINOD PAYANINGAL</t>
  </si>
  <si>
    <t xml:space="preserve">0507874136</t>
  </si>
  <si>
    <t xml:space="preserve">4952331697</t>
  </si>
  <si>
    <t xml:space="preserve">layali2004@gmail.com</t>
  </si>
  <si>
    <t xml:space="preserve">ANUPAMA, P.O.POKKUNNU, (GURUVAYOORAPPAN COLLEGE), KOZHIKODE, KERALA</t>
  </si>
  <si>
    <t xml:space="preserve">MAHAMOOD PALATHIL</t>
  </si>
  <si>
    <t xml:space="preserve">0506868327</t>
  </si>
  <si>
    <t xml:space="preserve">9447444888</t>
  </si>
  <si>
    <t xml:space="preserve">manaspalam@gmail.com</t>
  </si>
  <si>
    <t xml:space="preserve">PALATHIL HOUSE, P.O.MUDAVANTHERY, VIA THUNERI,, VADAKARA, KOZHIKODE, KERALA.</t>
  </si>
  <si>
    <t xml:space="preserve">MAHIN P.A.</t>
  </si>
  <si>
    <t xml:space="preserve">0525003906</t>
  </si>
  <si>
    <t xml:space="preserve">mahinpeediyakkal@gmail.com</t>
  </si>
  <si>
    <t xml:space="preserve">PEEDIYAKKAL PARAMBU, PONNARIMANGALAM,, MULAVAKAD. P.O., ERNAKULAM, KERALA</t>
  </si>
  <si>
    <t xml:space="preserve">DHILEEP KAVUMKAL VEETTIL</t>
  </si>
  <si>
    <t xml:space="preserve">0506329528</t>
  </si>
  <si>
    <t xml:space="preserve">dl2a4907@gmail.com</t>
  </si>
  <si>
    <t xml:space="preserve">KAVUMKAL VEETTIL, KALALAYAM 9,, 73, UDMA P.O.,BEKAL, KASARAGOD., 91 9633370115</t>
  </si>
  <si>
    <t xml:space="preserve">SUMESH S. PILLAI</t>
  </si>
  <si>
    <t xml:space="preserve">0508637608</t>
  </si>
  <si>
    <t xml:space="preserve">4792457446</t>
  </si>
  <si>
    <t xml:space="preserve">sumesh1998@gmail.com</t>
  </si>
  <si>
    <t xml:space="preserve">SWAPNA HOUSE, EDANADU-P.O.,, CHENGANNUR, ALLEPPEY, KERALA.</t>
  </si>
  <si>
    <t xml:space="preserve">ABDULLAH MOHAMMED ASHRAF</t>
  </si>
  <si>
    <t xml:space="preserve">0569596952</t>
  </si>
  <si>
    <t xml:space="preserve">abdullahpangatayil@gmail.com</t>
  </si>
  <si>
    <t xml:space="preserve">PANGATAYIL, KOCHANNUUR POST,, THRISSUR, KERALA</t>
  </si>
  <si>
    <t xml:space="preserve">ABDUL MUJEEB</t>
  </si>
  <si>
    <t xml:space="preserve">0507304045</t>
  </si>
  <si>
    <t xml:space="preserve">pvguae@gmail.com</t>
  </si>
  <si>
    <t xml:space="preserve">898, POOPPAS NEST, KURUDIKKAD,PUDUSSERY VILLAGE,, POST KANJIKODE WEST, PALAKKAD, KERALA.</t>
  </si>
  <si>
    <t xml:space="preserve">SREE KUMAR</t>
  </si>
  <si>
    <t xml:space="preserve">0507874659</t>
  </si>
  <si>
    <t xml:space="preserve">sree.kumar204@gmail.com</t>
  </si>
  <si>
    <t xml:space="preserve">VI, 527, MENOTHU PARAMBIL HOUSE,, MANAKODY . P.O., THRISSUR,KERALA</t>
  </si>
  <si>
    <t xml:space="preserve">USHA PREMARAJAN</t>
  </si>
  <si>
    <t xml:space="preserve">0503843090</t>
  </si>
  <si>
    <t xml:space="preserve">prisha86@gmail.com</t>
  </si>
  <si>
    <t xml:space="preserve">MOHAMAD RAFI HUMAYUN</t>
  </si>
  <si>
    <t xml:space="preserve">0506445822</t>
  </si>
  <si>
    <t xml:space="preserve">rafi_humayun@yahoo.com</t>
  </si>
  <si>
    <t xml:space="preserve">NO.248,9TH CROSS J.H.B.C.S., LAY OUT,, J.P.NAGARP.O., BANGALORE, KARNATAKA</t>
  </si>
  <si>
    <t xml:space="preserve">SAJITH AREEKKARA</t>
  </si>
  <si>
    <t xml:space="preserve">0502055165</t>
  </si>
  <si>
    <t xml:space="preserve">sajithareekkara@gmail.com</t>
  </si>
  <si>
    <t xml:space="preserve">8/794, KOLLAMPANA HOUSE,, MUNNAD-P.O.,KASARAGOD-671541</t>
  </si>
  <si>
    <t xml:space="preserve">UNUS K.M.</t>
  </si>
  <si>
    <t xml:space="preserve">0502949777</t>
  </si>
  <si>
    <t xml:space="preserve">4872260787</t>
  </si>
  <si>
    <t xml:space="preserve">unusmohd1980@gmail.com</t>
  </si>
  <si>
    <t xml:space="preserve">THERUVATH VEETTIL,11,, THOYAKKAVU-P.O., THRISSUR, KERALA</t>
  </si>
  <si>
    <t xml:space="preserve">M.V.SALEN BABU</t>
  </si>
  <si>
    <t xml:space="preserve">0505767156</t>
  </si>
  <si>
    <t xml:space="preserve">shakv200@gmail.com</t>
  </si>
  <si>
    <t xml:space="preserve">CHERAPPARAMB, CHOONDAL-P.O.,, THRISSUR, KERALA</t>
  </si>
  <si>
    <t xml:space="preserve">PRADEEP KUMAR KODUNGALLUR</t>
  </si>
  <si>
    <t xml:space="preserve">0505370513</t>
  </si>
  <si>
    <t xml:space="preserve">pradeep@mottmac.com</t>
  </si>
  <si>
    <t xml:space="preserve">HOUSE NO.389- VII, METHALA,, KODUNGALLUR, THRISSUR-680664</t>
  </si>
  <si>
    <t xml:space="preserve">UMMER SAID MOHAMED</t>
  </si>
  <si>
    <t xml:space="preserve">0557021786</t>
  </si>
  <si>
    <t xml:space="preserve">said@sfd.gov.ae</t>
  </si>
  <si>
    <t xml:space="preserve">47/1962, A, PAREPARAMB ROAD,, KALOOR, COCHIN - 682017</t>
  </si>
  <si>
    <t xml:space="preserve">SASIKUMAR NANDANATH</t>
  </si>
  <si>
    <t xml:space="preserve">0506751078</t>
  </si>
  <si>
    <t xml:space="preserve">8138018281</t>
  </si>
  <si>
    <t xml:space="preserve">sasi.kumar@nmc.ae</t>
  </si>
  <si>
    <t xml:space="preserve">NANDANATH HOUSE, KANHANGAD SOUTH,, KASARAGOD, KERALA</t>
  </si>
  <si>
    <t xml:space="preserve">SHAFEEQUE KOROTH</t>
  </si>
  <si>
    <t xml:space="preserve">0559445162</t>
  </si>
  <si>
    <t xml:space="preserve">4972792261</t>
  </si>
  <si>
    <t xml:space="preserve">shafeekoroth@gmail.com</t>
  </si>
  <si>
    <t xml:space="preserve">BAITHUL SAFA, P.O.MUNDERI,, EACHOOR VIA, KANNUR, KERALA</t>
  </si>
  <si>
    <t xml:space="preserve">OOLAKADEN GEORGE CHACKO</t>
  </si>
  <si>
    <t xml:space="preserve">0529036923</t>
  </si>
  <si>
    <t xml:space="preserve">chageolk@yahoo.com</t>
  </si>
  <si>
    <t xml:space="preserve">OOLAKADEN HOUSE, WARD NO.1,, IRINJALAKKUDA - P.O.,THRISSUR, KERALA</t>
  </si>
  <si>
    <t xml:space="preserve">RAKESH PULIYANKOT</t>
  </si>
  <si>
    <t xml:space="preserve">0561014430</t>
  </si>
  <si>
    <t xml:space="preserve">9447788707</t>
  </si>
  <si>
    <t xml:space="preserve">rakshnair@gmail.com</t>
  </si>
  <si>
    <t xml:space="preserve">AMRITHAM, MANNARKKAD-P.O.,, PALAKKAD,KERALA.</t>
  </si>
  <si>
    <t xml:space="preserve">PRASAD KALIDAS</t>
  </si>
  <si>
    <t xml:space="preserve">0507872395</t>
  </si>
  <si>
    <t xml:space="preserve">prasadk78@gmail.com</t>
  </si>
  <si>
    <t xml:space="preserve">BHAGIRATHI NIVAS, P.O.THAZHA CHOVVA,, KANNUR DT., KERALA-670018</t>
  </si>
  <si>
    <t xml:space="preserve">MANURAJ M.V.</t>
  </si>
  <si>
    <t xml:space="preserve">0503646820</t>
  </si>
  <si>
    <t xml:space="preserve">9847514422</t>
  </si>
  <si>
    <t xml:space="preserve">manukanjiyil@gmail.com</t>
  </si>
  <si>
    <t xml:space="preserve">KANJIYIL HOUSE, KELOTH,, PAYYANNUR, KANNUR, KERALA</t>
  </si>
  <si>
    <t xml:space="preserve">SHANIF SALAM PALLIYARA CHALIL</t>
  </si>
  <si>
    <t xml:space="preserve">0503739443</t>
  </si>
  <si>
    <t xml:space="preserve">shanifs@yahoo.com</t>
  </si>
  <si>
    <t xml:space="preserve">KHAIMAH HAJEE ROAD, PAPPINISSERY WEST,, KANNUR, KERALA, 0091 9447314473</t>
  </si>
  <si>
    <t xml:space="preserve">MANOJKUMAR MENOTHUPARAMBIL</t>
  </si>
  <si>
    <t xml:space="preserve">0558797300</t>
  </si>
  <si>
    <t xml:space="preserve">manojmenoth@gmail.com</t>
  </si>
  <si>
    <t xml:space="preserve">MENOTHUPARAMBIL HOUSE, RAGARESMI,, P.O.ANTHIKAD,THRISSUR, KERALA - 680641, 0091 9495910745</t>
  </si>
  <si>
    <t xml:space="preserve">MOHAMMED KUNHI M.KADRI</t>
  </si>
  <si>
    <t xml:space="preserve">0558567350</t>
  </si>
  <si>
    <t xml:space="preserve">4994237782</t>
  </si>
  <si>
    <t xml:space="preserve">mohammed@emperor.ae</t>
  </si>
  <si>
    <t xml:space="preserve">MELAPARAMBA HOUSE, P.O.KALANAD,, KASARAGOD, KERALA.</t>
  </si>
  <si>
    <t xml:space="preserve">JOJI ABRAHAM</t>
  </si>
  <si>
    <t xml:space="preserve">0558160143</t>
  </si>
  <si>
    <t xml:space="preserve">9544237354</t>
  </si>
  <si>
    <t xml:space="preserve">jojiakkara75@gmail.com</t>
  </si>
  <si>
    <t xml:space="preserve">AKKARAKUNNATHU HOUSE, CHURULIKODE P.O.,, PATHANAMTHITTA, KERALA</t>
  </si>
  <si>
    <t xml:space="preserve">SHIBU THOMAS</t>
  </si>
  <si>
    <t xml:space="preserve">0505373928</t>
  </si>
  <si>
    <t xml:space="preserve">4762832546</t>
  </si>
  <si>
    <t xml:space="preserve">shibuthomas90@gmail.com</t>
  </si>
  <si>
    <t xml:space="preserve">PUTHENPARAMBIL GRACE COTTAGE,, WEST KALLADA, KOLLAM, KERALA.</t>
  </si>
  <si>
    <t xml:space="preserve">MAMMED K.P.</t>
  </si>
  <si>
    <t xml:space="preserve">0505274503</t>
  </si>
  <si>
    <t xml:space="preserve">arabalmadina333@gmail.com</t>
  </si>
  <si>
    <t xml:space="preserve">KALLOORI, P.O. AROLI,, VIA PAPPINISSERY, KANNUR, KERALA</t>
  </si>
  <si>
    <t xml:space="preserve">SREEKUMAR BHASKARAN NAIR</t>
  </si>
  <si>
    <t xml:space="preserve">0506403969</t>
  </si>
  <si>
    <t xml:space="preserve">9995325348</t>
  </si>
  <si>
    <t xml:space="preserve">bsreekumarnair@gmail.com</t>
  </si>
  <si>
    <t xml:space="preserve">GAYATHRY, KARUVATTA NORTH,, ALEPPEY, KERALA</t>
  </si>
  <si>
    <t xml:space="preserve">EBRAHIM ASHRAF</t>
  </si>
  <si>
    <t xml:space="preserve">0506779770</t>
  </si>
  <si>
    <t xml:space="preserve">9745334447</t>
  </si>
  <si>
    <t xml:space="preserve">ashraf.alwaha@gmail.com</t>
  </si>
  <si>
    <t xml:space="preserve">VARIKOLI HOUSE, VELOM SHANTHI NAGAR,, KUTTIADI, CALICUT, KERALA.</t>
  </si>
  <si>
    <t xml:space="preserve">RATHEESHKUMAR SADANANDAN</t>
  </si>
  <si>
    <t xml:space="preserve">0508610357</t>
  </si>
  <si>
    <t xml:space="preserve">9946435003</t>
  </si>
  <si>
    <t xml:space="preserve">mexicointl@gmail.com</t>
  </si>
  <si>
    <t xml:space="preserve">N.S.BHAVAN, AYANIVELIKULANGARA SOUTH,, S.V.MARKET P.O.,KARUNAGAPPALLY, KOLLAM.</t>
  </si>
  <si>
    <t xml:space="preserve">BIJU KRISHNAN</t>
  </si>
  <si>
    <t xml:space="preserve">0552504457</t>
  </si>
  <si>
    <t xml:space="preserve">bijukris@gmail.com</t>
  </si>
  <si>
    <t xml:space="preserve">BIJU NIVAS, V.P. - 4 / 178, PURA -104,, PUTHOORKONAM, MANIKANTESWARAM - 695013., 0091 9995109960</t>
  </si>
  <si>
    <t xml:space="preserve">REJI SAMUEL</t>
  </si>
  <si>
    <t xml:space="preserve">0552230767</t>
  </si>
  <si>
    <t xml:space="preserve">ronrino@eim.ae</t>
  </si>
  <si>
    <t xml:space="preserve">KOCHUPARAMPIL KIZHAKKATHIL,, KAYAMKULAM, ALAPPUZHA</t>
  </si>
  <si>
    <t xml:space="preserve">REJI KANNETHU VARUGHESE</t>
  </si>
  <si>
    <t xml:space="preserve">0506790370</t>
  </si>
  <si>
    <t xml:space="preserve">8593988760</t>
  </si>
  <si>
    <t xml:space="preserve">rejikvarughese@hotmail.com</t>
  </si>
  <si>
    <t xml:space="preserve">KANNETHU HOUSE, SAUMYA NAGAR,, ALINCHUVADU, PALARIVATTOM, ERNAKULAM</t>
  </si>
  <si>
    <t xml:space="preserve">HARISH KANNAN B.</t>
  </si>
  <si>
    <t xml:space="preserve">0502010656</t>
  </si>
  <si>
    <t xml:space="preserve">harishnair11@yahoo.com</t>
  </si>
  <si>
    <t xml:space="preserve">4, KUTTIAPILLAI LANE, EAST CAR STREET,, T.P.K.MADURAI, TAMILNADU</t>
  </si>
  <si>
    <t xml:space="preserve">CHRISTOPHER RAJAN</t>
  </si>
  <si>
    <t xml:space="preserve">0552407233</t>
  </si>
  <si>
    <t xml:space="preserve">9846876070</t>
  </si>
  <si>
    <t xml:space="preserve">cleyon000@gmail.com</t>
  </si>
  <si>
    <t xml:space="preserve">THAKADIYIL RAJU BHAVAN, PENNUKARA P.O.,, CHENGANNUR, ALAPPUZHA</t>
  </si>
  <si>
    <t xml:space="preserve">KUNHAMBU NAIR THAKUMKARA</t>
  </si>
  <si>
    <t xml:space="preserve">0505299053</t>
  </si>
  <si>
    <t xml:space="preserve">aleelialu@gmail.com</t>
  </si>
  <si>
    <t xml:space="preserve">THAKUMKARA CHENGARANKAD HOUSE, KUNDAMKUZHY P.O., CHENGALA VIA, KASARGOD.</t>
  </si>
  <si>
    <t xml:space="preserve">SUBAIR K.P.</t>
  </si>
  <si>
    <t xml:space="preserve">0552930440</t>
  </si>
  <si>
    <t xml:space="preserve">8606556681</t>
  </si>
  <si>
    <t xml:space="preserve">subairkp@nialimited.com</t>
  </si>
  <si>
    <t xml:space="preserve">AMINA MANZIL, SEVENTH MILE,, KUTTIKOLE P.O., KANNUR.</t>
  </si>
  <si>
    <t xml:space="preserve">GIJO JACOB GEORGE KALEEKKAL</t>
  </si>
  <si>
    <t xml:space="preserve">0502213310</t>
  </si>
  <si>
    <t xml:space="preserve">9497479999</t>
  </si>
  <si>
    <t xml:space="preserve">gijokaleekkal@gmail.com</t>
  </si>
  <si>
    <t xml:space="preserve">KALEEKKAL HOUSE, MANJADI P.O.,, THIRUVALLA, PATHANAMTHITTA, KERALA</t>
  </si>
  <si>
    <t xml:space="preserve">VINESH MOHAN K.S.</t>
  </si>
  <si>
    <t xml:space="preserve">0505983172</t>
  </si>
  <si>
    <t xml:space="preserve">vineshmohan@hotmail.com</t>
  </si>
  <si>
    <t xml:space="preserve">KUTTUVARASSARIL, KARUVATTA-P.O.,, ALLEPPEY, KERALA</t>
  </si>
  <si>
    <t xml:space="preserve">RAMAKRISHNAN NIDUVOTTUPARA</t>
  </si>
  <si>
    <t xml:space="preserve">0508276051</t>
  </si>
  <si>
    <t xml:space="preserve">rknperiya@gmail.com</t>
  </si>
  <si>
    <t xml:space="preserve">NIDUVOTTUPARA HOUSE, PERIYA P.O.,, PALLIKERE VIA, KASARAGOD.</t>
  </si>
  <si>
    <t xml:space="preserve">SHAJAHAN KANNAMKULAM</t>
  </si>
  <si>
    <t xml:space="preserve">0563038080</t>
  </si>
  <si>
    <t xml:space="preserve">kshajahan22@yahoo.com</t>
  </si>
  <si>
    <t xml:space="preserve">SHAAS VILLA, PAKYERE,, UDMA POST, KASARAGOD, 0091 9037100835</t>
  </si>
  <si>
    <t xml:space="preserve">MIDHU SYRA MATHEW</t>
  </si>
  <si>
    <t xml:space="preserve">0503783651</t>
  </si>
  <si>
    <t xml:space="preserve">4762872114</t>
  </si>
  <si>
    <t xml:space="preserve">midhusyra@gmail.com</t>
  </si>
  <si>
    <t xml:space="preserve">PADINJARE VEEDU, KIZHAKKEKARA,, THEVALAKARA -P.O., KOLLAM</t>
  </si>
  <si>
    <t xml:space="preserve">BINOY MANIPURATH PRABHAKARAN</t>
  </si>
  <si>
    <t xml:space="preserve">0508073724</t>
  </si>
  <si>
    <t xml:space="preserve">9447480525</t>
  </si>
  <si>
    <t xml:space="preserve">binoyprabha@hotmail.com</t>
  </si>
  <si>
    <t xml:space="preserve">18/1130, VADAKKATH PARAMBA,, PUTHIYARA, CALICUT</t>
  </si>
  <si>
    <t xml:space="preserve">MUHAMED SHAFEEQ P.</t>
  </si>
  <si>
    <t xml:space="preserve">0502129988</t>
  </si>
  <si>
    <t xml:space="preserve">shefiq@telephony.ae</t>
  </si>
  <si>
    <t xml:space="preserve">DARUL SALAM, MUTTOM BAZAR-P..O,, VENGARA, KANNUR, KERALA</t>
  </si>
  <si>
    <t xml:space="preserve">SATHISH KUMAR AWADAKAM</t>
  </si>
  <si>
    <t xml:space="preserve">0502848600</t>
  </si>
  <si>
    <t xml:space="preserve">sathishenp@gmail.com</t>
  </si>
  <si>
    <t xml:space="preserve">CHENDATHODY HOUSE, KARADKA P.O.,, KASARAGOD,KERALA</t>
  </si>
  <si>
    <t xml:space="preserve">RENJITH NARAYANA PILLAI</t>
  </si>
  <si>
    <t xml:space="preserve">0558650400</t>
  </si>
  <si>
    <t xml:space="preserve">9895614838</t>
  </si>
  <si>
    <t xml:space="preserve">renjithnpillai@gmail.com</t>
  </si>
  <si>
    <t xml:space="preserve">MEKARA, KANAKKARY P.O.,, KOTTAYAM, KERALA., SHABBIR AHMED ALI MOIDEEN KUNHLI 3622, 1394, SHARJAH, PUTHANPURAYIL KALIRAKATH, THOTTAPP,, MADU P.O., THRISSUR, KERALA.</t>
  </si>
  <si>
    <t xml:space="preserve">RAMAKRISHNAN PUTHIYA PURAYIL</t>
  </si>
  <si>
    <t xml:space="preserve">0503515853</t>
  </si>
  <si>
    <t xml:space="preserve">4972863419</t>
  </si>
  <si>
    <t xml:space="preserve">rppurayil@hotmail.com</t>
  </si>
  <si>
    <t xml:space="preserve">KANDAN CHALIL HOUSE, KEEZHARA P.O.,, CHERUKUNNU VIA, KANNUR.</t>
  </si>
  <si>
    <t xml:space="preserve">DILEEP KUMAR PARIYARAM</t>
  </si>
  <si>
    <t xml:space="preserve">0551250021</t>
  </si>
  <si>
    <t xml:space="preserve">dileep.pariyaram@gmail.com</t>
  </si>
  <si>
    <t xml:space="preserve">ASHA NIVAS, PARIYARAM,, UDMA, KASARAGOD, KERALA, 00916282459752</t>
  </si>
  <si>
    <t xml:space="preserve">FAHIYAS PANGATT</t>
  </si>
  <si>
    <t xml:space="preserve">0553118822</t>
  </si>
  <si>
    <t xml:space="preserve">fahiyas@thedeepseafood.com</t>
  </si>
  <si>
    <t xml:space="preserve">KARAT HOUSE, OORAKAM,MELMURI P.O.,, MALAPPURAM, KERALA, 91 8589999993</t>
  </si>
  <si>
    <t xml:space="preserve">JAYAKUMAR PRABHAKARAN NAIR</t>
  </si>
  <si>
    <t xml:space="preserve">0556434756</t>
  </si>
  <si>
    <t xml:space="preserve">6282130124</t>
  </si>
  <si>
    <t xml:space="preserve">konniyoorjayan@yahoo.com</t>
  </si>
  <si>
    <t xml:space="preserve">JAYA NIVAS, THENGUMKAVU P.O., MALLASSERY,, KONNI, PATHANAMTHITTA, KERALA.</t>
  </si>
  <si>
    <t xml:space="preserve">SUKUMARAN VAYALPURAM</t>
  </si>
  <si>
    <t xml:space="preserve">0527566969</t>
  </si>
  <si>
    <t xml:space="preserve">9481549348</t>
  </si>
  <si>
    <t xml:space="preserve">vayalpuram@gmail.com</t>
  </si>
  <si>
    <t xml:space="preserve">SONALAYAM, KADAMBANCHAL,, PANAYAL P.O., KASARAGOD.</t>
  </si>
  <si>
    <t xml:space="preserve">ASHOKAN KOTHRAMBAN KOTTAN</t>
  </si>
  <si>
    <t xml:space="preserve">0502175214</t>
  </si>
  <si>
    <t xml:space="preserve">9656950984</t>
  </si>
  <si>
    <t xml:space="preserve">VADAKKEKKARA HOUSE, P.O.KEEKAN VIA,, PALLIKKARA, KASARAGOD, KERALA</t>
  </si>
  <si>
    <t xml:space="preserve">AJITH PRASAD G.UNNITHAN</t>
  </si>
  <si>
    <t xml:space="preserve">0509454297</t>
  </si>
  <si>
    <t xml:space="preserve">ajithmagnet@yahoo.co.in</t>
  </si>
  <si>
    <t xml:space="preserve">AKATHOOTTU VEEDU, PANDITHITTA,, THALAVOOR, KOLLAM, KERALA</t>
  </si>
  <si>
    <t xml:space="preserve">RIYAS KOOTTU MUGATH</t>
  </si>
  <si>
    <t xml:space="preserve">0507062149</t>
  </si>
  <si>
    <t xml:space="preserve">riyashyder@gmail.com</t>
  </si>
  <si>
    <t xml:space="preserve">KOTTUMUGATH HOUSE, P.O.KOLLAM,, KOYILANDY, KOZHIKODE DT, KERALA-673307</t>
  </si>
  <si>
    <t xml:space="preserve">RANJU LUKE KURIEN</t>
  </si>
  <si>
    <t xml:space="preserve">0502211336</t>
  </si>
  <si>
    <t xml:space="preserve">8547311113</t>
  </si>
  <si>
    <t xml:space="preserve">luke.ranju@gmail.com</t>
  </si>
  <si>
    <t xml:space="preserve">6-B-301, ALKA NAGAR,, LOKHANDWALA, MUMBAI</t>
  </si>
  <si>
    <t xml:space="preserve">V.N.SADIK ALI</t>
  </si>
  <si>
    <t xml:space="preserve">0504689001</t>
  </si>
  <si>
    <t xml:space="preserve">9947858750</t>
  </si>
  <si>
    <t xml:space="preserve">sadik.ali@hassani.ae</t>
  </si>
  <si>
    <t xml:space="preserve">SHA MANZIL, OVUNGAL BAZAR,, CHAVAKKAD, THRISSUR, KERALA.</t>
  </si>
  <si>
    <t xml:space="preserve">ADHEM SHAHIN</t>
  </si>
  <si>
    <t xml:space="preserve">0568433583</t>
  </si>
  <si>
    <t xml:space="preserve">9544433222</t>
  </si>
  <si>
    <t xml:space="preserve">dr.adhemshahin@gmail.com</t>
  </si>
  <si>
    <t xml:space="preserve">KAREKULAMKARA HOUSE, POST KIZHUPILIKARA,, KATTOOR, THRISUUR, KERALA</t>
  </si>
  <si>
    <t xml:space="preserve">SUDHEER PONNAMBATHAYIL</t>
  </si>
  <si>
    <t xml:space="preserve">0503573077</t>
  </si>
  <si>
    <t xml:space="preserve">sudheerbrightplastic@gmail.com</t>
  </si>
  <si>
    <t xml:space="preserve">VALIYAPARAMBIL HOUSE, P.O. MANNALAMKUNNU,, VIA CHAVAKKADU, TRICHUR DT.</t>
  </si>
  <si>
    <t xml:space="preserve">ISMAIL VELUTHAPARAMBATH</t>
  </si>
  <si>
    <t xml:space="preserve">0504438597</t>
  </si>
  <si>
    <t xml:space="preserve">visiondxb2010@gmail.com</t>
  </si>
  <si>
    <t xml:space="preserve">VELUTHAPARAMBATH HOUSE,, KOTTAPPALLY P.O., CALICUT, KERALA., 0091 9495908886</t>
  </si>
  <si>
    <t xml:space="preserve">BIJU ISSAC</t>
  </si>
  <si>
    <t xml:space="preserve">0506264178</t>
  </si>
  <si>
    <t xml:space="preserve">4682351977</t>
  </si>
  <si>
    <t xml:space="preserve">biju.bilad@gmail.com</t>
  </si>
  <si>
    <t xml:space="preserve">KANNAM PUTHUR BIJU BHAVAN,, MATHOOR P.O.,PATHANAMTHITTA.</t>
  </si>
  <si>
    <t xml:space="preserve">BIGY SCARIAH</t>
  </si>
  <si>
    <t xml:space="preserve">0555064883</t>
  </si>
  <si>
    <t xml:space="preserve">bigy@abkauditing.com</t>
  </si>
  <si>
    <t xml:space="preserve">REJI SADANAM, PANDANAD (W),, CHENGANNUR, KERALA</t>
  </si>
  <si>
    <t xml:space="preserve">KHASIM ENOLI</t>
  </si>
  <si>
    <t xml:space="preserve">0529590480</t>
  </si>
  <si>
    <t xml:space="preserve">9447373702</t>
  </si>
  <si>
    <t xml:space="preserve">khasimenoli@gmail.com</t>
  </si>
  <si>
    <t xml:space="preserve">ENOLI HOUSE, CHANIYAMKADAVU-P.O.,, THIRUVALLUR, KOZHIKODE, KERALA-673541</t>
  </si>
  <si>
    <t xml:space="preserve">ABDUL JABBAR IBRAHIM</t>
  </si>
  <si>
    <t xml:space="preserve">0505863768</t>
  </si>
  <si>
    <t xml:space="preserve">9605488022</t>
  </si>
  <si>
    <t xml:space="preserve">abduljabbar.raazi@gmail.com</t>
  </si>
  <si>
    <t xml:space="preserve">SAJNA MANZIL, PATTAYAM P.O.,, KOLACHERY, KANNUR DT, KERALA</t>
  </si>
  <si>
    <t xml:space="preserve">KIRANKUMAR KUNHIRAMAN</t>
  </si>
  <si>
    <t xml:space="preserve">0552348877</t>
  </si>
  <si>
    <t xml:space="preserve">9895960229</t>
  </si>
  <si>
    <t xml:space="preserve">kirankumark575@gmail.com</t>
  </si>
  <si>
    <t xml:space="preserve">K K NIVAS, MARAKAP KADAPPURAM, P.O.,, THAIKADAPURAM, KASARAGOD, KERALA- 671314.</t>
  </si>
  <si>
    <t xml:space="preserve">SHIHAS T.MOHAMMED</t>
  </si>
  <si>
    <t xml:space="preserve">0508413381</t>
  </si>
  <si>
    <t xml:space="preserve">9526297280</t>
  </si>
  <si>
    <t xml:space="preserve">shihas.saheera@gmail.com</t>
  </si>
  <si>
    <t xml:space="preserve">THEPPARAMBIL HOUSE, VATANAPALLY BEACH-P.O.,, TRICHUR, KERALA - 680614.</t>
  </si>
  <si>
    <t xml:space="preserve">BENNY KUNJAPPAN JAIN</t>
  </si>
  <si>
    <t xml:space="preserve">0504517820</t>
  </si>
  <si>
    <t xml:space="preserve">4752250255</t>
  </si>
  <si>
    <t xml:space="preserve">benny_jain@hotmail.com</t>
  </si>
  <si>
    <t xml:space="preserve">BENNY BHAVAN, THAZHAMEL,, ANCHAL, KOLLAM, KERALA</t>
  </si>
  <si>
    <t xml:space="preserve">JOSEPH SEBASTIAN</t>
  </si>
  <si>
    <t xml:space="preserve">0504850525</t>
  </si>
  <si>
    <t xml:space="preserve">joeljeshma@gmail.com</t>
  </si>
  <si>
    <t xml:space="preserve">SHALOM VILLA, TC - 33/864(1), KOCHUVELI,, TITANIUM-P.O., TRIVANDRUM - 695021., 0091 9846511274</t>
  </si>
  <si>
    <t xml:space="preserve">K.VISWANATHAN</t>
  </si>
  <si>
    <t xml:space="preserve">0506779710</t>
  </si>
  <si>
    <t xml:space="preserve">PUTHEN VEEDU PARAKKAL PARAMBA, PERUVEMBA POST PALAKKAD DIST KERALA</t>
  </si>
  <si>
    <t xml:space="preserve">SATHIKUMAR PONNAN</t>
  </si>
  <si>
    <t xml:space="preserve">0506799578</t>
  </si>
  <si>
    <t xml:space="preserve">almattar.kps@gmail.com</t>
  </si>
  <si>
    <t xml:space="preserve">AMBADY HOUSE, OPP. G.H.S.S. KAZHAKUTTOM.P.O.,, TRIVANDRUM, KERALA</t>
  </si>
  <si>
    <t xml:space="preserve">MUHAMMED KUNHI.P.K</t>
  </si>
  <si>
    <t xml:space="preserve">0552470015</t>
  </si>
  <si>
    <t xml:space="preserve">9847093900</t>
  </si>
  <si>
    <t xml:space="preserve">richoos2000@gmail.com</t>
  </si>
  <si>
    <t xml:space="preserve">PAZHAM KULATHINGAL HOUSE, CHUNANGAD, CHUNANGAD PO, PALAKKAD DT, KERALA</t>
  </si>
  <si>
    <t xml:space="preserve">SOSAMMA EAPEN</t>
  </si>
  <si>
    <t xml:space="preserve">0501354246</t>
  </si>
  <si>
    <t xml:space="preserve">sosammae@gmail.com</t>
  </si>
  <si>
    <t xml:space="preserve">KEECHERIL, PERUMPETTY, PATHANAMTHITTA DT, KERALA</t>
  </si>
  <si>
    <t xml:space="preserve">PUSHPAM SIMON</t>
  </si>
  <si>
    <t xml:space="preserve">0502184675</t>
  </si>
  <si>
    <t xml:space="preserve">9995557927</t>
  </si>
  <si>
    <t xml:space="preserve">simonsachu@gmail.com</t>
  </si>
  <si>
    <t xml:space="preserve">581 139/867 KINARUVILA PURAYIDOM,HAPPY HOME, KARUMKULAM PANCHAYATH</t>
  </si>
  <si>
    <t xml:space="preserve">ABHILASH RETNAKARAN</t>
  </si>
  <si>
    <t xml:space="preserve">0529088058</t>
  </si>
  <si>
    <t xml:space="preserve">abhilash9red@gmail.com</t>
  </si>
  <si>
    <t xml:space="preserve">THUMPOTTU VEEDU, CHOOTTAYIL, KILIMANOOR, TRIVANDRUM,KERALA</t>
  </si>
  <si>
    <t xml:space="preserve">PRAVEEN ANDICOT</t>
  </si>
  <si>
    <t xml:space="preserve">0558651849</t>
  </si>
  <si>
    <t xml:space="preserve">9745330333</t>
  </si>
  <si>
    <t xml:space="preserve">praveenandicot@gmail.com</t>
  </si>
  <si>
    <t xml:space="preserve">ANDIKOT HOUSE, POOMANGALAM,, ARIPPALAM. THRISSUR DT, KERALA</t>
  </si>
  <si>
    <t xml:space="preserve">ISMAYIL EBRAHIM</t>
  </si>
  <si>
    <t xml:space="preserve">0558686369</t>
  </si>
  <si>
    <t xml:space="preserve">8281790000</t>
  </si>
  <si>
    <t xml:space="preserve">ismailnesto27@gmail.com</t>
  </si>
  <si>
    <t xml:space="preserve">AL SAFA CHUNKIYAN KOYILOTH, PURAMERI.PO, VIA VATAKARA, KOZHIKODE DT, KERALA</t>
  </si>
  <si>
    <t xml:space="preserve">KULAKKANDATHIL BASHEER</t>
  </si>
  <si>
    <t xml:space="preserve">0559890005</t>
  </si>
  <si>
    <t xml:space="preserve">KULAKKANDATHIL HOUSE, PALERI P.O.,, VIA KUTTIADY, KOZHIKODE , KERALA</t>
  </si>
  <si>
    <t xml:space="preserve">MINI THEVAR KANHOTT</t>
  </si>
  <si>
    <t xml:space="preserve">0502193410</t>
  </si>
  <si>
    <t xml:space="preserve">minimanimeloth@gmail.com</t>
  </si>
  <si>
    <t xml:space="preserve">THEVAR KANHOTT HOUSE, P.O.CHERUVANNUR,, KOZHIKODE, KERALA.</t>
  </si>
  <si>
    <t xml:space="preserve">SIDDIQUE PALOLLATHIL</t>
  </si>
  <si>
    <t xml:space="preserve">0506391111</t>
  </si>
  <si>
    <t xml:space="preserve">siddiquenesto@gmail.com</t>
  </si>
  <si>
    <t xml:space="preserve">PALOLLATHIL HOUSE, MUTHUVADATHOOR P.O.,, PURAMERI Via, KOZHIKODE, KERALA</t>
  </si>
  <si>
    <t xml:space="preserve">JIBEESH VAZHAPPULLY SASI</t>
  </si>
  <si>
    <t xml:space="preserve">0555289826</t>
  </si>
  <si>
    <t xml:space="preserve">9633821019</t>
  </si>
  <si>
    <t xml:space="preserve">jibeeshvs9@gmail.com</t>
  </si>
  <si>
    <t xml:space="preserve">VAZHAPPULLY HOUSE, PATHIYARKULANGARA (P.O),, THRISSUR DIST.- 680552, KERALA</t>
  </si>
  <si>
    <t xml:space="preserve">MOIDEEN KUNHI MOOSA MOOLAYIL</t>
  </si>
  <si>
    <t xml:space="preserve">0557361743</t>
  </si>
  <si>
    <t xml:space="preserve">moideenmm@gmail.com</t>
  </si>
  <si>
    <t xml:space="preserve">MOOLAYIL HOUSE, P.O. UDMA,, KASARAGOD - 671319, KERALA</t>
  </si>
  <si>
    <t xml:space="preserve">REJI THOMAS</t>
  </si>
  <si>
    <t xml:space="preserve">0506542652</t>
  </si>
  <si>
    <t xml:space="preserve">9562424000</t>
  </si>
  <si>
    <t xml:space="preserve">rejiuae@emirates.net.ae</t>
  </si>
  <si>
    <t xml:space="preserve">PLAVILA THEKKETHIL HOUSE, EZHAMKULAM,, VAYALA, ADOOR, PATHANAMTHITTA.</t>
  </si>
  <si>
    <t xml:space="preserve">BABU KAKKADAN PAULOSE</t>
  </si>
  <si>
    <t xml:space="preserve">0528264444</t>
  </si>
  <si>
    <t xml:space="preserve">bkakkadan@gmail.com</t>
  </si>
  <si>
    <t xml:space="preserve">KAKKADAN HOUSE, OORAKKADU P.O.,, ERNAKULAM, KERALA</t>
  </si>
  <si>
    <t xml:space="preserve">NIDHI SUSAN DANIEL</t>
  </si>
  <si>
    <t xml:space="preserve">0545437674</t>
  </si>
  <si>
    <t xml:space="preserve">nidhisusandaniel@aol.com</t>
  </si>
  <si>
    <t xml:space="preserve">PERUMKUNNIL HOUSE, MEZHUVELI P.O.,, MEZHUVELI, PATHNAMTHITTA, KERALA.</t>
  </si>
  <si>
    <t xml:space="preserve">GULAB KAPPATTAKATH</t>
  </si>
  <si>
    <t xml:space="preserve">0553841911</t>
  </si>
  <si>
    <t xml:space="preserve">4942631012</t>
  </si>
  <si>
    <t xml:space="preserve">gulabkappattakath@gmail.com</t>
  </si>
  <si>
    <t xml:space="preserve">30999, R.A.K., KADAVUKARAKATH HOUSE , VAKKAD P.O.,, TIRUR, MALAPPURAM, KERALA</t>
  </si>
  <si>
    <t xml:space="preserve">TINO P. MATHEW</t>
  </si>
  <si>
    <t xml:space="preserve">0507465644</t>
  </si>
  <si>
    <t xml:space="preserve">9544698710</t>
  </si>
  <si>
    <t xml:space="preserve">tinopmathew@gmail.com</t>
  </si>
  <si>
    <t xml:space="preserve">'PERAMANGALATH HOUSE', THAIKKAD POST,, GURUVAYOOR- 680104, KERALA</t>
  </si>
  <si>
    <t xml:space="preserve">JAYAPRAKASH KALLENGAT</t>
  </si>
  <si>
    <t xml:space="preserve">0506553719</t>
  </si>
  <si>
    <t xml:space="preserve">9846368063</t>
  </si>
  <si>
    <t xml:space="preserve">jpkallengat@yahoo.com</t>
  </si>
  <si>
    <t xml:space="preserve">KAPLENGAT HOUSE, PERUMPILAVU-P.O.,, THRISSUR- 680519, KERALA</t>
  </si>
  <si>
    <t xml:space="preserve">ABDUL JALEEL PANACHIKKOOL</t>
  </si>
  <si>
    <t xml:space="preserve">0504568535</t>
  </si>
  <si>
    <t xml:space="preserve">pkjalil@gmail.com</t>
  </si>
  <si>
    <t xml:space="preserve">PANACHIKKOOL HOUSE, CHERUMOTH P.O.,, VALAYAM VIA, KOZHIKODE., 0091 - 4962552556</t>
  </si>
  <si>
    <t xml:space="preserve">ABDUL NAZAR ALI</t>
  </si>
  <si>
    <t xml:space="preserve">0506339027</t>
  </si>
  <si>
    <t xml:space="preserve">nazar@mufeedprinting.com</t>
  </si>
  <si>
    <t xml:space="preserve">BENDICHAL , THEKKIL P.O.,, KASARAGOD, KERALA, 91- 9496558003</t>
  </si>
  <si>
    <t xml:space="preserve">PREMAN NAMBIAR THALIYAN</t>
  </si>
  <si>
    <t xml:space="preserve">0504690838</t>
  </si>
  <si>
    <t xml:space="preserve">9847378721</t>
  </si>
  <si>
    <t xml:space="preserve">premannambiar@yahoo.com</t>
  </si>
  <si>
    <t xml:space="preserve">'GREESHMAM', P.O.THIRUVATTOOR,, THALIPPARAMBA, KANNUR.</t>
  </si>
  <si>
    <t xml:space="preserve">SOBY JOHN</t>
  </si>
  <si>
    <t xml:space="preserve">0555585046</t>
  </si>
  <si>
    <t xml:space="preserve">4772215353</t>
  </si>
  <si>
    <t xml:space="preserve">sobyjohns@gmail.com</t>
  </si>
  <si>
    <t xml:space="preserve">VATHAPPALLIL HOUSE, EDATHUA P.O., ALAPPUZHA-689573, KERALA.</t>
  </si>
  <si>
    <t xml:space="preserve">EASA ANEES MELEDATH</t>
  </si>
  <si>
    <t xml:space="preserve">0504242011</t>
  </si>
  <si>
    <t xml:space="preserve">4942644981</t>
  </si>
  <si>
    <t xml:space="preserve">easabai@gmail.com</t>
  </si>
  <si>
    <t xml:space="preserve">MELEDATH, TIRURKAD P.O.,, MALAPPURAM, KERALA</t>
  </si>
  <si>
    <t xml:space="preserve">SHYJU EDATHIL</t>
  </si>
  <si>
    <t xml:space="preserve">0504705271</t>
  </si>
  <si>
    <t xml:space="preserve">shyjue@gmail.com</t>
  </si>
  <si>
    <t xml:space="preserve">GOVIND NIVAS, AMMANPARA, P.O. C POYIL,, PARIYARAM, KANNUR-670502</t>
  </si>
  <si>
    <t xml:space="preserve">MEERA PILLAI SHAHOOL HAMEED</t>
  </si>
  <si>
    <t xml:space="preserve">0506450682</t>
  </si>
  <si>
    <t xml:space="preserve">shahoolhameed@gmail.com</t>
  </si>
  <si>
    <t xml:space="preserve">TC-13/1445, 4, BURMA ROAD, KUMARAPURAM,, MEDICAL COLLEGE- P.O., TRIVANDRUM</t>
  </si>
  <si>
    <t xml:space="preserve">0502727285</t>
  </si>
  <si>
    <t xml:space="preserve">8113068667</t>
  </si>
  <si>
    <t xml:space="preserve">radhasubha@gmail.com</t>
  </si>
  <si>
    <t xml:space="preserve">SHRIPURAM,MUTHUKULAM NORTH,, CHEPPAD-P.O.,ALAPPUZHA, KERALA-690507</t>
  </si>
  <si>
    <t xml:space="preserve">AKBAR ALI ORAVAN KUNDIL</t>
  </si>
  <si>
    <t xml:space="preserve">0503867737</t>
  </si>
  <si>
    <t xml:space="preserve">4662243533</t>
  </si>
  <si>
    <t xml:space="preserve">a.ali@tamimi.com</t>
  </si>
  <si>
    <t xml:space="preserve">ORAVAN KUNDIL HOUSE, P.O.PANAMANNA,, PALAKKAD, KERALA - 679501</t>
  </si>
  <si>
    <t xml:space="preserve">RAJESH JACOB</t>
  </si>
  <si>
    <t xml:space="preserve">0504546797</t>
  </si>
  <si>
    <t xml:space="preserve">raeshc@eim.ae</t>
  </si>
  <si>
    <t xml:space="preserve">KALLOOPPARA HOUSE, KURISUMMOODU P.O.,, CHANGANACHERRY, KERALA, 0091 4812729375</t>
  </si>
  <si>
    <t xml:space="preserve">SANIL KURUVILLA</t>
  </si>
  <si>
    <t xml:space="preserve">0509276693</t>
  </si>
  <si>
    <t xml:space="preserve">sanil.k@hotmail.com</t>
  </si>
  <si>
    <t xml:space="preserve">NADAPPALLY MEPPURATH, THURUTHIKAD-P.O.,, MALLAPPALLY, PATHANAMTHITTA, KERALA, 0091- 9446755402</t>
  </si>
  <si>
    <t xml:space="preserve">DAVID VARGHESE</t>
  </si>
  <si>
    <t xml:space="preserve">0505573886</t>
  </si>
  <si>
    <t xml:space="preserve">9497394424</t>
  </si>
  <si>
    <t xml:space="preserve">davidvarghese79@gmail.com</t>
  </si>
  <si>
    <t xml:space="preserve">KODUMANNETH PEACE COTTAGE, KONNI,, VAKAYAR-P.O., PATHANAMTHITTA-689698</t>
  </si>
  <si>
    <t xml:space="preserve">SHAJU RAJENDRAN NAIR</t>
  </si>
  <si>
    <t xml:space="preserve">0558157423</t>
  </si>
  <si>
    <t xml:space="preserve">9605407521</t>
  </si>
  <si>
    <t xml:space="preserve">shajurn@gmail.com</t>
  </si>
  <si>
    <t xml:space="preserve">R.R.SADHANAM, KANNAMBA,, VARKALA, TRIVANDRUM, KERALA-695141</t>
  </si>
  <si>
    <t xml:space="preserve">MUHAMMAD ALI</t>
  </si>
  <si>
    <t xml:space="preserve">0557242125</t>
  </si>
  <si>
    <t xml:space="preserve">8606782007</t>
  </si>
  <si>
    <t xml:space="preserve">mufi_shad@gmail.com</t>
  </si>
  <si>
    <t xml:space="preserve">HAFEEJA COTTAGE, KUTTOORVAYAL,, SREEKANDAPURAM,KANNOOR -670631.</t>
  </si>
  <si>
    <t xml:space="preserve">SREERESH P.</t>
  </si>
  <si>
    <t xml:space="preserve">0508918234</t>
  </si>
  <si>
    <t xml:space="preserve">7736618059</t>
  </si>
  <si>
    <t xml:space="preserve">sree200007@gmail.com</t>
  </si>
  <si>
    <t xml:space="preserve">NAMBERU VILA VEEDU (SITHARA),, KARAMCODU -P.O., KOLLAM, KERALA</t>
  </si>
  <si>
    <t xml:space="preserve">M.S.BIJU</t>
  </si>
  <si>
    <t xml:space="preserve">0501929869</t>
  </si>
  <si>
    <t xml:space="preserve">9847155120</t>
  </si>
  <si>
    <t xml:space="preserve">bijucatalyst@gmail.com</t>
  </si>
  <si>
    <t xml:space="preserve">MANIYANDHRA HOUSE, BRAHMAKULAM POST,, GURUVAYOOR, TRICHUR, KERALA</t>
  </si>
  <si>
    <t xml:space="preserve">AFSAR KUTTIYASSAN</t>
  </si>
  <si>
    <t xml:space="preserve">0525019394</t>
  </si>
  <si>
    <t xml:space="preserve">4972874750</t>
  </si>
  <si>
    <t xml:space="preserve">afsu@outlook.com</t>
  </si>
  <si>
    <t xml:space="preserve">MP - XV 462, AFRAS, PUTHIYANGADI-P.O.,, MADAYI, KANNUR - 670304</t>
  </si>
  <si>
    <t xml:space="preserve">ASHRAF POYIL</t>
  </si>
  <si>
    <t xml:space="preserve">0505343240</t>
  </si>
  <si>
    <t xml:space="preserve">ashrafpoyil@gmail.com</t>
  </si>
  <si>
    <t xml:space="preserve">POYIL HOUSE, KADAVATHOOR P.O.,, KANNUR, KERALA.</t>
  </si>
  <si>
    <t xml:space="preserve">NEVIN GEO THOMAS</t>
  </si>
  <si>
    <t xml:space="preserve">0551993465</t>
  </si>
  <si>
    <t xml:space="preserve">9446458860</t>
  </si>
  <si>
    <t xml:space="preserve">nevingeothomas@gmail.com</t>
  </si>
  <si>
    <t xml:space="preserve">MULAMOOTTIL KALAYIL HOUSE, NARANGANAM-P.O.,, PATHANAMTHITTA, KERALA</t>
  </si>
  <si>
    <t xml:space="preserve">JAYA PRAKASH</t>
  </si>
  <si>
    <t xml:space="preserve">0509952496</t>
  </si>
  <si>
    <t xml:space="preserve">jaypees848@yahoo.com</t>
  </si>
  <si>
    <t xml:space="preserve">ASWATHY,THAMBURANPADY,, P.O.KOTTAPADY,TRICHUR DIST,KERALA., 0091 9744024442</t>
  </si>
  <si>
    <t xml:space="preserve">KAMARUDHEEN PODUVACHOLA</t>
  </si>
  <si>
    <t xml:space="preserve">0504997565</t>
  </si>
  <si>
    <t xml:space="preserve">kamar50@gmail.com</t>
  </si>
  <si>
    <t xml:space="preserve">PALLIKKUTH, PATTIKKAD-P.O.,, MALAPPURAM-679325, KERALA.</t>
  </si>
  <si>
    <t xml:space="preserve">FAISAL MEPPADATHIL</t>
  </si>
  <si>
    <t xml:space="preserve">0552700868</t>
  </si>
  <si>
    <t xml:space="preserve">4962700868</t>
  </si>
  <si>
    <t xml:space="preserve">fasmp@yahoo.com</t>
  </si>
  <si>
    <t xml:space="preserve">BAITHUL SAFA, KODASSERY,, P.O. MODAKKALLUR, KERALA-673321</t>
  </si>
  <si>
    <t xml:space="preserve">NOUSHAD NARAKANDY</t>
  </si>
  <si>
    <t xml:space="preserve">0503614685</t>
  </si>
  <si>
    <t xml:space="preserve">4962701328</t>
  </si>
  <si>
    <t xml:space="preserve">narakandy@gmail.com</t>
  </si>
  <si>
    <t xml:space="preserve">MODAKKALLUR, ATHOLY, KODASSERY,, KOZHIKODE, KERALA - 673323</t>
  </si>
  <si>
    <t xml:space="preserve">JOSEPH NJANAKKAL JOSE</t>
  </si>
  <si>
    <t xml:space="preserve">0559511542</t>
  </si>
  <si>
    <t xml:space="preserve">8129046428</t>
  </si>
  <si>
    <t xml:space="preserve">josephjose2001@gmail.com</t>
  </si>
  <si>
    <t xml:space="preserve">NJANAKKAL HOUSE, THOPPIL, THRIKKAKARA P.O.,, ERNAKULAM-682021, KERALA</t>
  </si>
  <si>
    <t xml:space="preserve">KRISHNA KUMAR VALIYA PARAMBATH</t>
  </si>
  <si>
    <t xml:space="preserve">0506921018</t>
  </si>
  <si>
    <t xml:space="preserve">nandithak.vp@gmail.com</t>
  </si>
  <si>
    <t xml:space="preserve">NADUKKANDIYIL HOUSE, ERAMALA,, ORKKATTERI, KOZHIKODE, KERALA</t>
  </si>
  <si>
    <t xml:space="preserve">MANAF KUNNIL</t>
  </si>
  <si>
    <t xml:space="preserve">0508920822</t>
  </si>
  <si>
    <t xml:space="preserve">ameenmanaf@gmail.com</t>
  </si>
  <si>
    <t xml:space="preserve">BEKAL KUNNIL HOUSE, PALLIKERE,, KASARAGOD, KERALA</t>
  </si>
  <si>
    <t xml:space="preserve">SHIJIL HASHIM</t>
  </si>
  <si>
    <t xml:space="preserve">0566512650</t>
  </si>
  <si>
    <t xml:space="preserve">4902342720</t>
  </si>
  <si>
    <t xml:space="preserve">shijilh@gmail.com</t>
  </si>
  <si>
    <t xml:space="preserve">AYSHA VILLA, P.O.THIRUVANGAD,, TELLICHERRY, KANNUR, KERALA-670103</t>
  </si>
  <si>
    <t xml:space="preserve">MUSAMMIL A.</t>
  </si>
  <si>
    <t xml:space="preserve">0505973625</t>
  </si>
  <si>
    <t xml:space="preserve">4933270431</t>
  </si>
  <si>
    <t xml:space="preserve">alrawahil2009@gmail.com</t>
  </si>
  <si>
    <t xml:space="preserve">ANAMANGADAN HOUSE, SANTHAPURAM,, PATTIKKAD, MALAPPURAM, KERALA</t>
  </si>
  <si>
    <t xml:space="preserve">MUHAMMAD KONGAPPALLY</t>
  </si>
  <si>
    <t xml:space="preserve">0503046767</t>
  </si>
  <si>
    <t xml:space="preserve">kpparco@yahoo.com</t>
  </si>
  <si>
    <t xml:space="preserve">KONGAPPALLY HOUSE, P.O.PERODE,, TUNERI, KOZHIKODE, KERALA</t>
  </si>
  <si>
    <t xml:space="preserve">ABDUL HAMEED M.</t>
  </si>
  <si>
    <t xml:space="preserve">0552273075</t>
  </si>
  <si>
    <t xml:space="preserve">499772130</t>
  </si>
  <si>
    <t xml:space="preserve">5583 KING FAISAL ROAD, MOKKOOD, POST KEEKAN, VIA- PALLIKERA- 671316</t>
  </si>
  <si>
    <t xml:space="preserve">BADARUDEEN M.H.</t>
  </si>
  <si>
    <t xml:space="preserve">0503662500</t>
  </si>
  <si>
    <t xml:space="preserve">4702695970</t>
  </si>
  <si>
    <t xml:space="preserve">bader@hamriyaport.ae</t>
  </si>
  <si>
    <t xml:space="preserve">BIJI NILAYAM, THOTTAKAD POST., KALLAMBALAM</t>
  </si>
  <si>
    <t xml:space="preserve">BENNET R.S.</t>
  </si>
  <si>
    <t xml:space="preserve">0566561452</t>
  </si>
  <si>
    <t xml:space="preserve">4712550096</t>
  </si>
  <si>
    <t xml:space="preserve">benkrishnin633@gmail.com</t>
  </si>
  <si>
    <t xml:space="preserve">PUTHANVILA KADAYIL HOUSE, THACHODU, MUTTAPPALAM POST.</t>
  </si>
  <si>
    <t xml:space="preserve">CHANDRAN K.</t>
  </si>
  <si>
    <t xml:space="preserve">0505773485</t>
  </si>
  <si>
    <t xml:space="preserve">KORAN NIVAS, ATTENGANAM POST, ANANDASRAM VIA, KASARGOD</t>
  </si>
  <si>
    <t xml:space="preserve">EBRAHIM MOIDEEN HAJI</t>
  </si>
  <si>
    <t xml:space="preserve">0529845566</t>
  </si>
  <si>
    <t xml:space="preserve">KATHICHAL PUTHIYAPURAYIL, NARATH POST, KANNUR DIST, 0091 9895 244231</t>
  </si>
  <si>
    <t xml:space="preserve">KADHAR R.</t>
  </si>
  <si>
    <t xml:space="preserve">0508603760</t>
  </si>
  <si>
    <t xml:space="preserve">4902551052</t>
  </si>
  <si>
    <t xml:space="preserve">SALAM BUILDING,OLD MADRAS ROAD, DOORAWANI NAGAR,, BANGALORE-16, KARNATAKA, INDIA</t>
  </si>
  <si>
    <t xml:space="preserve">C.P. KHALID</t>
  </si>
  <si>
    <t xml:space="preserve">0506321025</t>
  </si>
  <si>
    <t xml:space="preserve">4985277317</t>
  </si>
  <si>
    <t xml:space="preserve">ceepeekhalid@gmail.com</t>
  </si>
  <si>
    <t xml:space="preserve">C.K.HOUSE, POST M.M.BAZAR-670306, KANNUR DISTRICT, KERALA</t>
  </si>
  <si>
    <t xml:space="preserve">KAMARUDHEEN P.M.</t>
  </si>
  <si>
    <t xml:space="preserve">0505174252</t>
  </si>
  <si>
    <t xml:space="preserve">4872646531</t>
  </si>
  <si>
    <t xml:space="preserve">kamarmajeed@gmail.com</t>
  </si>
  <si>
    <t xml:space="preserve">PUZHAVANGARA ILLATH HOUSE, POST ELAVALLY SOUTH, CHITTATTUKARA</t>
  </si>
  <si>
    <t xml:space="preserve">MURALEEDHARAN L.</t>
  </si>
  <si>
    <t xml:space="preserve">0504995461</t>
  </si>
  <si>
    <t xml:space="preserve">471448794</t>
  </si>
  <si>
    <t xml:space="preserve">murali1951@yahoo.com</t>
  </si>
  <si>
    <t xml:space="preserve">RAJAS, HOUSE NO.419 IIND STAGE, PRASANTH NAGAR, ULLOOR, MEDICAL COLLEGE POST</t>
  </si>
  <si>
    <t xml:space="preserve">A.K.NIZARUDEEN</t>
  </si>
  <si>
    <t xml:space="preserve">0506777637</t>
  </si>
  <si>
    <t xml:space="preserve">nasser.ali95@yahoo.com</t>
  </si>
  <si>
    <t xml:space="preserve">THEKEYVILA RAMLA MANZIL ELAMPAZHANOOR, POST CHADAMANAGALAM KOLLAM DIST KERALA STATE</t>
  </si>
  <si>
    <t xml:space="preserve">PHALGUNAN K.K.</t>
  </si>
  <si>
    <t xml:space="preserve">POST KANAYIL, M.M. BAZAR, 00919447365107</t>
  </si>
  <si>
    <t xml:space="preserve">RAMACHANDRAN A.</t>
  </si>
  <si>
    <t xml:space="preserve">0506546902</t>
  </si>
  <si>
    <t xml:space="preserve">4672310863</t>
  </si>
  <si>
    <t xml:space="preserve">ram.podipalam@gmail.com</t>
  </si>
  <si>
    <t xml:space="preserve">PODIPALAM HOUSE, PAVIYAL, VIA- BEKAL</t>
  </si>
  <si>
    <t xml:space="preserve">SOMASUNDARAN NAIR</t>
  </si>
  <si>
    <t xml:space="preserve">0507271683</t>
  </si>
  <si>
    <t xml:space="preserve">krs_nair@hotmail.com</t>
  </si>
  <si>
    <t xml:space="preserve">KAMALALAYAM, ELANTHOOR, PATHANAMTHITTA DIST</t>
  </si>
  <si>
    <t xml:space="preserve">SHAJAN JOHNS</t>
  </si>
  <si>
    <t xml:space="preserve">0507563514</t>
  </si>
  <si>
    <t xml:space="preserve">471503073</t>
  </si>
  <si>
    <t xml:space="preserve">sjohns@emirates.net.ae</t>
  </si>
  <si>
    <t xml:space="preserve">BABLOS COTTAGE, VALIATHURAI, TRIVANDRUM -8, KERALA STATE.</t>
  </si>
  <si>
    <t xml:space="preserve">UNNIKRISHNAN P.R.</t>
  </si>
  <si>
    <t xml:space="preserve">0569628270</t>
  </si>
  <si>
    <t xml:space="preserve">4872308571</t>
  </si>
  <si>
    <t xml:space="preserve">unniparamel@yahoo.com</t>
  </si>
  <si>
    <t xml:space="preserve">PARAMEL HOUSE, PURANATTUKARA, TRICHUR, KERALA. INDIA</t>
  </si>
  <si>
    <t xml:space="preserve">VIJAYAN A.</t>
  </si>
  <si>
    <t xml:space="preserve">0507675085</t>
  </si>
  <si>
    <t xml:space="preserve">9562686878</t>
  </si>
  <si>
    <t xml:space="preserve">ATHIYAMPUR , KANHANGAD POST, KASARGOD DISTRICT, KERALA</t>
  </si>
  <si>
    <t xml:space="preserve">SANJAY KUMAR</t>
  </si>
  <si>
    <t xml:space="preserve">0504961721</t>
  </si>
  <si>
    <t xml:space="preserve">sanjay.singh@ch2m.com</t>
  </si>
  <si>
    <t xml:space="preserve">SHASTRI NAGAR, KANRE ROAD, RANCHI, JHARKHAND 834008, 0091-6512230993</t>
  </si>
  <si>
    <t xml:space="preserve">GOPALAKRISHNAN P.S</t>
  </si>
  <si>
    <t xml:space="preserve">0559013806</t>
  </si>
  <si>
    <t xml:space="preserve">4872309401</t>
  </si>
  <si>
    <t xml:space="preserve">gopalanps@hotmail.com</t>
  </si>
  <si>
    <t xml:space="preserve">PONNEMPARA HOUSE PURANATTUKARA PO, TRICHUR</t>
  </si>
  <si>
    <t xml:space="preserve">KOIKKARA THOMAS SHAJI</t>
  </si>
  <si>
    <t xml:space="preserve">0505762469</t>
  </si>
  <si>
    <t xml:space="preserve">4802772078</t>
  </si>
  <si>
    <t xml:space="preserve">shajithomask@ymail.com</t>
  </si>
  <si>
    <t xml:space="preserve">KOIKKARA HOUSE, PO PALAYAM PARAMBU, ANNARA, PIN-680741, TRICHUR DISTRICT</t>
  </si>
  <si>
    <t xml:space="preserve">PRIYESH C.V.</t>
  </si>
  <si>
    <t xml:space="preserve">0507106585</t>
  </si>
  <si>
    <t xml:space="preserve">467220527</t>
  </si>
  <si>
    <t xml:space="preserve">piyush2cherichel@gmail.com</t>
  </si>
  <si>
    <t xml:space="preserve">CHERICHAL HOUSE, AJANUR PO, KANHANGAD, KASARAGOD</t>
  </si>
  <si>
    <t xml:space="preserve">MUSTHAFA P.M</t>
  </si>
  <si>
    <t xml:space="preserve">0507875249</t>
  </si>
  <si>
    <t xml:space="preserve">4962604330601661</t>
  </si>
  <si>
    <t xml:space="preserve">goldfrut@emirates.net.ae</t>
  </si>
  <si>
    <t xml:space="preserve">PUTHAN MARACHALIL HOUSE, POST MELADI, KANNAMKULAM, CALICUT DISTRICT</t>
  </si>
  <si>
    <t xml:space="preserve">CHONKADAVATH BASHEER</t>
  </si>
  <si>
    <t xml:space="preserve">0555863007</t>
  </si>
  <si>
    <t xml:space="preserve">4902352487</t>
  </si>
  <si>
    <t xml:space="preserve">MIDDILIL PO VADAKKUMBAD, KANNUR DT</t>
  </si>
  <si>
    <t xml:space="preserve">MOIDU CHOLAKKAL</t>
  </si>
  <si>
    <t xml:space="preserve">0505862331</t>
  </si>
  <si>
    <t xml:space="preserve">4942585832</t>
  </si>
  <si>
    <t xml:space="preserve">ccmoidu@gmail.com</t>
  </si>
  <si>
    <t xml:space="preserve">MACHINGAPPARA CHERIYAMUNDAM PO, PONMUNDAM MALAPPURAM DT</t>
  </si>
  <si>
    <t xml:space="preserve">J.MOHAN NAIR</t>
  </si>
  <si>
    <t xml:space="preserve">0504973118</t>
  </si>
  <si>
    <t xml:space="preserve">4722873230</t>
  </si>
  <si>
    <t xml:space="preserve">massani963@hotmail.com</t>
  </si>
  <si>
    <t xml:space="preserve">J.P.NIVAS PARACKAL ALIYADU POST, VENJARUMOODU TRIVANDRUM DIST</t>
  </si>
  <si>
    <t xml:space="preserve">MUHAMMED ASLAM C.H</t>
  </si>
  <si>
    <t xml:space="preserve">0582400164</t>
  </si>
  <si>
    <t xml:space="preserve">aslamiadi24@yahoo.com</t>
  </si>
  <si>
    <t xml:space="preserve">HAJI AM HOUSE, MURIYANAVI POST,, POST KANHANGAD, KASARAGOD DIST., 0091 8714772089</t>
  </si>
  <si>
    <t xml:space="preserve">OSMAN YUSUF KHAN ASLAM</t>
  </si>
  <si>
    <t xml:space="preserve">0505270667</t>
  </si>
  <si>
    <t xml:space="preserve">HOUSE NO. XI/714 BISHOPS GARDEN, PATTALAM FORT COCHIN 682001, 9961489192</t>
  </si>
  <si>
    <t xml:space="preserve">R.V.ABOOBACKER</t>
  </si>
  <si>
    <t xml:space="preserve">0507389094</t>
  </si>
  <si>
    <t xml:space="preserve">4872551328</t>
  </si>
  <si>
    <t xml:space="preserve">PO ERINGHAPURAM VIA PUTHANPALLY, TRICHUR DT</t>
  </si>
  <si>
    <t xml:space="preserve">REJI CHERIYAN</t>
  </si>
  <si>
    <t xml:space="preserve">0506490474</t>
  </si>
  <si>
    <t xml:space="preserve">9400001077</t>
  </si>
  <si>
    <t xml:space="preserve">chairmanramadaalleppey@gmail.com</t>
  </si>
  <si>
    <t xml:space="preserve">THUVAMPALLIL HOUSE, PATHIYOOR WEST,, ALLEPPEY, KERALA.</t>
  </si>
  <si>
    <t xml:space="preserve">RATHEESH NARAYANAN</t>
  </si>
  <si>
    <t xml:space="preserve">0562329841</t>
  </si>
  <si>
    <t xml:space="preserve">9847914548</t>
  </si>
  <si>
    <t xml:space="preserve">rathish1848@yahoo.com</t>
  </si>
  <si>
    <t xml:space="preserve">VELLARACODE HOUSE, CHITTILAMCHERY,, PALAKKAD, KERALA.</t>
  </si>
  <si>
    <t xml:space="preserve">NOORUDHEEN MATHILEKATH</t>
  </si>
  <si>
    <t xml:space="preserve">0505390659</t>
  </si>
  <si>
    <t xml:space="preserve">9400670246</t>
  </si>
  <si>
    <t xml:space="preserve">nooreindia@gmail.com</t>
  </si>
  <si>
    <t xml:space="preserve">MATHILEKATH HOUSE, VAZHANGODU,, PATTIKKAD P.O., MALAPPURAM - 679325</t>
  </si>
  <si>
    <t xml:space="preserve">ARUNKUMAR M.</t>
  </si>
  <si>
    <t xml:space="preserve">0557082920</t>
  </si>
  <si>
    <t xml:space="preserve">9447089356</t>
  </si>
  <si>
    <t xml:space="preserve">chukru2007@gmail.com</t>
  </si>
  <si>
    <t xml:space="preserve">P.O.PANAYAL, BEKAL,, KASARAGOD-671318, KERALA</t>
  </si>
  <si>
    <t xml:space="preserve">NABEEL KATTAKATH</t>
  </si>
  <si>
    <t xml:space="preserve">0567353956</t>
  </si>
  <si>
    <t xml:space="preserve">nabeel.kattakath@gmail.com</t>
  </si>
  <si>
    <t xml:space="preserve">KATTAKATH MULANGHAT(H),, SANTHIPURAM P.O., THRISSUR - 680668., 0091 480 2811548</t>
  </si>
  <si>
    <t xml:space="preserve">M.S.MANOJ</t>
  </si>
  <si>
    <t xml:space="preserve">0505988086</t>
  </si>
  <si>
    <t xml:space="preserve">manojms10@hotmail.com</t>
  </si>
  <si>
    <t xml:space="preserve">MUKULAM HOUSE, IRINJALAKUDA P.O.,, TRICHUR, KERALA</t>
  </si>
  <si>
    <t xml:space="preserve">ABDUL JALEEL M.A.</t>
  </si>
  <si>
    <t xml:space="preserve">0506281107</t>
  </si>
  <si>
    <t xml:space="preserve">conad7210@gmail.com</t>
  </si>
  <si>
    <t xml:space="preserve">V.K.HOUSE,P.O.CHERAPURAM,, VIA KAKKATTIL, KOZHIKODE- 673507</t>
  </si>
  <si>
    <t xml:space="preserve">JASIR KAVUGOLI</t>
  </si>
  <si>
    <t xml:space="preserve">0504955399</t>
  </si>
  <si>
    <t xml:space="preserve">jasir.kavugoli@gmail.com</t>
  </si>
  <si>
    <t xml:space="preserve">MPP-IX / 405, CHILANGA, CHOWKI, POST KUDLU,, KASARAGOD, KERALA, INDIA</t>
  </si>
  <si>
    <t xml:space="preserve">SHIBU T.P.</t>
  </si>
  <si>
    <t xml:space="preserve">0508597505</t>
  </si>
  <si>
    <t xml:space="preserve">9745220509</t>
  </si>
  <si>
    <t xml:space="preserve">shibupros@gmail.com</t>
  </si>
  <si>
    <t xml:space="preserve">THATTARUKUDIYIL HOUSE, H.NO.25, W.NO.- 4,, MAMPILALE, THUMPAMON P.O.,PATHNAMTHITTA</t>
  </si>
  <si>
    <t xml:space="preserve">MOHAMED HASSAN</t>
  </si>
  <si>
    <t xml:space="preserve">0559980854</t>
  </si>
  <si>
    <t xml:space="preserve">9645611112</t>
  </si>
  <si>
    <t xml:space="preserve">emmemhassan@gmail.com</t>
  </si>
  <si>
    <t xml:space="preserve">HIDAYA, PUTHUVAL ROAD, CRPF,, PALLIPURAM,TRIVANDRUM, KERALA</t>
  </si>
  <si>
    <t xml:space="preserve">SAJIN S. NAIR</t>
  </si>
  <si>
    <t xml:space="preserve">0507446784</t>
  </si>
  <si>
    <t xml:space="preserve">9633614680</t>
  </si>
  <si>
    <t xml:space="preserve">sajinsnair@gmail.com</t>
  </si>
  <si>
    <t xml:space="preserve">SAJIN NIVAS, EDAMON P.O.,, KOLLAM, KERALA</t>
  </si>
  <si>
    <t xml:space="preserve">AYOOB KHAN ASANARU PILLAI</t>
  </si>
  <si>
    <t xml:space="preserve">0509370010</t>
  </si>
  <si>
    <t xml:space="preserve">ayoob68@gmail.com</t>
  </si>
  <si>
    <t xml:space="preserve">SALMA MANZIL, KARICHARA, PALLIPURAM,, TRIVANDRUM, KERALA - 695316</t>
  </si>
  <si>
    <t xml:space="preserve">ANILKUMAR M.K.</t>
  </si>
  <si>
    <t xml:space="preserve">0504546529</t>
  </si>
  <si>
    <t xml:space="preserve">anilkumarmk@hotmail.com</t>
  </si>
  <si>
    <t xml:space="preserve">MUTHALIL HOUSE, CHITTANDA P.O.,, WADAKKANCHERY, THRISSUR, KERALA</t>
  </si>
  <si>
    <t xml:space="preserve">SAIFUDEEN MEERA SAHIB</t>
  </si>
  <si>
    <t xml:space="preserve">0506456656</t>
  </si>
  <si>
    <t xml:space="preserve">9539049999</t>
  </si>
  <si>
    <t xml:space="preserve">saifmeera@gmail.com</t>
  </si>
  <si>
    <t xml:space="preserve">M. S. COTTAGE, KALLOOR,, MANJAMALA-P.O., TRIVANDRUM, KERALA.</t>
  </si>
  <si>
    <t xml:space="preserve">VARUGHESE K. MAMMEN</t>
  </si>
  <si>
    <t xml:space="preserve">0507879703</t>
  </si>
  <si>
    <t xml:space="preserve">varghese28may@gmail.com</t>
  </si>
  <si>
    <t xml:space="preserve">KIZHAKKEMALAYIL HOUSE, ANAPARAMBAL SOUTH P.O.,, EDATHUA, THIRUVALLA VIA, KERALA, 0091 8078911323</t>
  </si>
  <si>
    <t xml:space="preserve">MANOJ V.P.</t>
  </si>
  <si>
    <t xml:space="preserve">0504207634</t>
  </si>
  <si>
    <t xml:space="preserve">manu2meet@yahoo.in</t>
  </si>
  <si>
    <t xml:space="preserve">VADAKKEDATH HOUSE, P.O. VADAKKUMMURI,, PERINGOTTUKARA, THRISSUR, KERALA</t>
  </si>
  <si>
    <t xml:space="preserve">V.C.RAJAN</t>
  </si>
  <si>
    <t xml:space="preserve">0506316387</t>
  </si>
  <si>
    <t xml:space="preserve">vadakkelrajan@gmail.com</t>
  </si>
  <si>
    <t xml:space="preserve">VADAKKEL HOUSE, POOVATHUR P.O,, KOIPURAM, PATHANAMTHITTA - 689531</t>
  </si>
  <si>
    <t xml:space="preserve">RANJITH KUMAR KODOTH</t>
  </si>
  <si>
    <t xml:space="preserve">0509486360</t>
  </si>
  <si>
    <t xml:space="preserve">ranjikodoth@gmail.com</t>
  </si>
  <si>
    <t xml:space="preserve">NEERAVALAPPU - (H), KANATHUR- (P.O.),, MULIYAR (VIA), KASARAGOD, KERALA</t>
  </si>
  <si>
    <t xml:space="preserve">JAMALUDDEEN KAVVAI</t>
  </si>
  <si>
    <t xml:space="preserve">0503604888</t>
  </si>
  <si>
    <t xml:space="preserve">jkavvai@yahoo.com</t>
  </si>
  <si>
    <t xml:space="preserve">VADAKKUMBAD HOUSE, P.O.TRIKARPUR,, KASARAGOD DT.,KERALA-671310</t>
  </si>
  <si>
    <t xml:space="preserve">K.RAGHUNATHAN</t>
  </si>
  <si>
    <t xml:space="preserve">0504970342</t>
  </si>
  <si>
    <t xml:space="preserve">9744847357</t>
  </si>
  <si>
    <t xml:space="preserve">uaqnc@yahoo.com</t>
  </si>
  <si>
    <t xml:space="preserve">RAGHUNANDAN, THEVIYODU,VITHURA,, VITHURA.P.O.,TRIVANDRUM, KERALA</t>
  </si>
  <si>
    <t xml:space="preserve">KRISHNA PRASAD P.</t>
  </si>
  <si>
    <t xml:space="preserve">0557805520</t>
  </si>
  <si>
    <t xml:space="preserve">krishnapallikkuth@gmail.com</t>
  </si>
  <si>
    <t xml:space="preserve">PALLIKKUTH HOUSE, VEETHANASSERI,, CHATHANGOTTUPURAM-P.O., WANDOOR -VIA, MALAPPURAM</t>
  </si>
  <si>
    <t xml:space="preserve">KAVUNKAL SANTHOSH VARGHESE</t>
  </si>
  <si>
    <t xml:space="preserve">0556450427</t>
  </si>
  <si>
    <t xml:space="preserve">9544475492</t>
  </si>
  <si>
    <t xml:space="preserve">ligisun2006@gmail.com</t>
  </si>
  <si>
    <t xml:space="preserve">KAVUNKAL HOUSE, PALACKAL THAKIDY P.O.,, MUKKOOR-689586 , KERALA</t>
  </si>
  <si>
    <t xml:space="preserve">THOMAS MATHEW</t>
  </si>
  <si>
    <t xml:space="preserve">0508699259</t>
  </si>
  <si>
    <t xml:space="preserve">aljazeerah916@gmail.com</t>
  </si>
  <si>
    <t xml:space="preserve">97280, ATTATHARAYIL HOUSE, KARIKULAM-P.O.,, RANNI, PATHANAMTHITTA,KERALA</t>
  </si>
  <si>
    <t xml:space="preserve">ARUN MOORTHY</t>
  </si>
  <si>
    <t xml:space="preserve">0544318464</t>
  </si>
  <si>
    <t xml:space="preserve">arunmoorthy9@gmail.com</t>
  </si>
  <si>
    <t xml:space="preserve">GOPAL SADAN, DHARMADOM - P.O.,, TELLICHERY-6, KANNUR, KERALA-670106</t>
  </si>
  <si>
    <t xml:space="preserve">KHADAR P.K.</t>
  </si>
  <si>
    <t xml:space="preserve">0506286588</t>
  </si>
  <si>
    <t xml:space="preserve">6286588@gmail.com</t>
  </si>
  <si>
    <t xml:space="preserve">MARHABA HOUSE, P.O.CHOKLY,, KANNUR DT., KERALA.</t>
  </si>
  <si>
    <t xml:space="preserve">0503821427</t>
  </si>
  <si>
    <t xml:space="preserve">jacobgeorge.malayil@gmail.com</t>
  </si>
  <si>
    <t xml:space="preserve">TC-9/2465, SRI RANGOM ROAD,, SASTHAMANGALAM P.O.,TRIVANDRUM, KERALA., 0091 471 2723137</t>
  </si>
  <si>
    <t xml:space="preserve">PERIYIL CHERIAN JAYSON</t>
  </si>
  <si>
    <t xml:space="preserve">0508987613</t>
  </si>
  <si>
    <t xml:space="preserve">jaysonpc@gmail.com</t>
  </si>
  <si>
    <t xml:space="preserve">PERIYIL HOUSE, KUNDUKAD-P.O.,, TRICHUR DIST., KERALA.</t>
  </si>
  <si>
    <t xml:space="preserve">JOMON ALAPPAT PAUL</t>
  </si>
  <si>
    <t xml:space="preserve">0507035043</t>
  </si>
  <si>
    <t xml:space="preserve">9544697425</t>
  </si>
  <si>
    <t xml:space="preserve">jompetro@gmail.com</t>
  </si>
  <si>
    <t xml:space="preserve">ALAPPAT HOUSE, PAZHUVIL P.O.,, THRISSUR, KERALA.</t>
  </si>
  <si>
    <t xml:space="preserve">VALIYAKATH ABDUL RAHIM NOUSHAD</t>
  </si>
  <si>
    <t xml:space="preserve">0506777805</t>
  </si>
  <si>
    <t xml:space="preserve">9961483699</t>
  </si>
  <si>
    <t xml:space="preserve">noushadwar@gmail.com</t>
  </si>
  <si>
    <t xml:space="preserve">VILLA NO.67, VALIYAKATH HOUSE,, P.O.KOORKKENCHERY,TRICHUR, KERALA.</t>
  </si>
  <si>
    <t xml:space="preserve">SHAREEF POTTAN KANDIYIL</t>
  </si>
  <si>
    <t xml:space="preserve">0506546572</t>
  </si>
  <si>
    <t xml:space="preserve">peekey333@gmail.com</t>
  </si>
  <si>
    <t xml:space="preserve">POTTAN KANDIYIL HOUSE, KADAVTHOOR - P.O.,, KANNUR DIST., KERALA.</t>
  </si>
  <si>
    <t xml:space="preserve">UDAYAKUMAR MULLACHERI</t>
  </si>
  <si>
    <t xml:space="preserve">0558872741</t>
  </si>
  <si>
    <t xml:space="preserve">9633266476</t>
  </si>
  <si>
    <t xml:space="preserve">udaykotoor@gmail.com</t>
  </si>
  <si>
    <t xml:space="preserve">AISWARYA HOUSE, KOTOOR-P.O.,, MULIYAR VIA, KASARAGOD, KERALA.</t>
  </si>
  <si>
    <t xml:space="preserve">PRAJEESH K. DHARMAPALAN</t>
  </si>
  <si>
    <t xml:space="preserve">0555384844</t>
  </si>
  <si>
    <t xml:space="preserve">9061523903</t>
  </si>
  <si>
    <t xml:space="preserve">prajeesh.kd@gmail.com</t>
  </si>
  <si>
    <t xml:space="preserve">KANJIRAPPARAMBIL HOUSE, P.O.MATTAM,, THRISSUR, KERALA.</t>
  </si>
  <si>
    <t xml:space="preserve">ADIL NALAKATH ARAKKAL</t>
  </si>
  <si>
    <t xml:space="preserve">0502502721</t>
  </si>
  <si>
    <t xml:space="preserve">9846396125</t>
  </si>
  <si>
    <t xml:space="preserve">adil686@yahoo.com</t>
  </si>
  <si>
    <t xml:space="preserve">KUNNANAYIL HOUSE, P.O.PERUMBADAPPA,, MALAPPURAM - 679580, KERALA.</t>
  </si>
  <si>
    <t xml:space="preserve">SUHAS.P.V.</t>
  </si>
  <si>
    <t xml:space="preserve">0506351602</t>
  </si>
  <si>
    <t xml:space="preserve">9633074817</t>
  </si>
  <si>
    <t xml:space="preserve">theertha2002@gmail.com</t>
  </si>
  <si>
    <t xml:space="preserve">SULOCHANALAYAM, PATHIRIYAD-P.O.,, KANNUR-670741, KERALA.</t>
  </si>
  <si>
    <t xml:space="preserve">GINJO GEORGE</t>
  </si>
  <si>
    <t xml:space="preserve">0525214214</t>
  </si>
  <si>
    <t xml:space="preserve">ginjo.g@hotmail.com</t>
  </si>
  <si>
    <t xml:space="preserve">VAZHAPPULLY HOUSE, P.O.PERAKAM,, TRICHUR, KERALA., 0091 9446628303</t>
  </si>
  <si>
    <t xml:space="preserve">THOMAS PERIYAL CHERIYAN</t>
  </si>
  <si>
    <t xml:space="preserve">0506324226</t>
  </si>
  <si>
    <t xml:space="preserve">thomaspc@emirates.ae</t>
  </si>
  <si>
    <t xml:space="preserve">PERIYAL HOUSE, KURICHIKARA P.O.,, THANIKUDAM, THRISSUR.</t>
  </si>
  <si>
    <t xml:space="preserve">SANTHOSH KUMAR KARICHERY</t>
  </si>
  <si>
    <t xml:space="preserve">0501211880</t>
  </si>
  <si>
    <t xml:space="preserve">sknair1879@gmail.com</t>
  </si>
  <si>
    <t xml:space="preserve">S.S.NILAYAM, 437/ 8, EROLE, MYLATY P.O.,, UDUMA, BARA, HOUSDURG, KSARAGOD- 671319.</t>
  </si>
  <si>
    <t xml:space="preserve">GEETHA PREMAN</t>
  </si>
  <si>
    <t xml:space="preserve">0505513787</t>
  </si>
  <si>
    <t xml:space="preserve">geethaprem9@gmail.com</t>
  </si>
  <si>
    <t xml:space="preserve">VELLATTUPARAMBIL HOUSE,, P.O.VENGISSERY, THRISSUR, KERALA.</t>
  </si>
  <si>
    <t xml:space="preserve">ARUN PREM</t>
  </si>
  <si>
    <t xml:space="preserve">0557106345</t>
  </si>
  <si>
    <t xml:space="preserve">aprem777@gmail.com</t>
  </si>
  <si>
    <t xml:space="preserve">VELLATTUPARAMBIL HOUSE, VENGISSERY P.O.,, TRICHUR , KERALA.</t>
  </si>
  <si>
    <t xml:space="preserve">DAMODARAN V</t>
  </si>
  <si>
    <t xml:space="preserve">0507963451</t>
  </si>
  <si>
    <t xml:space="preserve">vattiyamkottu123@gmail.com</t>
  </si>
  <si>
    <t xml:space="preserve">VATTIYAMKOTTU HOUSE, P.O.MYLATTY,, VIA UDMA, KASARAGOD, KERALA.</t>
  </si>
  <si>
    <t xml:space="preserve">K.M.HUSSAIN</t>
  </si>
  <si>
    <t xml:space="preserve">0504628071</t>
  </si>
  <si>
    <t xml:space="preserve">hussainkm2009@gmail.com</t>
  </si>
  <si>
    <t xml:space="preserve">KADANGOD HOUSE, P.O.KALANAD,, KASARAGOD, KERALA-671317.</t>
  </si>
  <si>
    <t xml:space="preserve">TOJAN P. DEVASSY</t>
  </si>
  <si>
    <t xml:space="preserve">0526459229</t>
  </si>
  <si>
    <t xml:space="preserve">tojan@bsiuae.com</t>
  </si>
  <si>
    <t xml:space="preserve">PAZHUMKARAN HOUSE, P.O.MUTTITHADI,, TRICHUR , KERALA.</t>
  </si>
  <si>
    <t xml:space="preserve">GOVIND VENNANKOT</t>
  </si>
  <si>
    <t xml:space="preserve">0504633875</t>
  </si>
  <si>
    <t xml:space="preserve">govindmcds@yahoo.com</t>
  </si>
  <si>
    <t xml:space="preserve">VENNANKOT HOUSE, P.O. KANNOTH,, VENKITANGU, TRICHUR, KERALA.</t>
  </si>
  <si>
    <t xml:space="preserve">JAISON PHILIP</t>
  </si>
  <si>
    <t xml:space="preserve">0557834455</t>
  </si>
  <si>
    <t xml:space="preserve">gemsjason@yahoo.com</t>
  </si>
  <si>
    <t xml:space="preserve">NO.10-G, RAMANUJAM NAGAR, B. K. PUDUR,, KUNIAMUTHUR, COIMBATORE, TAMILNADU.</t>
  </si>
  <si>
    <t xml:space="preserve">MOHAMMED RASHID</t>
  </si>
  <si>
    <t xml:space="preserve">0509900786</t>
  </si>
  <si>
    <t xml:space="preserve">rashi277@gmail.com</t>
  </si>
  <si>
    <t xml:space="preserve">MADALA HOUSE, MUTHUKURSHI, P.O.ELAD,, VIA CHERUKARA, PERINTHALMANNA, MALAPPURAM.</t>
  </si>
  <si>
    <t xml:space="preserve">K.T.MOIDU</t>
  </si>
  <si>
    <t xml:space="preserve">0506264743</t>
  </si>
  <si>
    <t xml:space="preserve">khushbouniform@gmail.com</t>
  </si>
  <si>
    <t xml:space="preserve">UTHARI THAZHA KUNIYIL, P.O. VALLIAD,, BADAGARA, CALICUT-673542, KERALA.</t>
  </si>
  <si>
    <t xml:space="preserve">AMINA TAHSEEN</t>
  </si>
  <si>
    <t xml:space="preserve">0561712029</t>
  </si>
  <si>
    <t xml:space="preserve">9949266531</t>
  </si>
  <si>
    <t xml:space="preserve">aminathsn87@gmail.com</t>
  </si>
  <si>
    <t xml:space="preserve">H.NO.8-1-134, AHMEDI BAZAR,, NIZAMABAD, ANDHRA PRADESH.</t>
  </si>
  <si>
    <t xml:space="preserve">THOMAS JOSEPH</t>
  </si>
  <si>
    <t xml:space="preserve">0504803634</t>
  </si>
  <si>
    <t xml:space="preserve">4772273833</t>
  </si>
  <si>
    <t xml:space="preserve">thomas@gulffab.com</t>
  </si>
  <si>
    <t xml:space="preserve">THATTASSERIL HOUSE, KARUMADY P.O.,, ALAPUZHA, KERALA.</t>
  </si>
  <si>
    <t xml:space="preserve">RUBIN MANJALY PIUS</t>
  </si>
  <si>
    <t xml:space="preserve">0559123045</t>
  </si>
  <si>
    <t xml:space="preserve">9947483477</t>
  </si>
  <si>
    <t xml:space="preserve">jewelmanjaly@gmail.com</t>
  </si>
  <si>
    <t xml:space="preserve">MANJALY HOUSE, PARAKKADAVU P.O.,, ERNAKULAM, KERALA- 683579</t>
  </si>
  <si>
    <t xml:space="preserve">K.K.SASIKUMAR NAMBOODIRIPAD</t>
  </si>
  <si>
    <t xml:space="preserve">0503503413</t>
  </si>
  <si>
    <t xml:space="preserve">sasikumar.kkv@gmail.com</t>
  </si>
  <si>
    <t xml:space="preserve">FLAT NO.502, HARMONY HEIGHTS,, DHARAM KARAM ROAD, HYDERABAD.</t>
  </si>
  <si>
    <t xml:space="preserve">MUHAMMED KUNHI VARI VALAPPIL</t>
  </si>
  <si>
    <t xml:space="preserve">0506339829</t>
  </si>
  <si>
    <t xml:space="preserve">almiqat@gmail.com</t>
  </si>
  <si>
    <t xml:space="preserve">ASSIYA MANZIL, PERUMBALABAD,, CHAPPARAPADAVU-P.O.,TALIPARAMBA,KANNUR.</t>
  </si>
  <si>
    <t xml:space="preserve">ANIL KUMAR N.K.</t>
  </si>
  <si>
    <t xml:space="preserve">0509068840</t>
  </si>
  <si>
    <t xml:space="preserve">9656975894</t>
  </si>
  <si>
    <t xml:space="preserve">anilemirates@gmail.com</t>
  </si>
  <si>
    <t xml:space="preserve">MADHAVAM HOUSE, KALICHANADUKAM-P.O.,, NILESHWARAM VIA, KASARAGOD-671314, KERALA</t>
  </si>
  <si>
    <t xml:space="preserve">KOOTTUMMEL CHACKO GEORGE</t>
  </si>
  <si>
    <t xml:space="preserve">0503042151</t>
  </si>
  <si>
    <t xml:space="preserve">shibinshilin@gmail.com</t>
  </si>
  <si>
    <t xml:space="preserve">8/IV, KANAM, KOTTAYAM,, KERALA-686515</t>
  </si>
  <si>
    <t xml:space="preserve">PRAJOTH P.J.</t>
  </si>
  <si>
    <t xml:space="preserve">0503139806</t>
  </si>
  <si>
    <t xml:space="preserve">prajothpj@gmail.com</t>
  </si>
  <si>
    <t xml:space="preserve">POZHEKADAVIL HOUSE, KARALAM-P.O.,, IRINJALAKKUDA, THRISSUR - 680711.</t>
  </si>
  <si>
    <t xml:space="preserve">SAJU SIVADASAN</t>
  </si>
  <si>
    <t xml:space="preserve">0569821466</t>
  </si>
  <si>
    <t xml:space="preserve">abhinavsaju011@gmail.com</t>
  </si>
  <si>
    <t xml:space="preserve">S.V.MANDIRAM, ERADY,, PANACODE-P.O.,TRIVANDRUM, 0091 9645260130</t>
  </si>
  <si>
    <t xml:space="preserve">FAROOK JAFFER</t>
  </si>
  <si>
    <t xml:space="preserve">0507866236</t>
  </si>
  <si>
    <t xml:space="preserve">farookjm5@gmail.com</t>
  </si>
  <si>
    <t xml:space="preserve">PULIYARATHALAKKAL HOUSE, MANVILA,, KULATHOOR-P.O.,TRIVANDRUM, KERALA., 0091 471 2594234</t>
  </si>
  <si>
    <t xml:space="preserve">VINOD KUMAR MELATH</t>
  </si>
  <si>
    <t xml:space="preserve">0504863737</t>
  </si>
  <si>
    <t xml:space="preserve">9446677103</t>
  </si>
  <si>
    <t xml:space="preserve">vkmelath2007@gmail.com</t>
  </si>
  <si>
    <t xml:space="preserve">VINOD BHAVAN, PALLIKKARA,NILESWAR P.O.,, KASARAGOD, KERALA STATE.</t>
  </si>
  <si>
    <t xml:space="preserve">GEORGE THOMAS</t>
  </si>
  <si>
    <t xml:space="preserve">0506561876</t>
  </si>
  <si>
    <t xml:space="preserve">9847985721</t>
  </si>
  <si>
    <t xml:space="preserve">thomasgeo59@gmail.com</t>
  </si>
  <si>
    <t xml:space="preserve">KOLARAYIL HOUSE, KEEZHUVAIPURE-P.O.,, PATHANAMTHITTA, KERALA</t>
  </si>
  <si>
    <t xml:space="preserve">VIJAYAN PALLIKKARA</t>
  </si>
  <si>
    <t xml:space="preserve">0504549854</t>
  </si>
  <si>
    <t xml:space="preserve">8301822180</t>
  </si>
  <si>
    <t xml:space="preserve">facilitiesmiddleeast@gmai.com</t>
  </si>
  <si>
    <t xml:space="preserve">EMRATES VILLA, 7TH MILE, ATTENGANAM-P.O.,, ANANDHASRAMAM (Via) KASARAGOD, KERALA.</t>
  </si>
  <si>
    <t xml:space="preserve">NIREN K. ABRAHAM</t>
  </si>
  <si>
    <t xml:space="preserve">0507690802</t>
  </si>
  <si>
    <t xml:space="preserve">4692668993</t>
  </si>
  <si>
    <t xml:space="preserve">nirenabraham@gmail.com</t>
  </si>
  <si>
    <t xml:space="preserve">KUTTIKKATTU PUTHEN VEEDU, KADAPRA-P.O,, KUMBANAD, PATHANAMTHITTA, KERALA</t>
  </si>
  <si>
    <t xml:space="preserve">SUBEER AROL</t>
  </si>
  <si>
    <t xml:space="preserve">0553624033</t>
  </si>
  <si>
    <t xml:space="preserve">4672234417919446395917</t>
  </si>
  <si>
    <t xml:space="preserve">subeerarol@gmail.com</t>
  </si>
  <si>
    <t xml:space="preserve">MAKKY, RAVANESHWAR POST,, BEKAL FORT VIA, KASARAGOD, KERALA.</t>
  </si>
  <si>
    <t xml:space="preserve">SOMAN R.PILLAI</t>
  </si>
  <si>
    <t xml:space="preserve">0504562039</t>
  </si>
  <si>
    <t xml:space="preserve">9446184572</t>
  </si>
  <si>
    <t xml:space="preserve">soman@smartmllc.com</t>
  </si>
  <si>
    <t xml:space="preserve">SONI VIHAR, MANAPPALLY NORTH -PO.,, THAZHAVA, KARUNAGAPPALLY, KOLLAM-690574.</t>
  </si>
  <si>
    <t xml:space="preserve">PUTHAN PURAYIL SOOPY</t>
  </si>
  <si>
    <t xml:space="preserve">0505775112</t>
  </si>
  <si>
    <t xml:space="preserve">9846743850</t>
  </si>
  <si>
    <t xml:space="preserve">soopypp@gmail.com</t>
  </si>
  <si>
    <t xml:space="preserve">PUTHAN PURAYIL HOUSE, P.O.PADIRIPPETTA,, KOZHIKODE-673507, KERALA.</t>
  </si>
  <si>
    <t xml:space="preserve">ABHILASH CHAMATHA</t>
  </si>
  <si>
    <t xml:space="preserve">0507878685</t>
  </si>
  <si>
    <t xml:space="preserve">9400531450</t>
  </si>
  <si>
    <t xml:space="preserve">cpabhi18@gmail.com</t>
  </si>
  <si>
    <t xml:space="preserve">THAZHE VEETTIL HOUSE,SREEKANDAPURAM P.O.,, SREEKANDAPURAM, KANNUR-670631, KERALA</t>
  </si>
  <si>
    <t xml:space="preserve">JAYAKUMAR GOPALAN NAIR</t>
  </si>
  <si>
    <t xml:space="preserve">0506268136</t>
  </si>
  <si>
    <t xml:space="preserve">gjkumar04@gmail.com</t>
  </si>
  <si>
    <t xml:space="preserve">KARTHIYANI MANDIRAM, UR-124,, GPO, TRIVANDRUM-695001.</t>
  </si>
  <si>
    <t xml:space="preserve">MERYN MATHEW PHILIP</t>
  </si>
  <si>
    <t xml:space="preserve">0507107560</t>
  </si>
  <si>
    <t xml:space="preserve">mervyn-philip@hotmail.com</t>
  </si>
  <si>
    <t xml:space="preserve">KARUKAYIL PUTHEN PARAMBIL, PAYIPAD-P.O.,, HARIPAD, ALAPPUZHA, PIN-690514</t>
  </si>
  <si>
    <t xml:space="preserve">BABY K. CHARLY</t>
  </si>
  <si>
    <t xml:space="preserve">0501351449</t>
  </si>
  <si>
    <t xml:space="preserve">babycharly007@gmail.com</t>
  </si>
  <si>
    <t xml:space="preserve">KARIYANATTU(H), PAZHAYIDOM-P.O.,, KANJIRAPPALLY, KOTTAYAM- 686520</t>
  </si>
  <si>
    <t xml:space="preserve">SHAMSHUDIN HAJI</t>
  </si>
  <si>
    <t xml:space="preserve">0506861145</t>
  </si>
  <si>
    <t xml:space="preserve">9539944400</t>
  </si>
  <si>
    <t xml:space="preserve">shamsajm@gmail.com</t>
  </si>
  <si>
    <t xml:space="preserve">ERACHAMVEETTIL HOUSE, VENKITANGU,, THRISSUR, KERALA.</t>
  </si>
  <si>
    <t xml:space="preserve">ANANDAN MURIKKANCHERY</t>
  </si>
  <si>
    <t xml:space="preserve">0504798467</t>
  </si>
  <si>
    <t xml:space="preserve">9447519161</t>
  </si>
  <si>
    <t xml:space="preserve">anandannpp@gmail.com</t>
  </si>
  <si>
    <t xml:space="preserve">MURIKKANCHERY HOUSE, PERUMACHERRY, KOLASSERI.PO KANNUR DT, KERALA</t>
  </si>
  <si>
    <t xml:space="preserve">CIVI KANJIRATHINKAL VARGHESE</t>
  </si>
  <si>
    <t xml:space="preserve">0566538153</t>
  </si>
  <si>
    <t xml:space="preserve">civivarghese@gmail.com</t>
  </si>
  <si>
    <t xml:space="preserve">KANJIRATHINKAL HOUSE, PATHIYARKULANGARA P.O., THRISSUR, KERALA.</t>
  </si>
  <si>
    <t xml:space="preserve">RAJESH A.G.</t>
  </si>
  <si>
    <t xml:space="preserve">0508653123</t>
  </si>
  <si>
    <t xml:space="preserve">rajeshag2008@gmail.com</t>
  </si>
  <si>
    <t xml:space="preserve">ANAKKATHI PARAMBIL, EDATHIRINJI P.O.,, MENALY, TRICHUR, KERALA</t>
  </si>
  <si>
    <t xml:space="preserve">JAYAPRASAD SADASIVAN</t>
  </si>
  <si>
    <t xml:space="preserve">0567141234</t>
  </si>
  <si>
    <t xml:space="preserve">9744236643</t>
  </si>
  <si>
    <t xml:space="preserve">jp@adalladv.com</t>
  </si>
  <si>
    <t xml:space="preserve">VADAKKAZHIKAM, MEENAD,, NEDUMGOLAM-P.O., KOLLAM, KERALA</t>
  </si>
  <si>
    <t xml:space="preserve">SHAKIB ALI A P</t>
  </si>
  <si>
    <t xml:space="preserve">0559302530</t>
  </si>
  <si>
    <t xml:space="preserve">shakibap@gmail.com</t>
  </si>
  <si>
    <t xml:space="preserve">ANAKKORATH HOUSE, MAKKARAPARAMBA-P.O.,, MALAPPURAM,KERALA - 676507</t>
  </si>
  <si>
    <t xml:space="preserve">HASARATH PUTHIYAPURAYIL</t>
  </si>
  <si>
    <t xml:space="preserve">0504991646</t>
  </si>
  <si>
    <t xml:space="preserve">nihana2003@gmail.com</t>
  </si>
  <si>
    <t xml:space="preserve">NIHANA'S, MAYYIL,, KANNUR-670602, KERALA.</t>
  </si>
  <si>
    <t xml:space="preserve">PRADEEPKUMAR. V.</t>
  </si>
  <si>
    <t xml:space="preserve">0509604829</t>
  </si>
  <si>
    <t xml:space="preserve">pradeepvn1968@gmail.com</t>
  </si>
  <si>
    <t xml:space="preserve">SREE BHAVAN, KOTTIYAM P.O., KOLLAM-691571, KERALA.</t>
  </si>
  <si>
    <t xml:space="preserve">SHIYASUDHEEN KHAN M.S.</t>
  </si>
  <si>
    <t xml:space="preserve">0556444475</t>
  </si>
  <si>
    <t xml:space="preserve">shiyasms@gmail.com</t>
  </si>
  <si>
    <t xml:space="preserve">KULAMULLA PARAMBIL (H), PALERI TOWN-P.O.,, KUTTIADY VIA, KERALA STATE.</t>
  </si>
  <si>
    <t xml:space="preserve">JAMAL KUNHIPARAMBATH</t>
  </si>
  <si>
    <t xml:space="preserve">0503478224</t>
  </si>
  <si>
    <t xml:space="preserve">jamalnesto@gmail.com</t>
  </si>
  <si>
    <t xml:space="preserve">KUNHIPARAMBATH HOUSE, KURIKKILAD,, VADAKARA VIA, KOZHIKODE, KERALA</t>
  </si>
  <si>
    <t xml:space="preserve">MATHEW ABRAHAM</t>
  </si>
  <si>
    <t xml:space="preserve">0554716223</t>
  </si>
  <si>
    <t xml:space="preserve">8086815282</t>
  </si>
  <si>
    <t xml:space="preserve">mathewkuzhy@yahoo.com</t>
  </si>
  <si>
    <t xml:space="preserve">ADUKUZHIYIL (H), PADIMARUTHU P.O.,, KASARAGOD, KERALA.</t>
  </si>
  <si>
    <t xml:space="preserve">BASHEER ALATH</t>
  </si>
  <si>
    <t xml:space="preserve">0507762445</t>
  </si>
  <si>
    <t xml:space="preserve">9605572477</t>
  </si>
  <si>
    <t xml:space="preserve">aalath@gmail.com</t>
  </si>
  <si>
    <t xml:space="preserve">31468, ALATH HOUSE, KUMARANELLUR,, PALAKKAD-679552</t>
  </si>
  <si>
    <t xml:space="preserve">KRISHNA RAJ K.V.</t>
  </si>
  <si>
    <t xml:space="preserve">0505694899</t>
  </si>
  <si>
    <t xml:space="preserve">9645726505</t>
  </si>
  <si>
    <t xml:space="preserve">raju.krkv@gmail.com</t>
  </si>
  <si>
    <t xml:space="preserve">NALINI BHAVAN , AMBALATHARA, P.O.PULLUR,, VIA ANANDASRAMAM, KASARAGOD</t>
  </si>
  <si>
    <t xml:space="preserve">SREEJITH MUNGATH</t>
  </si>
  <si>
    <t xml:space="preserve">0554551960</t>
  </si>
  <si>
    <t xml:space="preserve">sreejith.exterran@gmail.com</t>
  </si>
  <si>
    <t xml:space="preserve">THAZHATH VEEDU, P.O. PERIYA,, KASARAGOD, KERALA</t>
  </si>
  <si>
    <t xml:space="preserve">ABDUL RAHIMAN CHEKINTAKATH</t>
  </si>
  <si>
    <t xml:space="preserve">0561406363</t>
  </si>
  <si>
    <t xml:space="preserve">9447686363</t>
  </si>
  <si>
    <t xml:space="preserve">rahmankasim4356@gmail.com</t>
  </si>
  <si>
    <t xml:space="preserve">RAS VILLA, KUNNUMMAL ROAD,, NEAR GHSS, IRIKKUR, KANNUR, KERALA.</t>
  </si>
  <si>
    <t xml:space="preserve">KELOTHU NARAYANAN K</t>
  </si>
  <si>
    <t xml:space="preserve">0505870559</t>
  </si>
  <si>
    <t xml:space="preserve">9446988888</t>
  </si>
  <si>
    <t xml:space="preserve">kelothu@eim.ae</t>
  </si>
  <si>
    <t xml:space="preserve">ARAMANGANAM, P.O.BARE,, VIA UDMA, KASARAGOD,KERALA.</t>
  </si>
  <si>
    <t xml:space="preserve">FAIZAL KASIM</t>
  </si>
  <si>
    <t xml:space="preserve">0551114545</t>
  </si>
  <si>
    <t xml:space="preserve">9400946666</t>
  </si>
  <si>
    <t xml:space="preserve">faizalkasim999@gmail.com</t>
  </si>
  <si>
    <t xml:space="preserve">NEELU RAHMA, P.O.IRIKKUR,, KANNUR-670593, KERALA</t>
  </si>
  <si>
    <t xml:space="preserve">ANSAR PUTHUNTAVITA</t>
  </si>
  <si>
    <t xml:space="preserve">0505608982</t>
  </si>
  <si>
    <t xml:space="preserve">ansardmb@hotmail.com</t>
  </si>
  <si>
    <t xml:space="preserve">PUTHUNTAVITA, EDACHERY NORTH,, VADAKARA, KOZHIKODE, KERALA</t>
  </si>
  <si>
    <t xml:space="preserve">SAMEER</t>
  </si>
  <si>
    <t xml:space="preserve">0505763827</t>
  </si>
  <si>
    <t xml:space="preserve">sameerebrahim827@gmail.com</t>
  </si>
  <si>
    <t xml:space="preserve">KEELATH PUTHIYAPURAYIL HOUSE,PATTAYAM.P.O.,, KOLACHERY, KANNUR, KERALA., 0091 98526930881</t>
  </si>
  <si>
    <t xml:space="preserve">ZUBAIR MOIDEEN</t>
  </si>
  <si>
    <t xml:space="preserve">0507861874</t>
  </si>
  <si>
    <t xml:space="preserve">abdulla.zubair@gmail.com</t>
  </si>
  <si>
    <t xml:space="preserve">MUBARAK MANZIL, P.O.KEEKAN POOCHAKKAD,, KASARAGOD, KERALA-671216.</t>
  </si>
  <si>
    <t xml:space="preserve">HARISH ABDUL AZEEZ</t>
  </si>
  <si>
    <t xml:space="preserve">0506764381</t>
  </si>
  <si>
    <t xml:space="preserve">harishabdulaziz777@gmail.com</t>
  </si>
  <si>
    <t xml:space="preserve">PALAVILA HOUSE, MUSLIM STREET,, KOTTARAKKARA,KOLLAM DT., KERALA</t>
  </si>
  <si>
    <t xml:space="preserve">JINCE P. THOMAS</t>
  </si>
  <si>
    <t xml:space="preserve">0555590768</t>
  </si>
  <si>
    <t xml:space="preserve">jinceuae@gmail.com</t>
  </si>
  <si>
    <t xml:space="preserve">PATHALIL HOUSE, CHEENKALTHADOM-P.O., MYLAPRA, PATHANAMTHITTA, KERALA</t>
  </si>
  <si>
    <t xml:space="preserve">LIYAKATH ARINCHAT PARAMBATH</t>
  </si>
  <si>
    <t xml:space="preserve">0506795184</t>
  </si>
  <si>
    <t xml:space="preserve">4902361331</t>
  </si>
  <si>
    <t xml:space="preserve">smackliya55@gmail.com</t>
  </si>
  <si>
    <t xml:space="preserve">E.P.HOUSE, P.O. PARAL,, THALASSERY, KANNUR, KERALA.</t>
  </si>
  <si>
    <t xml:space="preserve">SREEJA PRAVEEN</t>
  </si>
  <si>
    <t xml:space="preserve">0561774728</t>
  </si>
  <si>
    <t xml:space="preserve">sreeja.ar@gmail.com</t>
  </si>
  <si>
    <t xml:space="preserve">SREESAILAM, CHITTOOR ROAD,, VADUTHALA, ERNAKULAM, KERALA.</t>
  </si>
  <si>
    <t xml:space="preserve">MUHAMMAD ALI PADIKKALAKKANDY</t>
  </si>
  <si>
    <t xml:space="preserve">0559933104</t>
  </si>
  <si>
    <t xml:space="preserve">8086694483</t>
  </si>
  <si>
    <t xml:space="preserve">amoidu71@gmail.com</t>
  </si>
  <si>
    <t xml:space="preserve">PADIKKALAKKANDY HOUSE,, VELOM POST, KOZHIKODE, KERALA.</t>
  </si>
  <si>
    <t xml:space="preserve">ADV. JOHN MATHAI</t>
  </si>
  <si>
    <t xml:space="preserve">0506453671</t>
  </si>
  <si>
    <t xml:space="preserve">9809070000</t>
  </si>
  <si>
    <t xml:space="preserve">exclusivejohn@gmail.com</t>
  </si>
  <si>
    <t xml:space="preserve">MATHAIPURAM KIZHAKKEVEEDU, AYLARA-P.O.,, YEROOR, KOLLAM,KERALA-691312.</t>
  </si>
  <si>
    <t xml:space="preserve">PRIYANDAS SIVADAS</t>
  </si>
  <si>
    <t xml:space="preserve">0504989854</t>
  </si>
  <si>
    <t xml:space="preserve">8606177911</t>
  </si>
  <si>
    <t xml:space="preserve">priyandass@gmail.com</t>
  </si>
  <si>
    <t xml:space="preserve">SANTHI BHAVAN, CHENGAMANADU,, KOTTARAKKARA, KOLLAM.</t>
  </si>
  <si>
    <t xml:space="preserve">SANJAI</t>
  </si>
  <si>
    <t xml:space="preserve">0556515717</t>
  </si>
  <si>
    <t xml:space="preserve">sanjay881222@gmail.com</t>
  </si>
  <si>
    <t xml:space="preserve">KADINHIMOOLA, THAIKADAPURAM P.O.,, NILESHWAR, KASARAGOD-671314, KERALA, 0091 9847498595</t>
  </si>
  <si>
    <t xml:space="preserve">MANOJ KUMAR T.</t>
  </si>
  <si>
    <t xml:space="preserve">0504832497</t>
  </si>
  <si>
    <t xml:space="preserve">manojtknair@gmail.com</t>
  </si>
  <si>
    <t xml:space="preserve">VARATHOD HOUSE, PERUMBALA POST,, KALANADU Via, KASARAGOD,KERALA., 0091 8281354869</t>
  </si>
  <si>
    <t xml:space="preserve">KANNIKOTH MASHHOOD</t>
  </si>
  <si>
    <t xml:space="preserve">0552824157</t>
  </si>
  <si>
    <t xml:space="preserve">7559886469</t>
  </si>
  <si>
    <t xml:space="preserve">mshd4u@gmail.com</t>
  </si>
  <si>
    <t xml:space="preserve">KANNIKOTH HOUSE, MANGALAM POST,, TIRUR VIA, MALAPPURAM DIST.-676561</t>
  </si>
  <si>
    <t xml:space="preserve">JAMES THOMAS</t>
  </si>
  <si>
    <t xml:space="preserve">0526458003</t>
  </si>
  <si>
    <t xml:space="preserve">8606251299</t>
  </si>
  <si>
    <t xml:space="preserve">jamesvellimangalam2@gmail.com</t>
  </si>
  <si>
    <t xml:space="preserve">SREEKANDAMANGALAM, ATHIRAMPUZHA,, KOTTAYAM-686562, KERALA.</t>
  </si>
  <si>
    <t xml:space="preserve">SANJU P. PILLAI</t>
  </si>
  <si>
    <t xml:space="preserve">0502146536</t>
  </si>
  <si>
    <t xml:space="preserve">9946385617</t>
  </si>
  <si>
    <t xml:space="preserve">sanjuasw@gmail.com</t>
  </si>
  <si>
    <t xml:space="preserve">ASWATHY, KATTACHIRA,, PALLICKAL-P.O., KAYAMKULAM(VIA), KERALA</t>
  </si>
  <si>
    <t xml:space="preserve">ANWER VAKKATT</t>
  </si>
  <si>
    <t xml:space="preserve">0506792927</t>
  </si>
  <si>
    <t xml:space="preserve">91974733795</t>
  </si>
  <si>
    <t xml:space="preserve">anverv99@gmail.com</t>
  </si>
  <si>
    <t xml:space="preserve">VAKKATT HOUSE, P.O.KANHIRAMUKKU,, MALAPPURAM-679584, KERALA.</t>
  </si>
  <si>
    <t xml:space="preserve">BIJOY P. MANATHARA</t>
  </si>
  <si>
    <t xml:space="preserve">0554638602</t>
  </si>
  <si>
    <t xml:space="preserve">bijoypmanathara@outlook.com</t>
  </si>
  <si>
    <t xml:space="preserve">MANATHARA SHALEM, VALANJAVATTOM EAST-P.O.,, THIRUVALLA, KERALA - 689104</t>
  </si>
  <si>
    <t xml:space="preserve">SHABEER E.V.</t>
  </si>
  <si>
    <t xml:space="preserve">0559658984</t>
  </si>
  <si>
    <t xml:space="preserve">shabi2004200@gmail.com</t>
  </si>
  <si>
    <t xml:space="preserve">SAHEEDAS, ERIKKOOR VALAPPIL,, P.O.MATTOOL, NEAR OLIYANGARA PALLI, KANNUR.</t>
  </si>
  <si>
    <t xml:space="preserve">ALIYAR KUNHI M.A.</t>
  </si>
  <si>
    <t xml:space="preserve">0503514124</t>
  </si>
  <si>
    <t xml:space="preserve">aliyarkunji313@gmail.com</t>
  </si>
  <si>
    <t xml:space="preserve">MARAKKARAKATH ALUNGAL HOUSE,, P.O.THIRUVATHRA, TRICHUR, KERALA</t>
  </si>
  <si>
    <t xml:space="preserve">C.Y.SUBHASH DAS</t>
  </si>
  <si>
    <t xml:space="preserve">0529232212</t>
  </si>
  <si>
    <t xml:space="preserve">cy.subhashdas@gmail.com</t>
  </si>
  <si>
    <t xml:space="preserve">CHETTIYATTIL HOUSE, CHENTRAPPINNI. P.O., THRISSUR-680687, KERALA.</t>
  </si>
  <si>
    <t xml:space="preserve">NOUSHAD PADANGAL</t>
  </si>
  <si>
    <t xml:space="preserve">0508926389</t>
  </si>
  <si>
    <t xml:space="preserve">noushadpadangal@gmail.com</t>
  </si>
  <si>
    <t xml:space="preserve">PETENGAL HOUSE,KOLAKKATTU CHALI PO, CHELEMBRA, MALAPPURAM DT, KERALA, 00919048270053</t>
  </si>
  <si>
    <t xml:space="preserve">PRANESH.S.NAIR</t>
  </si>
  <si>
    <t xml:space="preserve">0509447465</t>
  </si>
  <si>
    <t xml:space="preserve">9656800701</t>
  </si>
  <si>
    <t xml:space="preserve">praneshushus@gmail.com</t>
  </si>
  <si>
    <t xml:space="preserve">USHUS,EDAICODE.PO, KANYAKUMARI DIST, TAMILNADU</t>
  </si>
  <si>
    <t xml:space="preserve">SAJITH KAKKAN PARAMBATH</t>
  </si>
  <si>
    <t xml:space="preserve">0527500663</t>
  </si>
  <si>
    <t xml:space="preserve">8606644681</t>
  </si>
  <si>
    <t xml:space="preserve">sajithkakkan@gmail.com</t>
  </si>
  <si>
    <t xml:space="preserve">KAKKAN PARAMBATH MOONUNIRATH, KANNUR DT,KERALA</t>
  </si>
  <si>
    <t xml:space="preserve">KIRAN PREM</t>
  </si>
  <si>
    <t xml:space="preserve">0503465111</t>
  </si>
  <si>
    <t xml:space="preserve">9447301150</t>
  </si>
  <si>
    <t xml:space="preserve">kiran6638@gmail.com</t>
  </si>
  <si>
    <t xml:space="preserve">VELLATTUPARAMBIL HOUSE,, VENGISSERY-P.O., TRICHUR, KERALA</t>
  </si>
  <si>
    <t xml:space="preserve">SHONE MANNETHU THOMAS</t>
  </si>
  <si>
    <t xml:space="preserve">0564370992</t>
  </si>
  <si>
    <t xml:space="preserve">9544008481</t>
  </si>
  <si>
    <t xml:space="preserve">shonemthomas@gmail.com</t>
  </si>
  <si>
    <t xml:space="preserve">MANNETHU HOUSE, NELLICKAMON P.O.,, RANNY, PATHANAMTHITTA</t>
  </si>
  <si>
    <t xml:space="preserve">ABDUL NISAR NATTINGAL</t>
  </si>
  <si>
    <t xml:space="preserve">0509406771</t>
  </si>
  <si>
    <t xml:space="preserve">nisar.nat@gmail.com</t>
  </si>
  <si>
    <t xml:space="preserve">NATTINGAL HOUSE, P.O.TANUR,, MALAPPURAM, KERALA-676302</t>
  </si>
  <si>
    <t xml:space="preserve">SANOOP SASIDHARAN</t>
  </si>
  <si>
    <t xml:space="preserve">0522893692</t>
  </si>
  <si>
    <t xml:space="preserve">9496331556</t>
  </si>
  <si>
    <t xml:space="preserve">sanoop.shn@gmail.com</t>
  </si>
  <si>
    <t xml:space="preserve">SASIMANDIRAM,VIZHAVERSSERIKKARA,, MANNAR-P.O.,689622, ALAPPUZHA, KERALA</t>
  </si>
  <si>
    <t xml:space="preserve">ALI CHEROONIYIL</t>
  </si>
  <si>
    <t xml:space="preserve">0506883257</t>
  </si>
  <si>
    <t xml:space="preserve">9447686709</t>
  </si>
  <si>
    <t xml:space="preserve">ch_ali@yahoo.com</t>
  </si>
  <si>
    <t xml:space="preserve">CHEROONIYIL HOUSE,, P.O.PARAKKADAVU, KOZHIKODE-673509, KERALA</t>
  </si>
  <si>
    <t xml:space="preserve">KUNJU PILLAI VIJAYAN</t>
  </si>
  <si>
    <t xml:space="preserve">0506343627</t>
  </si>
  <si>
    <t xml:space="preserve">vijay@divyame.com</t>
  </si>
  <si>
    <t xml:space="preserve">CHAITHANYA, PUTHIYAVILA, NORTH PATTOLI MKT-(P.O.), KAYAMKULAM, VIA ALLEPPEY-690531</t>
  </si>
  <si>
    <t xml:space="preserve">SHAJI M. BALAN</t>
  </si>
  <si>
    <t xml:space="preserve">0552697800</t>
  </si>
  <si>
    <t xml:space="preserve">shajimb007@gmail.com</t>
  </si>
  <si>
    <t xml:space="preserve">;, MULLAMPARAMBIL HOUSE, P.O.KODANNUR,, PALLIPPURAM, THRISSSUR, KERALA., 91 9562210556</t>
  </si>
  <si>
    <t xml:space="preserve">SASIDHARAN NAIR T.</t>
  </si>
  <si>
    <t xml:space="preserve">0507399037</t>
  </si>
  <si>
    <t xml:space="preserve">nairtsasidharan@ymail.com</t>
  </si>
  <si>
    <t xml:space="preserve">KAPPANAKKAL HOUSE, PERUMBALA POST,, KASARAGOD, KERALA</t>
  </si>
  <si>
    <t xml:space="preserve">HAMZA PERINCHERI</t>
  </si>
  <si>
    <t xml:space="preserve">0554181903</t>
  </si>
  <si>
    <t xml:space="preserve">9946427892</t>
  </si>
  <si>
    <t xml:space="preserve">perincherihamza@gmail.com</t>
  </si>
  <si>
    <t xml:space="preserve">PERINCHERI HOUSE, MURIVAZHIKAL, POST, PARAVANNA, MALAPPURAM, KERALA</t>
  </si>
  <si>
    <t xml:space="preserve">THANVEER AHAMED B.</t>
  </si>
  <si>
    <t xml:space="preserve">0562213355</t>
  </si>
  <si>
    <t xml:space="preserve">8444994444</t>
  </si>
  <si>
    <t xml:space="preserve">thanveermajlis@gmail.com</t>
  </si>
  <si>
    <t xml:space="preserve">B.P.HOUSE, PALAYAD P.O.,, KANNUR-670661, KERALA</t>
  </si>
  <si>
    <t xml:space="preserve">UNNIKRISHNAN</t>
  </si>
  <si>
    <t xml:space="preserve">0551681546</t>
  </si>
  <si>
    <t xml:space="preserve">KANAKKANATH HOUSE,, MARAKKARA-P.O., MALAPPURAM</t>
  </si>
  <si>
    <t xml:space="preserve">ABDUSSALAM HASSAN CHOKLY</t>
  </si>
  <si>
    <t xml:space="preserve">0507573377</t>
  </si>
  <si>
    <t xml:space="preserve">md@telal.com</t>
  </si>
  <si>
    <t xml:space="preserve">KUNNU PARAMBIL HOUSE, P.O. PARAMBIL PEEDIKA,, MALLAPPURAM-676317, KERALA</t>
  </si>
  <si>
    <t xml:space="preserve">CHETTY SUMESHAN</t>
  </si>
  <si>
    <t xml:space="preserve">0552656796</t>
  </si>
  <si>
    <t xml:space="preserve">9946165511</t>
  </si>
  <si>
    <t xml:space="preserve">anu2sumesh@gmail.com</t>
  </si>
  <si>
    <t xml:space="preserve">KARUVAKKOD HOUSE, PAKKAM-P.O.,, KASARAGOD, KERALA</t>
  </si>
  <si>
    <t xml:space="preserve">REGESH KURIAN</t>
  </si>
  <si>
    <t xml:space="preserve">0554228485</t>
  </si>
  <si>
    <t xml:space="preserve">9605472551</t>
  </si>
  <si>
    <t xml:space="preserve">regeshkurian@gmail.com</t>
  </si>
  <si>
    <t xml:space="preserve">PANIKULANGARA HOUSE,KUNNUKARA-P.O.,, ERNAKULAM, KERALA-683578</t>
  </si>
  <si>
    <t xml:space="preserve">PUNNOOSE JOHN</t>
  </si>
  <si>
    <t xml:space="preserve">0564889855</t>
  </si>
  <si>
    <t xml:space="preserve">johnpunnoose@hotmail.com</t>
  </si>
  <si>
    <t xml:space="preserve">PALLATHUCHIRA, PUTHENCHANTHA,, KOTTAYAM DIST, KERALA</t>
  </si>
  <si>
    <t xml:space="preserve">ABDUL GAFOOR SEETHI</t>
  </si>
  <si>
    <t xml:space="preserve">0504973227</t>
  </si>
  <si>
    <t xml:space="preserve">9562193381</t>
  </si>
  <si>
    <t xml:space="preserve">seethigafoor@gmail.com</t>
  </si>
  <si>
    <t xml:space="preserve">SHABNAM MANZIL, AVANAVANCHERY POST,, ATTINGAL, TRIVANDRUM, KERALA.</t>
  </si>
  <si>
    <t xml:space="preserve">RAJESH KUMAR K.</t>
  </si>
  <si>
    <t xml:space="preserve">0551003727</t>
  </si>
  <si>
    <t xml:space="preserve">rkumarnambiar@yahoo.com</t>
  </si>
  <si>
    <t xml:space="preserve">DHANAPURAM HOUSE, CHITHARI,, PALLIKKARA VIA, KASARAGOD, KERALA., 0091 9495052089</t>
  </si>
  <si>
    <t xml:space="preserve">FASILUTHEEN P.M.S.</t>
  </si>
  <si>
    <t xml:space="preserve">0501532025</t>
  </si>
  <si>
    <t xml:space="preserve">fasalsiraj@gmail.com</t>
  </si>
  <si>
    <t xml:space="preserve">PULINCHUVALLIL HOUSE, NAD-P.O.,, MARIYIL ROAD,KOMPARA,ERNAKULAM-683563.</t>
  </si>
  <si>
    <t xml:space="preserve">ISMAIL POTTANKANDY</t>
  </si>
  <si>
    <t xml:space="preserve">0504550967</t>
  </si>
  <si>
    <t xml:space="preserve">8547190111</t>
  </si>
  <si>
    <t xml:space="preserve">pottankandy@gmail.com</t>
  </si>
  <si>
    <t xml:space="preserve">POTTANKANDY (H), KADAVATHUR,, KANNUR, KERALA.</t>
  </si>
  <si>
    <t xml:space="preserve">KURIAKOSE P.C.</t>
  </si>
  <si>
    <t xml:space="preserve">0504821264</t>
  </si>
  <si>
    <t xml:space="preserve">9400721409</t>
  </si>
  <si>
    <t xml:space="preserve">periyilk@emirates.net.ae</t>
  </si>
  <si>
    <t xml:space="preserve">PERIYIL HOUSE, KUNDUKAD - P.O.,, THRISSUR, KERALA.</t>
  </si>
  <si>
    <t xml:space="preserve">RIYAS CHELERY</t>
  </si>
  <si>
    <t xml:space="preserve">0508403083</t>
  </si>
  <si>
    <t xml:space="preserve">9946734619</t>
  </si>
  <si>
    <t xml:space="preserve">riyaschelery@gmail.com</t>
  </si>
  <si>
    <t xml:space="preserve">CHELERY HOUSE, KARUVANNUR P.O.,, NADUVANNUR, CALICUT, KERALA.</t>
  </si>
  <si>
    <t xml:space="preserve">ABOOBACKER SIDHIQ</t>
  </si>
  <si>
    <t xml:space="preserve">0501170575</t>
  </si>
  <si>
    <t xml:space="preserve">9946809075</t>
  </si>
  <si>
    <t xml:space="preserve">kmasidhiq@gmail.com</t>
  </si>
  <si>
    <t xml:space="preserve">KANDAMANGALATH,, WEST KADUNALLOOR, ALUVA-10</t>
  </si>
  <si>
    <t xml:space="preserve">SREENIVAS C.P.</t>
  </si>
  <si>
    <t xml:space="preserve">0554482976</t>
  </si>
  <si>
    <t xml:space="preserve">8547020852</t>
  </si>
  <si>
    <t xml:space="preserve">jgdsreeni@gmail.com</t>
  </si>
  <si>
    <t xml:space="preserve">PANAMKUND HOUSE,, MANIMOOLA-P.O., KASARAGOD.</t>
  </si>
  <si>
    <t xml:space="preserve">SIRIN MOHAMMED HASBULLA</t>
  </si>
  <si>
    <t xml:space="preserve">0507133464</t>
  </si>
  <si>
    <t xml:space="preserve">9846088771</t>
  </si>
  <si>
    <t xml:space="preserve">sirinmohamed@gmail.com</t>
  </si>
  <si>
    <t xml:space="preserve">CRESCENT, MADANVILA,, PERUMATHURA, TRIVANDRUM.</t>
  </si>
  <si>
    <t xml:space="preserve">JAYAKRISHNAN MULLACHERY</t>
  </si>
  <si>
    <t xml:space="preserve">0504653990</t>
  </si>
  <si>
    <t xml:space="preserve">jayan282@gmail.com</t>
  </si>
  <si>
    <t xml:space="preserve">MINNAMKULAM (H), IRIYANNI-(P.O.),, MULIYAR, KASARAGOD, KERALA.</t>
  </si>
  <si>
    <t xml:space="preserve">BETTY K.K.</t>
  </si>
  <si>
    <t xml:space="preserve">0507962740</t>
  </si>
  <si>
    <t xml:space="preserve">bettykk@gmail.com</t>
  </si>
  <si>
    <t xml:space="preserve">KALATHOOR MELATHIL, BETTY BHAVAN,, KARUVATTA,ADOOR-P.O.,PATHANAMTHITTA, 9446529482</t>
  </si>
  <si>
    <t xml:space="preserve">MOHAMED JIHAD</t>
  </si>
  <si>
    <t xml:space="preserve">0554199165</t>
  </si>
  <si>
    <t xml:space="preserve">mohamedjihad89@gmail.com</t>
  </si>
  <si>
    <t xml:space="preserve">PULICHARAM VEETTIL (H), P.O.THOYAKKAVU,, THRISSUR, KERALA, 9605295407</t>
  </si>
  <si>
    <t xml:space="preserve">ANVAR C.K.</t>
  </si>
  <si>
    <t xml:space="preserve">0555067011</t>
  </si>
  <si>
    <t xml:space="preserve">7025665716</t>
  </si>
  <si>
    <t xml:space="preserve">anvarck716@gmail.com</t>
  </si>
  <si>
    <t xml:space="preserve">C.K.HOUSE, MUTHUVADATHOOR,, VATAKARA, CALICUT, KERALA.</t>
  </si>
  <si>
    <t xml:space="preserve">ANEESH N.P.</t>
  </si>
  <si>
    <t xml:space="preserve">0502710233</t>
  </si>
  <si>
    <t xml:space="preserve">4902369358</t>
  </si>
  <si>
    <t xml:space="preserve">aneesh0233@gmail.com</t>
  </si>
  <si>
    <t xml:space="preserve">RAMLA MANZIL, NEERVELI,, KANNUR, KERALA.</t>
  </si>
  <si>
    <t xml:space="preserve">REGHUKUMAR MANNOORETHU</t>
  </si>
  <si>
    <t xml:space="preserve">0505152362</t>
  </si>
  <si>
    <t xml:space="preserve">8589835494</t>
  </si>
  <si>
    <t xml:space="preserve">reghu.nbc@gmail.com</t>
  </si>
  <si>
    <t xml:space="preserve">MANNOORETHU, SOORANAD NORTH (P.O.),, KOLLAM DIST.,KERALA.</t>
  </si>
  <si>
    <t xml:space="preserve">MOIDU P.C.</t>
  </si>
  <si>
    <t xml:space="preserve">0504509215</t>
  </si>
  <si>
    <t xml:space="preserve">pcmoidu@gmail.com</t>
  </si>
  <si>
    <t xml:space="preserve">SAAHIL'S, THAYATHERU,, KANNUR-670002, KERALA.</t>
  </si>
  <si>
    <t xml:space="preserve">SAJ K KRISHNAN</t>
  </si>
  <si>
    <t xml:space="preserve">0501722463</t>
  </si>
  <si>
    <t xml:space="preserve">8592828684</t>
  </si>
  <si>
    <t xml:space="preserve">krishnan.saj@gmail.com</t>
  </si>
  <si>
    <t xml:space="preserve">SURABHI, KIZHAKKEVAZHI,, CHENNITHALA P.O., MAVELIKKARA</t>
  </si>
  <si>
    <t xml:space="preserve">SAJESH C.</t>
  </si>
  <si>
    <t xml:space="preserve">0501989006</t>
  </si>
  <si>
    <t xml:space="preserve">sujeshcheleri@gmail.com</t>
  </si>
  <si>
    <t xml:space="preserve">S. V. NIVAS, P.O. CHELERI,, KANNUR, KERALA</t>
  </si>
  <si>
    <t xml:space="preserve">SHEREEF P.A.</t>
  </si>
  <si>
    <t xml:space="preserve">0509732777</t>
  </si>
  <si>
    <t xml:space="preserve">9526637777</t>
  </si>
  <si>
    <t xml:space="preserve">shereef@amigoslogistics.com</t>
  </si>
  <si>
    <t xml:space="preserve">PARAYIL HOUSE, EDAKKAZHIYOOR,, TRICHUR-680515, KERALA.</t>
  </si>
  <si>
    <t xml:space="preserve">GIRISH PANDARA VEETIL</t>
  </si>
  <si>
    <t xml:space="preserve">0506969167</t>
  </si>
  <si>
    <t xml:space="preserve">9447449941</t>
  </si>
  <si>
    <t xml:space="preserve">girishkukku@gmail.com</t>
  </si>
  <si>
    <t xml:space="preserve">G.K.HOUSE, KANNAM KULAM KUNNU-P.O.,, P.O.BEKAL-671318, KERALA.</t>
  </si>
  <si>
    <t xml:space="preserve">SAHAD K.</t>
  </si>
  <si>
    <t xml:space="preserve">0556851958</t>
  </si>
  <si>
    <t xml:space="preserve">k.sahad.tgiin@gmail.com</t>
  </si>
  <si>
    <t xml:space="preserve">KC-TC LINK ROAD, THIRURANGADI,, MALAPPURAM, KERALA, 0091 8136922260</t>
  </si>
  <si>
    <t xml:space="preserve">ANILKUMAR K.G.PILLAI</t>
  </si>
  <si>
    <t xml:space="preserve">0506892838</t>
  </si>
  <si>
    <t xml:space="preserve">akputhoorrajesh@gmail.com</t>
  </si>
  <si>
    <t xml:space="preserve">KAIPPULLIL KANNANKARA,THEVALAPPURAM-P.O.,, PUTHOOR, KOTTARAKKARA, KOLLAM., 0091- 9447591911</t>
  </si>
  <si>
    <t xml:space="preserve">FASALU RAHMAN</t>
  </si>
  <si>
    <t xml:space="preserve">0559665665</t>
  </si>
  <si>
    <t xml:space="preserve">fasalu@rfcombine.com</t>
  </si>
  <si>
    <t xml:space="preserve">MUNDENKATTIL(H),AYILAKKAD(P.O.),, MALAPPURAM -679576, KERALA.</t>
  </si>
  <si>
    <t xml:space="preserve">SIJU KARTHIKEYAN</t>
  </si>
  <si>
    <t xml:space="preserve">0558679068</t>
  </si>
  <si>
    <t xml:space="preserve">9656316886</t>
  </si>
  <si>
    <t xml:space="preserve">anikarthik696@gmail.com</t>
  </si>
  <si>
    <t xml:space="preserve">KARTHIKA, KOTTARCAVU,, MAVELIKKARA, KERALA.</t>
  </si>
  <si>
    <t xml:space="preserve">SOORYA PRAKASH M.P.</t>
  </si>
  <si>
    <t xml:space="preserve">0505857960</t>
  </si>
  <si>
    <t xml:space="preserve">9745963979</t>
  </si>
  <si>
    <t xml:space="preserve">sooryanambiar@gmail.com</t>
  </si>
  <si>
    <t xml:space="preserve">KATTAMBALLI HOUSE, KACHERI POST,, EDACHERI VIA, VADAKARA - 673502.</t>
  </si>
  <si>
    <t xml:space="preserve">SHAJAHAN NALAKATH</t>
  </si>
  <si>
    <t xml:space="preserve">0507585756</t>
  </si>
  <si>
    <t xml:space="preserve">9656730535</t>
  </si>
  <si>
    <t xml:space="preserve">shajahansinkam@gmail.com</t>
  </si>
  <si>
    <t xml:space="preserve">SINKAM HOUSE, CHAVAKKAD P.O.,, TRICHUR, KERALA-680506</t>
  </si>
  <si>
    <t xml:space="preserve">NOUSHAD MEETHALE VALAPPIL</t>
  </si>
  <si>
    <t xml:space="preserve">0503434146</t>
  </si>
  <si>
    <t xml:space="preserve">9400492991</t>
  </si>
  <si>
    <t xml:space="preserve">info@noblestarshipping.com</t>
  </si>
  <si>
    <t xml:space="preserve">NAUSHAD MANZIL, H.NO.-552, VELAYI, PATTIAM,, MUTHIYANGA P.O.,PATHAYAKUNNU, KANNUR-670691.</t>
  </si>
  <si>
    <t xml:space="preserve">ADV. ANSAR N.T.</t>
  </si>
  <si>
    <t xml:space="preserve">0544307888</t>
  </si>
  <si>
    <t xml:space="preserve">9846003223</t>
  </si>
  <si>
    <t xml:space="preserve">ansar.taj@gmail.com</t>
  </si>
  <si>
    <t xml:space="preserve">NIKARTHIL PUTHENVEEDU,VAYALAR-P.O.,, CHERTHALA, ALPPUZHA, KERALA.</t>
  </si>
  <si>
    <t xml:space="preserve">VINU JOSE</t>
  </si>
  <si>
    <t xml:space="preserve">0567249273</t>
  </si>
  <si>
    <t xml:space="preserve">4802877645</t>
  </si>
  <si>
    <t xml:space="preserve">vinualappat@gmail.com</t>
  </si>
  <si>
    <t xml:space="preserve">ALAPPATT HOUSE,CHURCH ROAD,, KATTOOR,THRISSUR-680702, KERALA.</t>
  </si>
  <si>
    <t xml:space="preserve">NOORUDHIN N.P.</t>
  </si>
  <si>
    <t xml:space="preserve">0505350523</t>
  </si>
  <si>
    <t xml:space="preserve">abunaeema@gmail.com</t>
  </si>
  <si>
    <t xml:space="preserve">HASEENA MANZIL, P.O.BELLURU,, MULLERIA, KASARAGOD-671543., 0091 9567322643</t>
  </si>
  <si>
    <t xml:space="preserve">SUDHAKARAN VATAVIL</t>
  </si>
  <si>
    <t xml:space="preserve">0558656900</t>
  </si>
  <si>
    <t xml:space="preserve">vatavil@gmail.com</t>
  </si>
  <si>
    <t xml:space="preserve">'SATHI NIVAS', ELAYAVOOR,, VARAM POST, KANNUR, KERALA, 0091 9447066639</t>
  </si>
  <si>
    <t xml:space="preserve">ADV.ABDUL HAKEEM P.</t>
  </si>
  <si>
    <t xml:space="preserve">0556446448</t>
  </si>
  <si>
    <t xml:space="preserve">9446300446</t>
  </si>
  <si>
    <t xml:space="preserve">hakkeem.abdul@gmail.com</t>
  </si>
  <si>
    <t xml:space="preserve">PADIPPURAKAL HOUSE, AMBALAPARA,, OTTAPALAM, PALAKKAD, KERALA.</t>
  </si>
  <si>
    <t xml:space="preserve">RAGHI SHAJI</t>
  </si>
  <si>
    <t xml:space="preserve">0501564130</t>
  </si>
  <si>
    <t xml:space="preserve">9745301620</t>
  </si>
  <si>
    <t xml:space="preserve">raghi.shaji@yahoo.com</t>
  </si>
  <si>
    <t xml:space="preserve">MULLAMPARAMBIL HOUSE, P.O.KODANNUR,, PALLIPPURAM, THRISSUR, KERALA.</t>
  </si>
  <si>
    <t xml:space="preserve">P.SHAJILAL</t>
  </si>
  <si>
    <t xml:space="preserve">0507876385</t>
  </si>
  <si>
    <t xml:space="preserve">8086993033</t>
  </si>
  <si>
    <t xml:space="preserve">shajilalp@gmail.com</t>
  </si>
  <si>
    <t xml:space="preserve">SIVA POOJA,KOONAYIL, PARAVOOR,, KOLLAM- 691301, KERALA.</t>
  </si>
  <si>
    <t xml:space="preserve">SARGA ROY</t>
  </si>
  <si>
    <t xml:space="preserve">0551020026</t>
  </si>
  <si>
    <t xml:space="preserve">sarga.roy@gmail.com</t>
  </si>
  <si>
    <t xml:space="preserve">VIPANCHIKA, NELLICODE,, VADASSERIKKONAM-P.O., TRIVANDRUM-695143.</t>
  </si>
  <si>
    <t xml:space="preserve">SHARUN SURENDRAN</t>
  </si>
  <si>
    <t xml:space="preserve">0502704236</t>
  </si>
  <si>
    <t xml:space="preserve">8714450649</t>
  </si>
  <si>
    <t xml:space="preserve">sharunsurender@gmail.com</t>
  </si>
  <si>
    <t xml:space="preserve">VAZHAPULLY HOUSE, WEST MANGAD,, VIA PAZHANJI, THRISSUR, KERALA.</t>
  </si>
  <si>
    <t xml:space="preserve">JINU VARUGHESE</t>
  </si>
  <si>
    <t xml:space="preserve">0506972589</t>
  </si>
  <si>
    <t xml:space="preserve">9947446480</t>
  </si>
  <si>
    <t xml:space="preserve">jinukottukovil@gmail.com</t>
  </si>
  <si>
    <t xml:space="preserve">KOTTUKOVIL HOUSE, VELLOOR-P.O.,, PAMPADY, KERALA STATE.</t>
  </si>
  <si>
    <t xml:space="preserve">RIYA ELIZABETH JOSE</t>
  </si>
  <si>
    <t xml:space="preserve">0509802787</t>
  </si>
  <si>
    <t xml:space="preserve">8590589084</t>
  </si>
  <si>
    <t xml:space="preserve">riyaelza.92@gmail.com</t>
  </si>
  <si>
    <t xml:space="preserve">FLAT NO. GD, POWATHU JOSE BHAVAN, CVD PARLIAMENT SQUA, CROSS JN.,THIRUVALLA, PATHANAMTHITTA-689101.</t>
  </si>
  <si>
    <t xml:space="preserve">ABHILASH ACHUTHAN</t>
  </si>
  <si>
    <t xml:space="preserve">0566063538</t>
  </si>
  <si>
    <t xml:space="preserve">er.abhi.achu@gmail.com</t>
  </si>
  <si>
    <t xml:space="preserve">ASWATHI HOUSE, PALLAM VALAPOTH ROAD,, P.O.UDMA, KASARAGOD, KERALA.</t>
  </si>
  <si>
    <t xml:space="preserve">SHANAVAS ALI MARAKKAM THODI</t>
  </si>
  <si>
    <t xml:space="preserve">0505755147</t>
  </si>
  <si>
    <t xml:space="preserve">shanavas738@gmail.com</t>
  </si>
  <si>
    <t xml:space="preserve">MARAKKAM THODI HOUSE, TRIKKATERI POST,, PALAKKAD, KERALA - 679502, 0091 9074442987</t>
  </si>
  <si>
    <t xml:space="preserve">VANDANA MOHAN</t>
  </si>
  <si>
    <t xml:space="preserve">0508824291</t>
  </si>
  <si>
    <t xml:space="preserve">ddmetco@gmail.com</t>
  </si>
  <si>
    <t xml:space="preserve">POTHIYIL HOUSE, THATTARAMBALAM P.O.,, MAVELIKKARA, ALLEPPEY- 690103, KERALA</t>
  </si>
  <si>
    <t xml:space="preserve">MOHAMED SHEHIN K.</t>
  </si>
  <si>
    <t xml:space="preserve">0503822463</t>
  </si>
  <si>
    <t xml:space="preserve">4942422463</t>
  </si>
  <si>
    <t xml:space="preserve">shehik@gmail.com</t>
  </si>
  <si>
    <t xml:space="preserve">THACHAPARAMBIL, B.P. ANGADI-P.O.,, TIRUR, MALAPPURAM - 02, KERALA.</t>
  </si>
  <si>
    <t xml:space="preserve">MUHAMMED AFSAL SAIFUDEEN</t>
  </si>
  <si>
    <t xml:space="preserve">0524976460</t>
  </si>
  <si>
    <t xml:space="preserve">muhammedafsal888@gmail.com</t>
  </si>
  <si>
    <t xml:space="preserve">VAYALIKKADA, PLAVILA HOUSE,, PALACHIRA P.O., VARKALA, TRIVANDRUM.</t>
  </si>
  <si>
    <t xml:space="preserve">K.M.NAJEEB</t>
  </si>
  <si>
    <t xml:space="preserve">0505371428</t>
  </si>
  <si>
    <t xml:space="preserve">9544894725</t>
  </si>
  <si>
    <t xml:space="preserve">hananajeeb06@gmail.com</t>
  </si>
  <si>
    <t xml:space="preserve">KODUNGALLUR, THRISSUR,, KERALA STATE.</t>
  </si>
  <si>
    <t xml:space="preserve">MAHAMOOD ADCHERY</t>
  </si>
  <si>
    <t xml:space="preserve">0507588468</t>
  </si>
  <si>
    <t xml:space="preserve">9188238468</t>
  </si>
  <si>
    <t xml:space="preserve">adachery58@gmail.com</t>
  </si>
  <si>
    <t xml:space="preserve">ADCHERY HOUSE, ERIYAL - P.O.,, KUDLU, KASARAGOD,KERALA.</t>
  </si>
  <si>
    <t xml:space="preserve">MOHAMMAD K. ABDULLA</t>
  </si>
  <si>
    <t xml:space="preserve">0505792792</t>
  </si>
  <si>
    <t xml:space="preserve">8050152292</t>
  </si>
  <si>
    <t xml:space="preserve">mohd@alshaheenllc.com</t>
  </si>
  <si>
    <t xml:space="preserve">HOUSE NO. IX, KATTAKKAL HOUSE,, P.O.KALANAD, KASARAGOD, KERALA</t>
  </si>
  <si>
    <t xml:space="preserve">UNNIKRISHNAN K. KURUP</t>
  </si>
  <si>
    <t xml:space="preserve">0553947015</t>
  </si>
  <si>
    <t xml:space="preserve">9645144177</t>
  </si>
  <si>
    <t xml:space="preserve">ukrishkk@gmail.com</t>
  </si>
  <si>
    <t xml:space="preserve">CHEMPAKASERIL, THAZHATHUKULAKKADA,, KULAKKADA, KOLLAM, KERALA.</t>
  </si>
  <si>
    <t xml:space="preserve">CHANDRAN BEPU CHALIYAN</t>
  </si>
  <si>
    <t xml:space="preserve">0552152464</t>
  </si>
  <si>
    <t xml:space="preserve">8893848484</t>
  </si>
  <si>
    <t xml:space="preserve">chandbc@gmail.com</t>
  </si>
  <si>
    <t xml:space="preserve">BEPU (H), IRIYANNI-P.O.,, MULIYAR (Via), KASARAGOD, KERALA.</t>
  </si>
  <si>
    <t xml:space="preserve">MOIDEEN K. ABDULLA</t>
  </si>
  <si>
    <t xml:space="preserve">0506344175</t>
  </si>
  <si>
    <t xml:space="preserve">9496787556</t>
  </si>
  <si>
    <t xml:space="preserve">ajju_117@hotmail.com</t>
  </si>
  <si>
    <t xml:space="preserve">MAHROOFA MANZIL, KADANGOD,, THURUTHI-P.O., CHERUVATHUR, KASARAGOD, KERALA.</t>
  </si>
  <si>
    <t xml:space="preserve">SANEESH JOSEPH</t>
  </si>
  <si>
    <t xml:space="preserve">0551732728</t>
  </si>
  <si>
    <t xml:space="preserve">sanikjose@gmail.com</t>
  </si>
  <si>
    <t xml:space="preserve">KALLILAL HOUSE, VYTHIRI-P.O.,, WAYANAD, KERALA.</t>
  </si>
  <si>
    <t xml:space="preserve">Dr. BHASKARAN KARAPATH</t>
  </si>
  <si>
    <t xml:space="preserve">0507979580</t>
  </si>
  <si>
    <t xml:space="preserve">drbhas2005@yahoo.com</t>
  </si>
  <si>
    <t xml:space="preserve">NEAR MUCHILOT TEMPLE, AJANUR,, P.O.KIZHAKKUMKARA, KASARAGOD, KERALA.</t>
  </si>
  <si>
    <t xml:space="preserve">PRABHATH K.NAIR</t>
  </si>
  <si>
    <t xml:space="preserve">0507294498</t>
  </si>
  <si>
    <t xml:space="preserve">9656785101</t>
  </si>
  <si>
    <t xml:space="preserve">prabhathknair@gmail.com</t>
  </si>
  <si>
    <t xml:space="preserve">PRABHA MANDIRAM, KUDAPPANAMOOD,, TRIVANDRUM, KERALA.</t>
  </si>
  <si>
    <t xml:space="preserve">ROY V.S.</t>
  </si>
  <si>
    <t xml:space="preserve">0505886251</t>
  </si>
  <si>
    <t xml:space="preserve">9946719127</t>
  </si>
  <si>
    <t xml:space="preserve">roysarojam@gmail.com</t>
  </si>
  <si>
    <t xml:space="preserve">VIPANCHIKA, NELLICODE,, VADASSERIKONAM-P.O.,TRIVANDRUM.</t>
  </si>
  <si>
    <t xml:space="preserve">SAJEER MUHAMMED SALI</t>
  </si>
  <si>
    <t xml:space="preserve">0503947916</t>
  </si>
  <si>
    <t xml:space="preserve">msajeer@gmail.com</t>
  </si>
  <si>
    <t xml:space="preserve">RAZEENA MANZIL,MARU SOUTH,, ALUMKADAVU P.O., KARUNAGAPPALLY, KOLLAM.</t>
  </si>
  <si>
    <t xml:space="preserve">MADHUSUDANAN P.N.</t>
  </si>
  <si>
    <t xml:space="preserve">0503275063</t>
  </si>
  <si>
    <t xml:space="preserve">9446373825</t>
  </si>
  <si>
    <t xml:space="preserve">alzahid2002@gmail.com</t>
  </si>
  <si>
    <t xml:space="preserve">GOPURATHIL, KUNNAMTHANAM-P.O.,, THIRUVALLA, PATHANAMTHITTA, KERALA</t>
  </si>
  <si>
    <t xml:space="preserve">JISWIN ITTICHERIA VENGAL</t>
  </si>
  <si>
    <t xml:space="preserve">0554629318</t>
  </si>
  <si>
    <t xml:space="preserve">9847246100</t>
  </si>
  <si>
    <t xml:space="preserve">jiswinvengal@gmail.com</t>
  </si>
  <si>
    <t xml:space="preserve">KANNAMKARA HOUSE, ELANTHOOR-P.O.,, PATHANAMTHITTA, KERALA.</t>
  </si>
  <si>
    <t xml:space="preserve">Dr. ABDUNNASAR (VANIYAMBALAM)</t>
  </si>
  <si>
    <t xml:space="preserve">0506768610</t>
  </si>
  <si>
    <t xml:space="preserve">9495325056</t>
  </si>
  <si>
    <t xml:space="preserve">uanasarvmb@gmail.com</t>
  </si>
  <si>
    <t xml:space="preserve">BUSHRA MANZIL, THACHANKODE,, VANIYAMBALAM, WANDOOR, KERALA</t>
  </si>
  <si>
    <t xml:space="preserve">SHAFEEQ ATK</t>
  </si>
  <si>
    <t xml:space="preserve">0551016210</t>
  </si>
  <si>
    <t xml:space="preserve">9946361696</t>
  </si>
  <si>
    <t xml:space="preserve">shafeeq.atk@gmail.com</t>
  </si>
  <si>
    <t xml:space="preserve">ATK HOUSE, KUNNUMMAKARA P.O.,, KOZHIKODE-673308, KERALA</t>
  </si>
  <si>
    <t xml:space="preserve">NEPHIN JACOB</t>
  </si>
  <si>
    <t xml:space="preserve">0509920733</t>
  </si>
  <si>
    <t xml:space="preserve">9446818529</t>
  </si>
  <si>
    <t xml:space="preserve">nephinjacob@gmail.com</t>
  </si>
  <si>
    <t xml:space="preserve">AZHAKANAKUZHIYIL HOUSE,, AYROOR SOUT P.O., PATHANAMTHITTA</t>
  </si>
  <si>
    <t xml:space="preserve">ASHISH PILLAI</t>
  </si>
  <si>
    <t xml:space="preserve">0555911230</t>
  </si>
  <si>
    <t xml:space="preserve">ashish@mkiuae.com</t>
  </si>
  <si>
    <t xml:space="preserve">VELLAPPALLIL HOUSE, EDANAD-P.O.,, CHENGANNUR, ALAPPUZHA, KERALA-689123., 0091 9495033678</t>
  </si>
  <si>
    <t xml:space="preserve">ABDUL MAJEED AMMARATH</t>
  </si>
  <si>
    <t xml:space="preserve">0508738415</t>
  </si>
  <si>
    <t xml:space="preserve">abdulmajeedsharjah@gmail.com</t>
  </si>
  <si>
    <t xml:space="preserve">AMMARATH HOUSE, P.O.TIRUVALLUR,, KOZHIKODE, KERALA., 0091 8547393368 - WIFE</t>
  </si>
  <si>
    <t xml:space="preserve">SAMUEL C.L.</t>
  </si>
  <si>
    <t xml:space="preserve">0557048131</t>
  </si>
  <si>
    <t xml:space="preserve">9744016104</t>
  </si>
  <si>
    <t xml:space="preserve">sam.vzr@gmail.com</t>
  </si>
  <si>
    <t xml:space="preserve">LOVE DALE, VIZHAVOOR,, MALAYAM-P.O., TRIVANDRUM-695571.</t>
  </si>
  <si>
    <t xml:space="preserve">JOHN THOMAS</t>
  </si>
  <si>
    <t xml:space="preserve">0553981577</t>
  </si>
  <si>
    <t xml:space="preserve">john@jvthomson.com</t>
  </si>
  <si>
    <t xml:space="preserve">VALU PARAMBIL HOUSE, VAZHUVADI,, THAZHAKARA P.O., MAVELIKARA, KERALA.</t>
  </si>
  <si>
    <t xml:space="preserve">REKHA JENNY</t>
  </si>
  <si>
    <t xml:space="preserve">0503699397</t>
  </si>
  <si>
    <t xml:space="preserve">9446939489</t>
  </si>
  <si>
    <t xml:space="preserve">rekha.jenny@gmail.com</t>
  </si>
  <si>
    <t xml:space="preserve">PULIKKOTTIL HOUSE, WEST BAZAR,, KUNNAMKULAM, THRISSUR, KERALA.</t>
  </si>
  <si>
    <t xml:space="preserve">RENU THOMAS</t>
  </si>
  <si>
    <t xml:space="preserve">0558772799</t>
  </si>
  <si>
    <t xml:space="preserve">renuthomas09@gmail.com</t>
  </si>
  <si>
    <t xml:space="preserve">A-2/02, RAVINDRA APTS,RAJARAM NAGAR,, CHINCHPADA ROAD,KALYAN-E,THANE-421306-MS</t>
  </si>
  <si>
    <t xml:space="preserve">T.K.BANARJI</t>
  </si>
  <si>
    <t xml:space="preserve">0504332124</t>
  </si>
  <si>
    <t xml:space="preserve">9048923427</t>
  </si>
  <si>
    <t xml:space="preserve">tkbanarji72@gmail.com</t>
  </si>
  <si>
    <t xml:space="preserve">THINAYATTIL HOUSE, POOVATHUSSERY-P.O.,, TRICHUR-680741, KERALA.</t>
  </si>
  <si>
    <t xml:space="preserve">BIJU VARGHESE</t>
  </si>
  <si>
    <t xml:space="preserve">0508636009</t>
  </si>
  <si>
    <t xml:space="preserve">9496119637</t>
  </si>
  <si>
    <t xml:space="preserve">biju8636009@gmail.com</t>
  </si>
  <si>
    <t xml:space="preserve">MANNIL HOUSE, VATTAKUNNAM,, EDAPPALLY(N)-P.O.,ERNAKULAM.</t>
  </si>
  <si>
    <t xml:space="preserve">SUBEESH K.S.</t>
  </si>
  <si>
    <t xml:space="preserve">0501764974</t>
  </si>
  <si>
    <t xml:space="preserve">subeesh.eee@gmail.com</t>
  </si>
  <si>
    <t xml:space="preserve">KODAKATTIL HOUSE, KURZIKATTAKONAM,, MADAYIKONAM, VIA IRINJALAKUDA, TRICHUR, KERALA.</t>
  </si>
  <si>
    <t xml:space="preserve">FAISAL MAIKKARAN</t>
  </si>
  <si>
    <t xml:space="preserve">0502030614</t>
  </si>
  <si>
    <t xml:space="preserve">9995998998</t>
  </si>
  <si>
    <t xml:space="preserve">fazzjack@gmail.com</t>
  </si>
  <si>
    <t xml:space="preserve">MAIKKARAN HOUSE, VALAPATANAM,, KANNUR, KERALA - 670010.</t>
  </si>
  <si>
    <t xml:space="preserve">RATHNA KUMAR P.V.</t>
  </si>
  <si>
    <t xml:space="preserve">0504993545</t>
  </si>
  <si>
    <t xml:space="preserve">r_kumarpv@yahoo.com</t>
  </si>
  <si>
    <t xml:space="preserve">PULAPARAMBIL HOUSE, KADASSANKADAVU-P.O.,, THRISSUR-680613, KERALA., 0091 9645224250</t>
  </si>
  <si>
    <t xml:space="preserve">SHIBIN SEKHARAN V.</t>
  </si>
  <si>
    <t xml:space="preserve">0528201111</t>
  </si>
  <si>
    <t xml:space="preserve">7559861111</t>
  </si>
  <si>
    <t xml:space="preserve">VEDITHARAKKAL HOUSE, BEKAL-P.O.,, KASARAGOD, KERALA., 0091 9744084688, MOHAMED RIYAZ K.V. (RIYAZ KILTONL) 3981, 237739, DUBAI, RIYAZ VILLA, OPP. POLICE ST.,, PONNANI, MALAPPURAM, KERALA.</t>
  </si>
  <si>
    <t xml:space="preserve">FEBIN MUHAMMAD</t>
  </si>
  <si>
    <t xml:space="preserve">0501928611</t>
  </si>
  <si>
    <t xml:space="preserve">9562442429</t>
  </si>
  <si>
    <t xml:space="preserve">muhammed.febin@gmail.com</t>
  </si>
  <si>
    <t xml:space="preserve">THADALIL HOUSE, MANKAMKUZHY P.O.,, MAVELIKKARA-690558, KERALA.</t>
  </si>
  <si>
    <t xml:space="preserve">BIJESH KRISHNAN KARAVAT</t>
  </si>
  <si>
    <t xml:space="preserve">0504822536</t>
  </si>
  <si>
    <t xml:space="preserve">9544198919</t>
  </si>
  <si>
    <t xml:space="preserve">bijesh_6028@yahoo.com</t>
  </si>
  <si>
    <t xml:space="preserve">KARAVAT HOUSE, P.O.THANISSERY,, KARALAM VILLAGE-680701,TRICHUR, KERALA.</t>
  </si>
  <si>
    <t xml:space="preserve">KUNHAMMAD C.K.</t>
  </si>
  <si>
    <t xml:space="preserve">0502051700</t>
  </si>
  <si>
    <t xml:space="preserve">9495364000</t>
  </si>
  <si>
    <t xml:space="preserve">kunhammadckck@gmail.com</t>
  </si>
  <si>
    <t xml:space="preserve">KANDAM KANDIYIL HOUSE, P.O.THIRUVALLUR,, KOZHIKODE-673541, KERALA.</t>
  </si>
  <si>
    <t xml:space="preserve">BENNY GEORGE</t>
  </si>
  <si>
    <t xml:space="preserve">0503049316</t>
  </si>
  <si>
    <t xml:space="preserve">9526140216</t>
  </si>
  <si>
    <t xml:space="preserve">bennygeorgekoshy@gmail.com</t>
  </si>
  <si>
    <t xml:space="preserve">NATHANYA, T.C.-51/3350(1), PLAVILA,, THIRUMAL-P.O., TRIVANDRUM-695006, KERALA</t>
  </si>
  <si>
    <t xml:space="preserve">MUHASIN K. MOHAMED</t>
  </si>
  <si>
    <t xml:space="preserve">0508668280</t>
  </si>
  <si>
    <t xml:space="preserve">9895555136</t>
  </si>
  <si>
    <t xml:space="preserve">muhsi6410@gmail.com</t>
  </si>
  <si>
    <t xml:space="preserve">KAVUNGAL HOUSE, P.O.KARAYAMUTTAM,, THRISSUR-680567, KERALA.</t>
  </si>
  <si>
    <t xml:space="preserve">SHEKKEER HUSSAIN M.M.</t>
  </si>
  <si>
    <t xml:space="preserve">0505584049</t>
  </si>
  <si>
    <t xml:space="preserve">9447813411</t>
  </si>
  <si>
    <t xml:space="preserve">shakeerhussainmm@gmail.com</t>
  </si>
  <si>
    <t xml:space="preserve">MUSLIAM VEETTIL HOUSE,, VYLATHOOR P.O., THRISSUR, KERALA</t>
  </si>
  <si>
    <t xml:space="preserve">SIDDIQUE M.K.</t>
  </si>
  <si>
    <t xml:space="preserve">0558995523</t>
  </si>
  <si>
    <t xml:space="preserve">samah7860@gmail.com</t>
  </si>
  <si>
    <t xml:space="preserve">MADAKKAL P.O., UDUMBUNTHALA,, KASARAGOD, KERALA</t>
  </si>
  <si>
    <t xml:space="preserve">ABDUL GAFOOR ABDURAHIMAN</t>
  </si>
  <si>
    <t xml:space="preserve">0555529469</t>
  </si>
  <si>
    <t xml:space="preserve">gafoortc@gmail.com</t>
  </si>
  <si>
    <t xml:space="preserve">THANAL POST, PANNIANNORE,, VIA CHOKLI, KANNOOR, KERALA., 0091 9995036831</t>
  </si>
  <si>
    <t xml:space="preserve">HAROLD ANTONY GOMEZ</t>
  </si>
  <si>
    <t xml:space="preserve">0505511703</t>
  </si>
  <si>
    <t xml:space="preserve">hgomez85@hotmail.com</t>
  </si>
  <si>
    <t xml:space="preserve">LEENA VILLA, ST.ANDREWS, St. XAVIERS COLLEGE-P.O,, TRIVANDRUM, KERALA., 0091 9400832802</t>
  </si>
  <si>
    <t xml:space="preserve">SAMEER S HAMEED</t>
  </si>
  <si>
    <t xml:space="preserve">0508567769</t>
  </si>
  <si>
    <t xml:space="preserve">7025541080</t>
  </si>
  <si>
    <t xml:space="preserve">sameershahul13@gmail.com</t>
  </si>
  <si>
    <t xml:space="preserve">THOPPIL HOUSE, P.O. MARUTHAYUR,, PAVARATTY, THRISSUR-680507, KERALA</t>
  </si>
  <si>
    <t xml:space="preserve">ANSAR P. IBRAHIMKUTTY</t>
  </si>
  <si>
    <t xml:space="preserve">0528989777</t>
  </si>
  <si>
    <t xml:space="preserve">9846508042</t>
  </si>
  <si>
    <t xml:space="preserve">ansarpi@gmail.com</t>
  </si>
  <si>
    <t xml:space="preserve">PONTHELAVALAPPIL (H), KARALAM-P.O.,, THRISSUR-680711, KERALA</t>
  </si>
  <si>
    <t xml:space="preserve">GEORGE GEORGE V.</t>
  </si>
  <si>
    <t xml:space="preserve">0506263428</t>
  </si>
  <si>
    <t xml:space="preserve">9400218000</t>
  </si>
  <si>
    <t xml:space="preserve">gvg1818@gmail.com</t>
  </si>
  <si>
    <t xml:space="preserve">VADAKKEMURIYIL HOUSE, PULLOOPURAM P.O.,, POOVANMALA, RANNY, PATHANAMTHITTA, KERALA</t>
  </si>
  <si>
    <t xml:space="preserve">HASEENA NISHAD</t>
  </si>
  <si>
    <t xml:space="preserve">0551212786</t>
  </si>
  <si>
    <t xml:space="preserve">551212800</t>
  </si>
  <si>
    <t xml:space="preserve">hasi@worldstarholding.com</t>
  </si>
  <si>
    <t xml:space="preserve">P.O.KANNADIPARAMBA,, KANNUR-670604, KERALA</t>
  </si>
  <si>
    <t xml:space="preserve">ANOOP THOMAS</t>
  </si>
  <si>
    <t xml:space="preserve">0505857177</t>
  </si>
  <si>
    <t xml:space="preserve">9544911777</t>
  </si>
  <si>
    <t xml:space="preserve">tomasverg@gmail.com</t>
  </si>
  <si>
    <t xml:space="preserve">TC-20/2928, SAGARA, YAMUNA NAGAR, TRIVANDRUM</t>
  </si>
  <si>
    <t xml:space="preserve">JUSTIN KOSHY IDICULLA</t>
  </si>
  <si>
    <t xml:space="preserve">0555293273</t>
  </si>
  <si>
    <t xml:space="preserve">9447007471</t>
  </si>
  <si>
    <t xml:space="preserve">mail2justink@gmail.com</t>
  </si>
  <si>
    <t xml:space="preserve">KONNANILKUNNATHIL (H), PRAKKANAM-P.O.,, PATHANAMTHITTA, KERALA.</t>
  </si>
  <si>
    <t xml:space="preserve">SUMIT SAMUEL</t>
  </si>
  <si>
    <t xml:space="preserve">0558497197</t>
  </si>
  <si>
    <t xml:space="preserve">samuel.sumit74@gmail.com</t>
  </si>
  <si>
    <t xml:space="preserve">THUNDIYIL HOUSE, KURIANNOR P.O.,, PONMALA, PATHANAMTHITTA-689550</t>
  </si>
  <si>
    <t xml:space="preserve">ANKITHE ASHOKAN</t>
  </si>
  <si>
    <t xml:space="preserve">0506892820</t>
  </si>
  <si>
    <t xml:space="preserve">ankithashokan99@gmail.com</t>
  </si>
  <si>
    <t xml:space="preserve">SAROJINI BHAVANAM, MANIKOTH P.O.,, KASARAGOD, KERALA</t>
  </si>
  <si>
    <t xml:space="preserve">RAJAN KURUVAT</t>
  </si>
  <si>
    <t xml:space="preserve">0558822330</t>
  </si>
  <si>
    <t xml:space="preserve">kuruvatrajan@gmail.com</t>
  </si>
  <si>
    <t xml:space="preserve">THANAL, CHEERMAKAVU ROAD,, NILESWAR, KASARAGOD, KERALA</t>
  </si>
  <si>
    <t xml:space="preserve">ABHILASH R.S.</t>
  </si>
  <si>
    <t xml:space="preserve">0506024351</t>
  </si>
  <si>
    <t xml:space="preserve">9539645892</t>
  </si>
  <si>
    <t xml:space="preserve">abhilash.r.s.00@gmail.com</t>
  </si>
  <si>
    <t xml:space="preserve">PALKULAM HOUSE, MANMPOOR-P.O.,, TRIVANDRUM, KERALA.</t>
  </si>
  <si>
    <t xml:space="preserve">JINESH R.K.</t>
  </si>
  <si>
    <t xml:space="preserve">0559943302</t>
  </si>
  <si>
    <t xml:space="preserve">9447810338</t>
  </si>
  <si>
    <t xml:space="preserve">krjinesh@gmail.com</t>
  </si>
  <si>
    <t xml:space="preserve">KIZHAKKUTTAYIL HOUSE, P.O.ALA KOTHAPARAMBO,, TRICHUR, -680668,KERALA</t>
  </si>
  <si>
    <t xml:space="preserve">MOHAMED HARIS V.A.</t>
  </si>
  <si>
    <t xml:space="preserve">0501007160</t>
  </si>
  <si>
    <t xml:space="preserve">9946359966</t>
  </si>
  <si>
    <t xml:space="preserve">harisva1@gmail.com</t>
  </si>
  <si>
    <t xml:space="preserve">VELLAKKATT PADIKKAL HOUSE, P.O.EDAVILANCY,, VEZHAVANA, KODUNGALLOOR, KERALA.</t>
  </si>
  <si>
    <t xml:space="preserve">ANTHONY KURIAN</t>
  </si>
  <si>
    <t xml:space="preserve">0505145567</t>
  </si>
  <si>
    <t xml:space="preserve">antony.kurian@yahoo.com</t>
  </si>
  <si>
    <t xml:space="preserve">KALLUMPURATH HOUSE, THAMMANAM-P.O.,, ERNAKULAM, KERALA.</t>
  </si>
  <si>
    <t xml:space="preserve">PRADEEP K.V.</t>
  </si>
  <si>
    <t xml:space="preserve">0502061235</t>
  </si>
  <si>
    <t xml:space="preserve">9446022652</t>
  </si>
  <si>
    <t xml:space="preserve">kvpradeeppnr@gmail.com</t>
  </si>
  <si>
    <t xml:space="preserve">BAMMANCHERI VEEDU, PANANGATTOOR,, KUTTIYERI-P.O., TALIPARAMBA, KANNUR.</t>
  </si>
  <si>
    <t xml:space="preserve">UMMAR USSAN</t>
  </si>
  <si>
    <t xml:space="preserve">0557209713</t>
  </si>
  <si>
    <t xml:space="preserve">9747563574</t>
  </si>
  <si>
    <t xml:space="preserve">ummarmail@gmail.com</t>
  </si>
  <si>
    <t xml:space="preserve">MAILAMPULLY HOUSE, NAMPULLIPURA P.O.,, MUNDOOR, PALAKKAD, KERALA.</t>
  </si>
  <si>
    <t xml:space="preserve">VINOTH KUMAR K.S.</t>
  </si>
  <si>
    <t xml:space="preserve">0503314640</t>
  </si>
  <si>
    <t xml:space="preserve">9444207040</t>
  </si>
  <si>
    <t xml:space="preserve">ks-vinothkumar@yahoo.com</t>
  </si>
  <si>
    <t xml:space="preserve">Y2, RAJESWARI STREET, SANTHOSH NAGAR,, PORUR, CHENNAI-600116, TAMILNADU.</t>
  </si>
  <si>
    <t xml:space="preserve">RONALD JOEL JOSEPH</t>
  </si>
  <si>
    <t xml:space="preserve">0567171440</t>
  </si>
  <si>
    <t xml:space="preserve">josephronaldjoel@gmail.com</t>
  </si>
  <si>
    <t xml:space="preserve">SHALOM VILLA, TC-33/864-1,, KOCHUVELI, TITANIUM-P.O., TRIVANDRUM.</t>
  </si>
  <si>
    <t xml:space="preserve">M.M.SAMEER BABU</t>
  </si>
  <si>
    <t xml:space="preserve">0509838487</t>
  </si>
  <si>
    <t xml:space="preserve">mmsameerb@gmail.com</t>
  </si>
  <si>
    <t xml:space="preserve">MATHIRAPPILLY, KARUPADANNA-P.O.,, THRISSUR-680670, KERALA., 0091 9567311802</t>
  </si>
  <si>
    <t xml:space="preserve">AYAMED ASHRAF T.I.</t>
  </si>
  <si>
    <t xml:space="preserve">0554407557</t>
  </si>
  <si>
    <t xml:space="preserve">ashrafthayath7575@gmail.com</t>
  </si>
  <si>
    <t xml:space="preserve">THAYAL HOUSE, BEKAL JN.,, FORT P.O., KASARAGOD, KERALA.</t>
  </si>
  <si>
    <t xml:space="preserve">ANJU ANTONY</t>
  </si>
  <si>
    <t xml:space="preserve">0556944546</t>
  </si>
  <si>
    <t xml:space="preserve">angelalandra88@gmail.com</t>
  </si>
  <si>
    <t xml:space="preserve">ARANGASSERY HOUSE, MUNOUR P.O.,, THRISSUR-680541</t>
  </si>
  <si>
    <t xml:space="preserve">PARETH VEETIL SHAJI</t>
  </si>
  <si>
    <t xml:space="preserve">0568686815</t>
  </si>
  <si>
    <t xml:space="preserve">9447888760</t>
  </si>
  <si>
    <t xml:space="preserve">shaji_sraavan@yahoo.com</t>
  </si>
  <si>
    <t xml:space="preserve">LAKSHMIPURAM, NANIYOOR NAMBRAM,, P.O.MULLAKODI, KANNUR-670601, KERALA.</t>
  </si>
  <si>
    <t xml:space="preserve">M.H.ABDUL JAMAL</t>
  </si>
  <si>
    <t xml:space="preserve">0547049785</t>
  </si>
  <si>
    <t xml:space="preserve">9544611111</t>
  </si>
  <si>
    <t xml:space="preserve">mhjamu2008@gmail.com</t>
  </si>
  <si>
    <t xml:space="preserve">MADAPPATTU PARAMBIL HOUSE,, PANNITHADAM P.O.,CHIRAMANGAD, TRICHUR-680604.</t>
  </si>
  <si>
    <t xml:space="preserve">SARAFUDHEEN K.T.</t>
  </si>
  <si>
    <t xml:space="preserve">0507271547</t>
  </si>
  <si>
    <t xml:space="preserve">8593903906</t>
  </si>
  <si>
    <t xml:space="preserve">sharafzayed@gmail.com</t>
  </si>
  <si>
    <t xml:space="preserve">THOZHANNUR, KANANCHERY,, RANDATHANI P.O., MALAPPURAM, KERALA</t>
  </si>
  <si>
    <t xml:space="preserve">RAVI T.V.</t>
  </si>
  <si>
    <t xml:space="preserve">0507572093</t>
  </si>
  <si>
    <t xml:space="preserve">ravithankappan@hotmail.com</t>
  </si>
  <si>
    <t xml:space="preserve">VELIYIL HOUSE, ALAPPUZHA-8,, KERALA.</t>
  </si>
  <si>
    <t xml:space="preserve">BABY VARGHESE</t>
  </si>
  <si>
    <t xml:space="preserve">0504542354</t>
  </si>
  <si>
    <t xml:space="preserve">9847568421</t>
  </si>
  <si>
    <t xml:space="preserve">babyvarghese36@yahoo.com</t>
  </si>
  <si>
    <t xml:space="preserve">THURACKAL HOUSE, ALACKODE,, ELAMDESAOM-P.O., THODUPUZHA, IDUKKI-685588</t>
  </si>
  <si>
    <t xml:space="preserve">SANTHOSH KUMAR A.</t>
  </si>
  <si>
    <t xml:space="preserve">0555090220</t>
  </si>
  <si>
    <t xml:space="preserve">8547364415</t>
  </si>
  <si>
    <t xml:space="preserve">santhu916316@yahoo.co.in</t>
  </si>
  <si>
    <t xml:space="preserve">UTHRADAM (H), RAMAGIRI, RAVANESHWAR-P.O.,, BEKAL FORT (Via), KASARAGOD, KERALA</t>
  </si>
  <si>
    <t xml:space="preserve">MADHU ATTIPPIL</t>
  </si>
  <si>
    <t xml:space="preserve">0508149881</t>
  </si>
  <si>
    <t xml:space="preserve">9746374663</t>
  </si>
  <si>
    <t xml:space="preserve">madhuattippil@gmail.com</t>
  </si>
  <si>
    <t xml:space="preserve">ATTIPPIL HOUSE, BENGALAM P.O.,, NILESHWAR VIA, KASARAGOD-671314.</t>
  </si>
  <si>
    <t xml:space="preserve">KRISHNADAS KOCHATH</t>
  </si>
  <si>
    <t xml:space="preserve">0559885023</t>
  </si>
  <si>
    <t xml:space="preserve">kichuksoman@gmail.com</t>
  </si>
  <si>
    <t xml:space="preserve">SAMAGEETHAM, L&amp;T NAGAR-2ND STREET,, THAMARAYOOR-P.O., GURUVAYOOR, TRICHUR., 0091 8606468166</t>
  </si>
  <si>
    <t xml:space="preserve">VINOD RAMACHANDRAN</t>
  </si>
  <si>
    <t xml:space="preserve">0504978785</t>
  </si>
  <si>
    <t xml:space="preserve">vinu1972@hotmail.com</t>
  </si>
  <si>
    <t xml:space="preserve">SREE NILAYAM, MANKURISSI (POST),, PALAKKAD, KERALA., 0091 9496648165</t>
  </si>
  <si>
    <t xml:space="preserve">JIJU P. THOMAS</t>
  </si>
  <si>
    <t xml:space="preserve">0505657219</t>
  </si>
  <si>
    <t xml:space="preserve">9645741587</t>
  </si>
  <si>
    <t xml:space="preserve">abjish@gmail.com</t>
  </si>
  <si>
    <t xml:space="preserve">KATHADETHU THEKKETHIL HOUSE,, VEDARAPLA-P.O., ALAPPUZHA, KERALA.</t>
  </si>
  <si>
    <t xml:space="preserve">GEORGE KOSHY</t>
  </si>
  <si>
    <t xml:space="preserve">0508562891</t>
  </si>
  <si>
    <t xml:space="preserve">georgekoshy1970@gmail.com</t>
  </si>
  <si>
    <t xml:space="preserve">TC-8/1413, EBANESAR,, THIRUMALA-P.O., TRIVANDRUM-695006</t>
  </si>
  <si>
    <t xml:space="preserve">IBRAHIM I.K.ALANGAR</t>
  </si>
  <si>
    <t xml:space="preserve">0559396822</t>
  </si>
  <si>
    <t xml:space="preserve">9995754555</t>
  </si>
  <si>
    <t xml:space="preserve">imisbah11@gmail.com</t>
  </si>
  <si>
    <t xml:space="preserve">H.NO.VI/527, ALANGAR HOUSE, P.O.PERMUDE,, KASARAGOD, KERALA-671321.</t>
  </si>
  <si>
    <t xml:space="preserve">SHAMEER VELAKKATTU VELLY</t>
  </si>
  <si>
    <t xml:space="preserve">0551280020</t>
  </si>
  <si>
    <t xml:space="preserve">shameer80020@gmail.com</t>
  </si>
  <si>
    <t xml:space="preserve">VALIYA VELAKKATTU VELLY, P.O.THOONERI,, NADAPURAM VIA, KOZHIKODE, KERALA.</t>
  </si>
  <si>
    <t xml:space="preserve">M.K.PRADEEP</t>
  </si>
  <si>
    <t xml:space="preserve">0507961706</t>
  </si>
  <si>
    <t xml:space="preserve">9544277779</t>
  </si>
  <si>
    <t xml:space="preserve">mkpradeep706@gmail.com</t>
  </si>
  <si>
    <t xml:space="preserve">MANIYANTHARA HOUSE, KANADANASSERY.P.O,, TRICHUR, KERALA.</t>
  </si>
  <si>
    <t xml:space="preserve">NIBIN</t>
  </si>
  <si>
    <t xml:space="preserve">0507983000</t>
  </si>
  <si>
    <t xml:space="preserve">9744009999</t>
  </si>
  <si>
    <t xml:space="preserve">nibinnoor@gmail.com</t>
  </si>
  <si>
    <t xml:space="preserve">AMBALATH VEETIL-(H), P.O.THRITHALLOOR-(W),, VADANAPPALLY, THRISSUR, KERALA.</t>
  </si>
  <si>
    <t xml:space="preserve">JAICHANDRAN V. KARTHA</t>
  </si>
  <si>
    <t xml:space="preserve">0552064445</t>
  </si>
  <si>
    <t xml:space="preserve">jv4315@gmail.com</t>
  </si>
  <si>
    <t xml:space="preserve">JAYAGEETHAM, ANAYANNOOR-P.O.,, KOTTAYAM, KERALA</t>
  </si>
  <si>
    <t xml:space="preserve">JAMAL MOHAMED T.</t>
  </si>
  <si>
    <t xml:space="preserve">0507913643</t>
  </si>
  <si>
    <t xml:space="preserve">9544770072</t>
  </si>
  <si>
    <t xml:space="preserve">jamal.tirur@gmail.com</t>
  </si>
  <si>
    <t xml:space="preserve">THENDATH HOUSE,, PAYYANANGADI-P.O., TIRUR-676101</t>
  </si>
  <si>
    <t xml:space="preserve">DEVARAJ R. NAIR</t>
  </si>
  <si>
    <t xml:space="preserve">0528552153</t>
  </si>
  <si>
    <t xml:space="preserve">devarajdeva885@gmail.com</t>
  </si>
  <si>
    <t xml:space="preserve">RAJENDRA VILASAM, MANAMBOOR-P.O.,, MANAMBOOR, TRIVANDRUM., 0091 9048862797</t>
  </si>
  <si>
    <t xml:space="preserve">SHENI MELEDATH</t>
  </si>
  <si>
    <t xml:space="preserve">0551049591</t>
  </si>
  <si>
    <t xml:space="preserve">shenimr@gmail.com</t>
  </si>
  <si>
    <t xml:space="preserve">MELEDATH HOUSE, P.O.KIZHAKKUMURI,, PERINGOTTUKARA, THRISSUR, KERALA</t>
  </si>
  <si>
    <t xml:space="preserve">ABDUL AZEEZ T.K.</t>
  </si>
  <si>
    <t xml:space="preserve">0556710455</t>
  </si>
  <si>
    <t xml:space="preserve">8547537772</t>
  </si>
  <si>
    <t xml:space="preserve">azeezmoideentk@gmail.com</t>
  </si>
  <si>
    <t xml:space="preserve">SHARJAH PALACE, OPP. GOVT. HOSPITAL,, P.O.PADANNA, KASARAGOD-671312</t>
  </si>
  <si>
    <t xml:space="preserve">JESSY GEORGE</t>
  </si>
  <si>
    <t xml:space="preserve">0556683183</t>
  </si>
  <si>
    <t xml:space="preserve">jssgrg2@gmail.com</t>
  </si>
  <si>
    <t xml:space="preserve">VII / 94, VAZHAPPULLY HOUSE,, P.O. PERAKAM, TRICHUR, KERALA.</t>
  </si>
  <si>
    <t xml:space="preserve">ADV.SMINU SURENDRAN</t>
  </si>
  <si>
    <t xml:space="preserve">0528946667</t>
  </si>
  <si>
    <t xml:space="preserve">8848547305</t>
  </si>
  <si>
    <t xml:space="preserve">advsminug@gmail.com</t>
  </si>
  <si>
    <t xml:space="preserve">76/2201, THIRUVONAM,, ANAYARA-P.O., TRIVANDRUM-695029</t>
  </si>
  <si>
    <t xml:space="preserve">SAJI CHERIYAN</t>
  </si>
  <si>
    <t xml:space="preserve">0529494969</t>
  </si>
  <si>
    <t xml:space="preserve">sajicheriyan115@gmail.com</t>
  </si>
  <si>
    <t xml:space="preserve">THALAVELIL HOUSE, PATHIYOOR WEST,, KERIKAD P.O., ALAPPUZHA-690508, KERALA</t>
  </si>
  <si>
    <t xml:space="preserve">SIDHARDAN SYAM</t>
  </si>
  <si>
    <t xml:space="preserve">0504831842</t>
  </si>
  <si>
    <t xml:space="preserve">6238824820</t>
  </si>
  <si>
    <t xml:space="preserve">sidhsyam@gmail.com</t>
  </si>
  <si>
    <t xml:space="preserve">TC-42/842, VNRA-50A, MANGAT HOUSE,, MUTTATHARA, SREEVARAHAM, VALLAKKADAVU, TVM.</t>
  </si>
  <si>
    <t xml:space="preserve">SHARAFUDDEEN P.V.</t>
  </si>
  <si>
    <t xml:space="preserve">0559393436</t>
  </si>
  <si>
    <t xml:space="preserve">9544842293</t>
  </si>
  <si>
    <t xml:space="preserve">shanmtl123@gmail.com</t>
  </si>
  <si>
    <t xml:space="preserve">DAR AL HIKMA, MATTOOL CENTRAL,, MATTOOL-P.O., KANNUR, KERALA.</t>
  </si>
  <si>
    <t xml:space="preserve">JAGADEESAN P.P.</t>
  </si>
  <si>
    <t xml:space="preserve">0505037672</t>
  </si>
  <si>
    <t xml:space="preserve">7025798297</t>
  </si>
  <si>
    <t xml:space="preserve">jaggupazhassi@gmail.com</t>
  </si>
  <si>
    <t xml:space="preserve">NIRATHUPALAM, MAYYIL,, KANNUR, KERALA - 670602</t>
  </si>
  <si>
    <t xml:space="preserve">ANILKUMAR THANKAPPAN</t>
  </si>
  <si>
    <t xml:space="preserve">0501347124</t>
  </si>
  <si>
    <t xml:space="preserve">anil.nair@petrofac.com</t>
  </si>
  <si>
    <t xml:space="preserve">POOJA NIVAS,KURAVILANGAD,, KOTTAYAM, KERALA.</t>
  </si>
  <si>
    <t xml:space="preserve">RAHUL R. NAIR</t>
  </si>
  <si>
    <t xml:space="preserve">0566575973</t>
  </si>
  <si>
    <t xml:space="preserve">rahulnairr@gmail.com</t>
  </si>
  <si>
    <t xml:space="preserve">SREERAG, PUNUKANOOR,, PERUMPUZHA P.O., KOLLAM, KERALA-691504</t>
  </si>
  <si>
    <t xml:space="preserve">BIJU P.</t>
  </si>
  <si>
    <t xml:space="preserve">0562410791</t>
  </si>
  <si>
    <t xml:space="preserve">bijupsankar@gmail.com</t>
  </si>
  <si>
    <t xml:space="preserve">GAURI NIVAS, VENGAD-P.O.,, MANGATTIDAM, KANNUR, KERALA.</t>
  </si>
  <si>
    <t xml:space="preserve">SHAREEF N.V.</t>
  </si>
  <si>
    <t xml:space="preserve">0503810855</t>
  </si>
  <si>
    <t xml:space="preserve">9446780885</t>
  </si>
  <si>
    <t xml:space="preserve">sharialshafak@gmail.com</t>
  </si>
  <si>
    <t xml:space="preserve">NATTARVAYALIL HOUSE, AVADUKKA -P.O.,, CHANGAROTH- 673528, KERALA.</t>
  </si>
  <si>
    <t xml:space="preserve">BALAGOPAL OMANAKUTTAN</t>
  </si>
  <si>
    <t xml:space="preserve">0562333566</t>
  </si>
  <si>
    <t xml:space="preserve">9447342157</t>
  </si>
  <si>
    <t xml:space="preserve">balugoc@gmail.com</t>
  </si>
  <si>
    <t xml:space="preserve">DEVINILAYAM, THRIPPADAPURAM,, KULATHOOR.P.O., TRIVANDRUM.</t>
  </si>
  <si>
    <t xml:space="preserve">SUNANDH</t>
  </si>
  <si>
    <t xml:space="preserve">0503041973</t>
  </si>
  <si>
    <t xml:space="preserve">9544884575</t>
  </si>
  <si>
    <t xml:space="preserve">sunandh@gmail.com</t>
  </si>
  <si>
    <t xml:space="preserve">KARIMPARAMBIL HOUSE, P.O.PUTHUR,, THRISSUR, KERALA.</t>
  </si>
  <si>
    <t xml:space="preserve">RATHEESH VIJAYAN</t>
  </si>
  <si>
    <t xml:space="preserve">0544623218</t>
  </si>
  <si>
    <t xml:space="preserve">availratheeshvijayan@gmail.com</t>
  </si>
  <si>
    <t xml:space="preserve">VADAKKEVEEDU,SANATHANAPURAM.P.O.,, KAITHAVANA, ALAPPUZHA-03, KERALA</t>
  </si>
  <si>
    <t xml:space="preserve">SUMESH V.T.</t>
  </si>
  <si>
    <t xml:space="preserve">0561185567</t>
  </si>
  <si>
    <t xml:space="preserve">9496139320</t>
  </si>
  <si>
    <t xml:space="preserve">sumesh6448@gmail.com</t>
  </si>
  <si>
    <t xml:space="preserve">SUMATHA HOUSE, BENGALAM-P.O.,, NILESHWAR, KASARAGOD-671314</t>
  </si>
  <si>
    <t xml:space="preserve">NIDHIN V.I.</t>
  </si>
  <si>
    <t xml:space="preserve">0558809925</t>
  </si>
  <si>
    <t xml:space="preserve">9486551044</t>
  </si>
  <si>
    <t xml:space="preserve">nidin47@gmail.com</t>
  </si>
  <si>
    <t xml:space="preserve">16-96, KALVETTAN KUZHI,, KULASEKHARAM,KANYAKUMARI-629161</t>
  </si>
  <si>
    <t xml:space="preserve">RAJEEV P.PILLAI</t>
  </si>
  <si>
    <t xml:space="preserve">0559546422</t>
  </si>
  <si>
    <t xml:space="preserve">pillai.rajeev08@gmail.com</t>
  </si>
  <si>
    <t xml:space="preserve">ARAVINDAM, KARAZHMA,, VALLIKUNNAM-P.O., ALAPPUZHA, KERALA.</t>
  </si>
  <si>
    <t xml:space="preserve">RAJANAN GANGADHARAN</t>
  </si>
  <si>
    <t xml:space="preserve">0505285125</t>
  </si>
  <si>
    <t xml:space="preserve">9447429624</t>
  </si>
  <si>
    <t xml:space="preserve">grajanan@hotmail.com</t>
  </si>
  <si>
    <t xml:space="preserve">REJITHA NIVAS, NORTH VILLAGE,, NENMARA POST, PALAKKAD-678508, KERALA</t>
  </si>
  <si>
    <t xml:space="preserve">SUNIL SHA A.</t>
  </si>
  <si>
    <t xml:space="preserve">0559497574</t>
  </si>
  <si>
    <t xml:space="preserve">sunilshakollam@gmail.com</t>
  </si>
  <si>
    <t xml:space="preserve">AL RAYAN, CHERUKARA,, KADAKKAL-P.O, KOLLAM-691536, 0091 9048037611</t>
  </si>
  <si>
    <t xml:space="preserve">SIRAJUDHEEN KALIYARAVIDA</t>
  </si>
  <si>
    <t xml:space="preserve">0506340789</t>
  </si>
  <si>
    <t xml:space="preserve">aajuashmi@yahoo.com</t>
  </si>
  <si>
    <t xml:space="preserve">KALIYARAVIDA HOUSE, P.O. NEW MAHE,, PERUMUNDERY, THALASSERY, KANNUR., 0091 9447496810</t>
  </si>
  <si>
    <t xml:space="preserve">ZANJEER H. ZAKIR</t>
  </si>
  <si>
    <t xml:space="preserve">0564166449</t>
  </si>
  <si>
    <t xml:space="preserve">508523040</t>
  </si>
  <si>
    <t xml:space="preserve">zan@flatearth.ae</t>
  </si>
  <si>
    <t xml:space="preserve">BEEVI MANZIL, CHANA ROAD,, POWANI-P.O., MALAPPURAM-679577, KERALA</t>
  </si>
  <si>
    <t xml:space="preserve">JAMES JOY</t>
  </si>
  <si>
    <t xml:space="preserve">0526300226</t>
  </si>
  <si>
    <t xml:space="preserve">jamesjoy81@gmail.com</t>
  </si>
  <si>
    <t xml:space="preserve">JULI HOUSE, EZHAMKULAM,, MARTHANDAMKARA-P.O., YEROOR, KOLLAM.</t>
  </si>
  <si>
    <t xml:space="preserve">SHAJEEV KUMAR A.K.</t>
  </si>
  <si>
    <t xml:space="preserve">0558162163</t>
  </si>
  <si>
    <t xml:space="preserve">shajeevk@yahoo.com</t>
  </si>
  <si>
    <t xml:space="preserve">ASARI KANDI, NANMINDA-P.O.,, CALICUT-673613, KERALA</t>
  </si>
  <si>
    <t xml:space="preserve">MUZAMMIL YASAR</t>
  </si>
  <si>
    <t xml:space="preserve">0551094559</t>
  </si>
  <si>
    <t xml:space="preserve">muzammilyasar@gmail.com</t>
  </si>
  <si>
    <t xml:space="preserve">31-182, GOPALPET ROAD, TELLICHERY,, CANNANORE-670012, KERALA</t>
  </si>
  <si>
    <t xml:space="preserve">GEORGE KUTTY M.K.</t>
  </si>
  <si>
    <t xml:space="preserve">0505864611</t>
  </si>
  <si>
    <t xml:space="preserve">jissasaji@gmail.com</t>
  </si>
  <si>
    <t xml:space="preserve">KODIYATTU HOUSE, CHITTAR,, PATHANAMTHITTA, KERALA.</t>
  </si>
  <si>
    <t xml:space="preserve">RAJU K. PANICKER</t>
  </si>
  <si>
    <t xml:space="preserve">0502606364</t>
  </si>
  <si>
    <t xml:space="preserve">9562341272</t>
  </si>
  <si>
    <t xml:space="preserve">aljareena@yahoo.com</t>
  </si>
  <si>
    <t xml:space="preserve">BENGLOWIL KIZHAKKATHIL, THODIYOOR NORTH P.O.,, KARUNAGAPPALLY, KOLLAM, KERALA-690523</t>
  </si>
  <si>
    <t xml:space="preserve">ANOOP RAVI</t>
  </si>
  <si>
    <t xml:space="preserve">0509101609</t>
  </si>
  <si>
    <t xml:space="preserve">unnianoop@gmail.com</t>
  </si>
  <si>
    <t xml:space="preserve">NEDUMPILLYKUDI HOUSE, VALLAPPADY,, KODAKARA P.O., THRISSUR-680684, KERALA</t>
  </si>
  <si>
    <t xml:space="preserve">KRISHNAN B.</t>
  </si>
  <si>
    <t xml:space="preserve">0553628686</t>
  </si>
  <si>
    <t xml:space="preserve">krishv2345@gmail.com</t>
  </si>
  <si>
    <t xml:space="preserve">KAKOTTAMMA, CHENGALA,, KASARAGOD, KERALA.</t>
  </si>
  <si>
    <t xml:space="preserve">JAYACHANDRAN PERIYE</t>
  </si>
  <si>
    <t xml:space="preserve">0505780506</t>
  </si>
  <si>
    <t xml:space="preserve">jpnairjp@gmail.com</t>
  </si>
  <si>
    <t xml:space="preserve">MUKKIL HOUSE, P.O. MYLATTY,, VIA UDUMA, KASARAGOD, KERALA.</t>
  </si>
  <si>
    <t xml:space="preserve">MOHAMED BASHEER</t>
  </si>
  <si>
    <t xml:space="preserve">0503433054</t>
  </si>
  <si>
    <t xml:space="preserve">mbasheert@gmail.com</t>
  </si>
  <si>
    <t xml:space="preserve">THULLATH HOUSE, VELLAYIKODE P.O,, PERUMANNA, KOZHIKODE-673019</t>
  </si>
  <si>
    <t xml:space="preserve">IBRAHIM KHALEEL</t>
  </si>
  <si>
    <t xml:space="preserve">0558703836</t>
  </si>
  <si>
    <t xml:space="preserve">9633946699</t>
  </si>
  <si>
    <t xml:space="preserve">ika@alnaqbilaw.ae</t>
  </si>
  <si>
    <t xml:space="preserve">KHALEEL MANZIL, ARIMALA,BADAJE,, MANJESHWAR, KASARAGOD, KERALA</t>
  </si>
  <si>
    <t xml:space="preserve">SABEERALI P.</t>
  </si>
  <si>
    <t xml:space="preserve">0507888637</t>
  </si>
  <si>
    <t xml:space="preserve">9744945411</t>
  </si>
  <si>
    <t xml:space="preserve">shapachayi@gmail.com</t>
  </si>
  <si>
    <t xml:space="preserve">PACHAYI HOUSE, P.O.CHERUMUKKU,, MALAPPURAM, KERALA.</t>
  </si>
  <si>
    <t xml:space="preserve">SHARJI ABRAHAM MATHEW</t>
  </si>
  <si>
    <t xml:space="preserve">0503690349</t>
  </si>
  <si>
    <t xml:space="preserve">507693494</t>
  </si>
  <si>
    <t xml:space="preserve">a.m.sharji@gmail.com</t>
  </si>
  <si>
    <t xml:space="preserve">MANAKKADAMPALLIL HOUSE, AYROOR SOUTH P.O.,, THIRUVALLA, PATHANAMTHITTA-689611, KERALA.</t>
  </si>
  <si>
    <t xml:space="preserve">SAJID AHAMED M.K.</t>
  </si>
  <si>
    <t xml:space="preserve">0505793988</t>
  </si>
  <si>
    <t xml:space="preserve">sajimirfa@gmail.com</t>
  </si>
  <si>
    <t xml:space="preserve">SAHIDA MANZIL, P.O.VENGARA,, KANNUR- 670305, KERALA</t>
  </si>
  <si>
    <t xml:space="preserve">AMEER MASTAN</t>
  </si>
  <si>
    <t xml:space="preserve">0528705710</t>
  </si>
  <si>
    <t xml:space="preserve">ameermastan331@gmail.com</t>
  </si>
  <si>
    <t xml:space="preserve">AFLAH VILLA, BEKAL,, HADDAD NAGAR, KASARAGOD.</t>
  </si>
  <si>
    <t xml:space="preserve">YOUSAF K.K.</t>
  </si>
  <si>
    <t xml:space="preserve">0554398279</t>
  </si>
  <si>
    <t xml:space="preserve">youchuparad@gmail.com</t>
  </si>
  <si>
    <t xml:space="preserve">KANNOTH KANDIYIL HOUSE, THUVAKKUNNU-P.O.,, PANOOR VIA, KANNOOR, KERALA.</t>
  </si>
  <si>
    <t xml:space="preserve">NAVAS K.M.</t>
  </si>
  <si>
    <t xml:space="preserve">0506371915</t>
  </si>
  <si>
    <t xml:space="preserve">navaskm@gmail.com</t>
  </si>
  <si>
    <t xml:space="preserve">KEEZHALIPARAMBIL HOUSE, P.O.THALIKULAM,, THRISSUR, KERALA- 680569.</t>
  </si>
  <si>
    <t xml:space="preserve">THANKACHAN MANDAPATHIL</t>
  </si>
  <si>
    <t xml:space="preserve">0506519937</t>
  </si>
  <si>
    <t xml:space="preserve">mandapathil@gmail.com</t>
  </si>
  <si>
    <t xml:space="preserve">PONNAMKAYAM P.O.,THIRUVAMBADI,, KOZHIKODE-673603, KERALA, 0091 9447993377</t>
  </si>
  <si>
    <t xml:space="preserve">M.K.NISARUDEEN</t>
  </si>
  <si>
    <t xml:space="preserve">0529161234</t>
  </si>
  <si>
    <t xml:space="preserve">9349824793</t>
  </si>
  <si>
    <t xml:space="preserve">nisarveliyil@gmail.com</t>
  </si>
  <si>
    <t xml:space="preserve">VELIYIL HOUSE, PANMANA,, CHAVARA, KOLLAM, KERALA</t>
  </si>
  <si>
    <t xml:space="preserve">HAMEED BABU ANAKKAPARAMBIL</t>
  </si>
  <si>
    <t xml:space="preserve">0504986951</t>
  </si>
  <si>
    <t xml:space="preserve">hameedbabu@gmail.com</t>
  </si>
  <si>
    <t xml:space="preserve">FATHIMA MANZIL, ALANKODE P.O.,, MALAPPURAM, KERALA.</t>
  </si>
  <si>
    <t xml:space="preserve">SHAJI M.S.</t>
  </si>
  <si>
    <t xml:space="preserve">0553507989</t>
  </si>
  <si>
    <t xml:space="preserve">shajims1@gmail.com</t>
  </si>
  <si>
    <t xml:space="preserve">MUNDAKATHIL HOUSE, PAVUKKARA P.O.,, MANNAR, ALAPPUZHA, KERALA</t>
  </si>
  <si>
    <t xml:space="preserve">P.K. SAIDU MUHAMMED</t>
  </si>
  <si>
    <t xml:space="preserve">0505343507</t>
  </si>
  <si>
    <t xml:space="preserve">8848478778</t>
  </si>
  <si>
    <t xml:space="preserve">amalsaeed.sm@gmail.com</t>
  </si>
  <si>
    <t xml:space="preserve">PARAKKAL HOUSE, KUMBALACODU POST,, PAZHAYANNUR, THRISSUR, KERALA</t>
  </si>
  <si>
    <t xml:space="preserve">SHAJI MANDAPAM</t>
  </si>
  <si>
    <t xml:space="preserve">0558578999</t>
  </si>
  <si>
    <t xml:space="preserve">smandapam@gmail.com</t>
  </si>
  <si>
    <t xml:space="preserve">MANDAPATHIL, PONNAMKAYAM-P.O.,, CALICUT, KERALA</t>
  </si>
  <si>
    <t xml:space="preserve">ASHOKAN EDYILLAM</t>
  </si>
  <si>
    <t xml:space="preserve">0552499405</t>
  </si>
  <si>
    <t xml:space="preserve">8281273068</t>
  </si>
  <si>
    <t xml:space="preserve">ashok7265@yahoo.com</t>
  </si>
  <si>
    <t xml:space="preserve">KARICHERY HOUSE, KOODANADUKKAM,, KODOTH-P.O.,ANANDASRAMAM VIA- KASARAGOD.</t>
  </si>
  <si>
    <t xml:space="preserve">FAIZAL KHADAR</t>
  </si>
  <si>
    <t xml:space="preserve">0506261973</t>
  </si>
  <si>
    <t xml:space="preserve">fafsal06@gmail.com</t>
  </si>
  <si>
    <t xml:space="preserve">FAIZAL MANZIL, 94, NIRAPPATHU,, MATHRA, KARNALOOR, KOLLAM-691333</t>
  </si>
  <si>
    <t xml:space="preserve">SHANEER NOORUDEEN</t>
  </si>
  <si>
    <t xml:space="preserve">0566441447</t>
  </si>
  <si>
    <t xml:space="preserve">9747676061</t>
  </si>
  <si>
    <t xml:space="preserve">shaneeranchal@gmail.com</t>
  </si>
  <si>
    <t xml:space="preserve">KANJIRAMVILA VEEDU, THAZHAMEL,, ANCHAL-P.O., KOLLAM, KERALA.</t>
  </si>
  <si>
    <t xml:space="preserve">SWETHA SREEDHARAN</t>
  </si>
  <si>
    <t xml:space="preserve">0527838916</t>
  </si>
  <si>
    <t xml:space="preserve">swetha.sarath01@gmail.com</t>
  </si>
  <si>
    <t xml:space="preserve">KAIPILLY HOUSE, KALLOOR-P.O.,, THRISSUR-680317, KERALA, INDIA, 0091 9497314054</t>
  </si>
  <si>
    <t xml:space="preserve">MUHSINSHA P.P.</t>
  </si>
  <si>
    <t xml:space="preserve">0505459691</t>
  </si>
  <si>
    <t xml:space="preserve">mohsinuae@yahoo.com</t>
  </si>
  <si>
    <t xml:space="preserve">PARIKKAT PARAMBATH (H), MADAVOOR,, NARIKKUNI, CALICUT- 673585, KERALA</t>
  </si>
  <si>
    <t xml:space="preserve">MUHAMMAD SALI KUNJU</t>
  </si>
  <si>
    <t xml:space="preserve">0506110619</t>
  </si>
  <si>
    <t xml:space="preserve">9544118804</t>
  </si>
  <si>
    <t xml:space="preserve">salikunjo@gmail.com</t>
  </si>
  <si>
    <t xml:space="preserve">POOCHANAPARAMBIL (H), POOCHANAPARAMBIL,, KUTHIATHODU-P.O.,CHERTHALA, ALAPPUZHA.</t>
  </si>
  <si>
    <t xml:space="preserve">BIJU VANDICHALI</t>
  </si>
  <si>
    <t xml:space="preserve">0508621662</t>
  </si>
  <si>
    <t xml:space="preserve">bijuprime@gmail.com</t>
  </si>
  <si>
    <t xml:space="preserve">SHREYAS, ONDEN ROAD,, AZHIKODE, KANNUR, KERALA</t>
  </si>
  <si>
    <t xml:space="preserve">PRAJILESH NAKKAVIL</t>
  </si>
  <si>
    <t xml:space="preserve">0565848028</t>
  </si>
  <si>
    <t xml:space="preserve">prajileshrh@gmail.com</t>
  </si>
  <si>
    <t xml:space="preserve">CHEKKIKATTIL HOUSE, P.O.PINARAYI, VIA THALASSERI, KANNUR, KERALA.</t>
  </si>
  <si>
    <t xml:space="preserve">AKHIL M.G.</t>
  </si>
  <si>
    <t xml:space="preserve">0505563063</t>
  </si>
  <si>
    <t xml:space="preserve">9061311857</t>
  </si>
  <si>
    <t xml:space="preserve">ammgtechnology@gmail.com</t>
  </si>
  <si>
    <t xml:space="preserve">MURALI BHAVANAM, CHEPPAD-P.O.,, ALAPPUZHA-690507, KERALA.</t>
  </si>
  <si>
    <t xml:space="preserve">NOUSHAD RAHMAN K.</t>
  </si>
  <si>
    <t xml:space="preserve">0563531531</t>
  </si>
  <si>
    <t xml:space="preserve">9847828212</t>
  </si>
  <si>
    <t xml:space="preserve">hellopravasi@gmail.com</t>
  </si>
  <si>
    <t xml:space="preserve">KADAKKADAN HOUSE, SHANTHI NAGAR,, PARAPPUR-P.O., MALAPPURAM, KERALA.</t>
  </si>
  <si>
    <t xml:space="preserve">SABIN KRISHNAN K</t>
  </si>
  <si>
    <t xml:space="preserve">0529697330</t>
  </si>
  <si>
    <t xml:space="preserve">9744362969</t>
  </si>
  <si>
    <t xml:space="preserve">sabinkrishnan1992@gmail.com</t>
  </si>
  <si>
    <t xml:space="preserve">SRI NARAYANA, P.O.EDAT,, PAYYANNUR, KANNUR, KERALA.</t>
  </si>
  <si>
    <t xml:space="preserve">SANTHAKUMAR N.S.</t>
  </si>
  <si>
    <t xml:space="preserve">0557459485</t>
  </si>
  <si>
    <t xml:space="preserve">9443455142</t>
  </si>
  <si>
    <t xml:space="preserve">sat14sat@gmail.com</t>
  </si>
  <si>
    <t xml:space="preserve">45/9, MANALI PUDHU NAGAR,, CHENNAI- 600103, TAMILNADU</t>
  </si>
  <si>
    <t xml:space="preserve">MOHAMMED HANEEFA A.A.</t>
  </si>
  <si>
    <t xml:space="preserve">0553299099</t>
  </si>
  <si>
    <t xml:space="preserve">haneefsp@gmail.com</t>
  </si>
  <si>
    <t xml:space="preserve">BAALANADKAM HOUSE, NEAR BOVIKANAM,, POST MULIYAR,KASARAGOD, KERALA</t>
  </si>
  <si>
    <t xml:space="preserve">N.M.PANICKER</t>
  </si>
  <si>
    <t xml:space="preserve">0505527858</t>
  </si>
  <si>
    <t xml:space="preserve">mpanicker09@gmail.com</t>
  </si>
  <si>
    <t xml:space="preserve">KAUSALLYAM, CHEMMAKAD P.O.,, PERINAD, KOLLAM.</t>
  </si>
  <si>
    <t xml:space="preserve">JUNAID T.K.</t>
  </si>
  <si>
    <t xml:space="preserve">0562655662</t>
  </si>
  <si>
    <t xml:space="preserve">junaid55@gmail.com</t>
  </si>
  <si>
    <t xml:space="preserve">LIMARA MANZIL, C POYIL POST,, PARIYARAM, KANNUR, KERALA.</t>
  </si>
  <si>
    <t xml:space="preserve">P. JOSEPH JOSE</t>
  </si>
  <si>
    <t xml:space="preserve">0507320459</t>
  </si>
  <si>
    <t xml:space="preserve">rainbowj@eim.ae</t>
  </si>
  <si>
    <t xml:space="preserve">PUTHENPURAYIL, CHERUKKAD-P.O.,, KOZHIKODE-673527, KERALA</t>
  </si>
  <si>
    <t xml:space="preserve">ABDUL NAZAR K.</t>
  </si>
  <si>
    <t xml:space="preserve">0507559234</t>
  </si>
  <si>
    <t xml:space="preserve">9846108518</t>
  </si>
  <si>
    <t xml:space="preserve">abnaz40@yahoo.com</t>
  </si>
  <si>
    <t xml:space="preserve">KOOMBEETTIL HOUSE, J.M.NAGAR,, P.O.MARANCHERY, MALPPURAM, KERALA</t>
  </si>
  <si>
    <t xml:space="preserve">ANTO GEORGE</t>
  </si>
  <si>
    <t xml:space="preserve">0508531467</t>
  </si>
  <si>
    <t xml:space="preserve">tadex@eim.ae</t>
  </si>
  <si>
    <t xml:space="preserve">POLAPARAMBIL HOUSE, P.O.KOTTAMURI,, MALA, THRISSUR, KERALA.</t>
  </si>
  <si>
    <t xml:space="preserve">A.L.SALIM KALLARA</t>
  </si>
  <si>
    <t xml:space="preserve">0505844636</t>
  </si>
  <si>
    <t xml:space="preserve">8086866999</t>
  </si>
  <si>
    <t xml:space="preserve">alsalim1971@gmail.com</t>
  </si>
  <si>
    <t xml:space="preserve">PALLIKUNNIL VEEDU, PALUVALLY,, KANCHINADA P.O.,TRIVANDRUM-695609</t>
  </si>
  <si>
    <t xml:space="preserve">KISHOR KUMAR N.R.</t>
  </si>
  <si>
    <t xml:space="preserve">0509809476</t>
  </si>
  <si>
    <t xml:space="preserve">kishorravindran@gmail.com</t>
  </si>
  <si>
    <t xml:space="preserve">NANGIARATH HOUSE, VIDYABHAVAN ROAD,, PANANGAD, KOCHI-682506</t>
  </si>
  <si>
    <t xml:space="preserve">0566406961</t>
  </si>
  <si>
    <t xml:space="preserve">9961807404</t>
  </si>
  <si>
    <t xml:space="preserve">benjokp@gmail.com</t>
  </si>
  <si>
    <t xml:space="preserve">KANDATHIL PARAMBIL, ANGADIKAL SOUTH-P.O.,, CHENGANNUR, ALAPPUZHA DT., KERALA.</t>
  </si>
  <si>
    <t xml:space="preserve">SHIJI JOSEPH</t>
  </si>
  <si>
    <t xml:space="preserve">0508245152</t>
  </si>
  <si>
    <t xml:space="preserve">shiji.sajeev@gmail.com</t>
  </si>
  <si>
    <t xml:space="preserve">NEYYETHUMPARAMBIL,, THALIPARAMBA, KANNUR, KERALA</t>
  </si>
  <si>
    <t xml:space="preserve">PREVEENA BHAGIANATH</t>
  </si>
  <si>
    <t xml:space="preserve">0551067021</t>
  </si>
  <si>
    <t xml:space="preserve">preveenab@gmail.com</t>
  </si>
  <si>
    <t xml:space="preserve">31/463, ANDICOT HOUSE, S.N.HIGH SCHOOL RD,, P.O.KANIMANGALAM, THRISSUR-680027, KERALA, 0091 984955956</t>
  </si>
  <si>
    <t xml:space="preserve">MUHAMMED FAISAL</t>
  </si>
  <si>
    <t xml:space="preserve">0561421430</t>
  </si>
  <si>
    <t xml:space="preserve">faisalpalachira@gmail.com</t>
  </si>
  <si>
    <t xml:space="preserve">Al Noor Building, Palachira-P.O.,, Varkala, Trivandrum, Kerala</t>
  </si>
  <si>
    <t xml:space="preserve">SREEDHARAN RAJAN</t>
  </si>
  <si>
    <t xml:space="preserve">0505018596</t>
  </si>
  <si>
    <t xml:space="preserve">8847754079</t>
  </si>
  <si>
    <t xml:space="preserve">abhilka@gmail.com</t>
  </si>
  <si>
    <t xml:space="preserve">RAJADHANI HOUSE, CHENNERKKARA-P.O.,, KULANADA VIA, PATHANAMTHITTA, KERALA.</t>
  </si>
  <si>
    <t xml:space="preserve">MANOJ KUMAR P.</t>
  </si>
  <si>
    <t xml:space="preserve">0507141848</t>
  </si>
  <si>
    <t xml:space="preserve">9847481102</t>
  </si>
  <si>
    <t xml:space="preserve">manojvarayillam@gmail.com</t>
  </si>
  <si>
    <t xml:space="preserve">SIDHARTH NIVAS, VARAYILLAM,, HARIPURAM-P.O., KASARAGOD, KERALA-671531</t>
  </si>
  <si>
    <t xml:space="preserve">DR.DEYIS ANTONY</t>
  </si>
  <si>
    <t xml:space="preserve">0509342923</t>
  </si>
  <si>
    <t xml:space="preserve">adeyis@yahoo.co.in</t>
  </si>
  <si>
    <t xml:space="preserve">ANTONY MANSION, CHRIST NAGAR,, IRINJALAKUDA-680121,THRISSUR.</t>
  </si>
  <si>
    <t xml:space="preserve">PADMA KUMAR C.P.</t>
  </si>
  <si>
    <t xml:space="preserve">0555081844</t>
  </si>
  <si>
    <t xml:space="preserve">cppadmakumar@gmail.com</t>
  </si>
  <si>
    <t xml:space="preserve">PADMANABHA SADANAM, PANAVIL-P.O.,, NOORANAD, ALAPUZHA DT, KERALA.</t>
  </si>
  <si>
    <t xml:space="preserve">NAUSHAD H.</t>
  </si>
  <si>
    <t xml:space="preserve">0555275609</t>
  </si>
  <si>
    <t xml:space="preserve">9746562289</t>
  </si>
  <si>
    <t xml:space="preserve">noushadkkv3@gmail.com</t>
  </si>
  <si>
    <t xml:space="preserve">KARIKKUZHIVILA VEEDU, MUTTAKKAVU,, NEDUMPANA P.O., KOLLAM-691576, KERALA.</t>
  </si>
  <si>
    <t xml:space="preserve">0565220441</t>
  </si>
  <si>
    <t xml:space="preserve">sappathoor@gmail.com</t>
  </si>
  <si>
    <t xml:space="preserve">PATHOOR HOUSE, KODINHI P.O.,, MALAPPURAM-676309, KERALA.</t>
  </si>
  <si>
    <t xml:space="preserve">SAJAN T.RAJAN</t>
  </si>
  <si>
    <t xml:space="preserve">0502590800</t>
  </si>
  <si>
    <t xml:space="preserve">9061555530</t>
  </si>
  <si>
    <t xml:space="preserve">trsajan1985@gmail.com</t>
  </si>
  <si>
    <t xml:space="preserve">THAIVALAPPIL HOUSE, KANNAMPULLIPURAM-P.O.,, CHENTRAPPINNI, THRISSUR, KERALA.</t>
  </si>
  <si>
    <t xml:space="preserve">BHASKARAN SUKUMARAN</t>
  </si>
  <si>
    <t xml:space="preserve">0506460197</t>
  </si>
  <si>
    <t xml:space="preserve">9207480220</t>
  </si>
  <si>
    <t xml:space="preserve">supremesuku@gmail.com</t>
  </si>
  <si>
    <t xml:space="preserve">NEERAVAM, CANAL ROAD, NORTH PARAVOOR,, ERNAKULAM, KERALA.</t>
  </si>
  <si>
    <t xml:space="preserve">ABDUL JASEEM</t>
  </si>
  <si>
    <t xml:space="preserve">0555627860</t>
  </si>
  <si>
    <t xml:space="preserve">jaseem2@gmail.com</t>
  </si>
  <si>
    <t xml:space="preserve">CHATHOTHAYIL (H), VENMENAD-P.O,, PAVARATTY, THRISSUR, KERALA., 0091-9633122057</t>
  </si>
  <si>
    <t xml:space="preserve">MUHAMMED RAMSHEED</t>
  </si>
  <si>
    <t xml:space="preserve">0554783737</t>
  </si>
  <si>
    <t xml:space="preserve">muhammed.ramsheed@flydubai.com</t>
  </si>
  <si>
    <t xml:space="preserve">ARAKKAL PADUVINKAL, MARUTHAYOOR-P.O,, PAVARATTY VIA, THRISSUR-680507, KERALA, 0091 9961693553</t>
  </si>
  <si>
    <t xml:space="preserve">SUNIL ABDUL AZIZ</t>
  </si>
  <si>
    <t xml:space="preserve">0504200880</t>
  </si>
  <si>
    <t xml:space="preserve">sunilazeez@gmail.com</t>
  </si>
  <si>
    <t xml:space="preserve">NO.171, KOTTAPPURATH HOUSE,, WEST KOLLAM-12, KERALA.</t>
  </si>
  <si>
    <t xml:space="preserve">ANOOP KRISHNAN</t>
  </si>
  <si>
    <t xml:space="preserve">0502918297</t>
  </si>
  <si>
    <t xml:space="preserve">9847834458</t>
  </si>
  <si>
    <t xml:space="preserve">anukrishkv@gmail.com</t>
  </si>
  <si>
    <t xml:space="preserve">NEAR GHSS PERIYA, KASARAGOD,, KERALA.</t>
  </si>
  <si>
    <t xml:space="preserve">P.T.MUHAMMED AJMAL</t>
  </si>
  <si>
    <t xml:space="preserve">0551595301</t>
  </si>
  <si>
    <t xml:space="preserve">8714734336</t>
  </si>
  <si>
    <t xml:space="preserve">ajmalmpt@gmail.com</t>
  </si>
  <si>
    <t xml:space="preserve">PLATHOTTATHIL HOUSE, KAKKAD-P.O.,, MALAPPURAM, KERALA.</t>
  </si>
  <si>
    <t xml:space="preserve">ROBY YOHANNAN</t>
  </si>
  <si>
    <t xml:space="preserve">0525251128</t>
  </si>
  <si>
    <t xml:space="preserve">robyyohannan11@gmail.com</t>
  </si>
  <si>
    <t xml:space="preserve">THYKKOOTTATHIL,ARANOOTTIMANGALAM-P.O.,, MAVELIKKARA, KERALA.</t>
  </si>
  <si>
    <t xml:space="preserve">SREEDEVI RAGESH</t>
  </si>
  <si>
    <t xml:space="preserve">0508027448</t>
  </si>
  <si>
    <t xml:space="preserve">9495068819</t>
  </si>
  <si>
    <t xml:space="preserve">sasneham_sree@yahoo.com</t>
  </si>
  <si>
    <t xml:space="preserve">THAPPARAMBIL HOUSE, VENKITANGU POST,, THRISSUR-680510, KERALA.</t>
  </si>
  <si>
    <t xml:space="preserve">NOBLE ANIYAN</t>
  </si>
  <si>
    <t xml:space="preserve">0559971206</t>
  </si>
  <si>
    <t xml:space="preserve">95628195338606582315</t>
  </si>
  <si>
    <t xml:space="preserve">noble.aniyan@gmail.com</t>
  </si>
  <si>
    <t xml:space="preserve">K.P HOUSE PADINJATTAKARA PO, THEVALAKKARA, KOLLAM KERALA</t>
  </si>
  <si>
    <t xml:space="preserve">NISHAD THARAYIL MOIDUTTY</t>
  </si>
  <si>
    <t xml:space="preserve">0505129741</t>
  </si>
  <si>
    <t xml:space="preserve">9745244093</t>
  </si>
  <si>
    <t xml:space="preserve">nishad.kaveetil@gmail.com</t>
  </si>
  <si>
    <t xml:space="preserve">KAVEETTIL HOUSE NHAMANGHAT PO, TRICHUR KERALA</t>
  </si>
  <si>
    <t xml:space="preserve">ARJUNA KAMALASANAN</t>
  </si>
  <si>
    <t xml:space="preserve">0506445083</t>
  </si>
  <si>
    <t xml:space="preserve">9645393534</t>
  </si>
  <si>
    <t xml:space="preserve">kamal@emirates.net.ae</t>
  </si>
  <si>
    <t xml:space="preserve">KOCHUPURAYIL HOUSE, POOVATHOOR, KOIPURAM, PATHANAMTHITTA DIST, KERALA</t>
  </si>
  <si>
    <t xml:space="preserve">VIJAYAKUMAR THAMARA KUZHI</t>
  </si>
  <si>
    <t xml:space="preserve">0503191180</t>
  </si>
  <si>
    <t xml:space="preserve">pushpabiju05@gmail.com</t>
  </si>
  <si>
    <t xml:space="preserve">THAMARAKUZHI HOUSE, ANANDASRAM PO, KANHANGAD, KASARAGOD DIST, KERALA</t>
  </si>
  <si>
    <t xml:space="preserve">NIKHIL POLA</t>
  </si>
  <si>
    <t xml:space="preserve">0563743708</t>
  </si>
  <si>
    <t xml:space="preserve">nikhilmohanknr@gmail.com</t>
  </si>
  <si>
    <t xml:space="preserve">ANAGA, PARASSINIKADAV P.O.,, KANNUR, KERALA, 0091 98092410356</t>
  </si>
  <si>
    <t xml:space="preserve">SAMEENDRAN THOTTOLIL</t>
  </si>
  <si>
    <t xml:space="preserve">0504812573</t>
  </si>
  <si>
    <t xml:space="preserve">4972727542</t>
  </si>
  <si>
    <t xml:space="preserve">sameendran@yahoo.com</t>
  </si>
  <si>
    <t xml:space="preserve">CHANDROTH HOUSE, PO THAZHE CHOVVA, KANNUR, KERALA -670018</t>
  </si>
  <si>
    <t xml:space="preserve">ABDUL RAHIM SHAJULANS</t>
  </si>
  <si>
    <t xml:space="preserve">0508464911</t>
  </si>
  <si>
    <t xml:space="preserve">9656706754</t>
  </si>
  <si>
    <t xml:space="preserve">shajulans@gmail.com</t>
  </si>
  <si>
    <t xml:space="preserve">ROADVILA VEEDU, THEKKIL CHANAPPARA PO, KOLLAM, KERALA</t>
  </si>
  <si>
    <t xml:space="preserve">NIZAMUDEEN TAHA KOYA</t>
  </si>
  <si>
    <t xml:space="preserve">0529494201</t>
  </si>
  <si>
    <t xml:space="preserve">9562588098</t>
  </si>
  <si>
    <t xml:space="preserve">shareefyemyes201@gmail.com</t>
  </si>
  <si>
    <t xml:space="preserve">3 276 A 7 320 ARIMALE HOUSE, POST BADAJE VIA, MANJESHWAR, KASARAGOD KERALA</t>
  </si>
  <si>
    <t xml:space="preserve">RAJESH PARAKKAL</t>
  </si>
  <si>
    <t xml:space="preserve">0505770623</t>
  </si>
  <si>
    <t xml:space="preserve">8606820707</t>
  </si>
  <si>
    <t xml:space="preserve">rajeshp1503@gmail.com</t>
  </si>
  <si>
    <t xml:space="preserve">PARAKKAL HOUSE, POTTACHIRA,NELLAYA, PALAKKAD,KERALA</t>
  </si>
  <si>
    <t xml:space="preserve">JITHIN PARAYIL</t>
  </si>
  <si>
    <t xml:space="preserve">0508443181</t>
  </si>
  <si>
    <t xml:space="preserve">9995316830</t>
  </si>
  <si>
    <t xml:space="preserve">jithin.ayyoth@gmail.com</t>
  </si>
  <si>
    <t xml:space="preserve">PARAYIL HOUSE, AYYOTH, KANNAPURAM, OCHERUKUNNU, KANNUR, KERALA</t>
  </si>
  <si>
    <t xml:space="preserve">VINODKUMAR KARICHERY</t>
  </si>
  <si>
    <t xml:space="preserve">0503233523</t>
  </si>
  <si>
    <t xml:space="preserve">karicherivk@gmail.com</t>
  </si>
  <si>
    <t xml:space="preserve">THALEBAIL HOUSE MOVVAR PO, KASARAGOD, KERALA</t>
  </si>
  <si>
    <t xml:space="preserve">MUHAMMED SHAFI P.T.P</t>
  </si>
  <si>
    <t xml:space="preserve">0564126574</t>
  </si>
  <si>
    <t xml:space="preserve">shafiptp@yahoo.com</t>
  </si>
  <si>
    <t xml:space="preserve">RAMLAS NEAR PG PLYWOOD, PAPPINNISSERY KANNUR DT, KERALA</t>
  </si>
  <si>
    <t xml:space="preserve">RAVINDRAKUMAR KUTTAN NAIR</t>
  </si>
  <si>
    <t xml:space="preserve">0508402499</t>
  </si>
  <si>
    <t xml:space="preserve">7306452010</t>
  </si>
  <si>
    <t xml:space="preserve">rknair2001@gmail.com</t>
  </si>
  <si>
    <t xml:space="preserve">THOTTATHIL,BHARATEEPURAM.PO, THUMPODU, YEROOR, ANCHAL, KOLLAM,KERALA</t>
  </si>
  <si>
    <t xml:space="preserve">RAFEEQ SAKKARIA O.P.</t>
  </si>
  <si>
    <t xml:space="preserve">0558712880</t>
  </si>
  <si>
    <t xml:space="preserve">rafeeqop@gmail.com</t>
  </si>
  <si>
    <t xml:space="preserve">OZHAKKARIPARAMBIL HOUSE, KOTTARAKOTH,, PERUMPALLY POST, KOZHIKODE., 0091 9562003666</t>
  </si>
  <si>
    <t xml:space="preserve">BIBIN THOMAS</t>
  </si>
  <si>
    <t xml:space="preserve">0556649301</t>
  </si>
  <si>
    <t xml:space="preserve">bibins_143@yahoo.com</t>
  </si>
  <si>
    <t xml:space="preserve">VADAKKEDATHU BINU VILLA, ULANADU-(P.O.),, KULANADA, PATHANAMTHITTA, KERALA, 091 8606518575</t>
  </si>
  <si>
    <t xml:space="preserve">ASHRAF THAMARASSERY</t>
  </si>
  <si>
    <t xml:space="preserve">0553886727</t>
  </si>
  <si>
    <t xml:space="preserve">ashrafthamarassery@gmail.com</t>
  </si>
  <si>
    <t xml:space="preserve">AZHUKALATHIL HOUSE, THACHAN POYIL,, P.O. THAMARASSERY,KOZHIKODE, KERALA</t>
  </si>
  <si>
    <t xml:space="preserve">MOHAMED SHAH A.P.</t>
  </si>
  <si>
    <t xml:space="preserve">0503675772</t>
  </si>
  <si>
    <t xml:space="preserve">mohamedshah_ap@yahoo.com</t>
  </si>
  <si>
    <t xml:space="preserve">ALIKKAPARAMBIL (H), ANCHACHAVADI-P.O.,, KALIKAVU, MALAPPURAM, KERALA.</t>
  </si>
  <si>
    <t xml:space="preserve">NOUSHAD MANNANKAVU</t>
  </si>
  <si>
    <t xml:space="preserve">0551761325</t>
  </si>
  <si>
    <t xml:space="preserve">noushadkmn@yahoo.com</t>
  </si>
  <si>
    <t xml:space="preserve">KANISAN MANNANKAVIL(H), MANNANKAVU-(P.O.), NADUVANNUR,KOZHIKODE-673614, KERALA</t>
  </si>
  <si>
    <t xml:space="preserve">RENJITH G.S.</t>
  </si>
  <si>
    <t xml:space="preserve">0552220650</t>
  </si>
  <si>
    <t xml:space="preserve">9496605050</t>
  </si>
  <si>
    <t xml:space="preserve">alfernasts@gmail.com</t>
  </si>
  <si>
    <t xml:space="preserve">VASUDEVA BHAVAN, ARUMANOOR,, POOVAR-P.O., TRIVANDRUM-695525</t>
  </si>
  <si>
    <t xml:space="preserve">AMARNATH K. SOMAGIRI</t>
  </si>
  <si>
    <t xml:space="preserve">0504435258</t>
  </si>
  <si>
    <t xml:space="preserve">amarnathks2001@gmail.com</t>
  </si>
  <si>
    <t xml:space="preserve">KAIPPULLY HOUSE, PALLIPURAM-P.O.,, THRISSUR-680563, KERALA.</t>
  </si>
  <si>
    <t xml:space="preserve">SHIBU MOHAMED IBRAHIM</t>
  </si>
  <si>
    <t xml:space="preserve">0504622808</t>
  </si>
  <si>
    <t xml:space="preserve">9995155150</t>
  </si>
  <si>
    <t xml:space="preserve">shibusultan@gmail.com</t>
  </si>
  <si>
    <t xml:space="preserve">SULTHAN VEDU, S.V.PURAM-P.O.,, NADAYARA, VARKALA, TRIVANDRUM.</t>
  </si>
  <si>
    <t xml:space="preserve">JACOB C. JACOB</t>
  </si>
  <si>
    <t xml:space="preserve">0506594518</t>
  </si>
  <si>
    <t xml:space="preserve">jacobcjacob@yahoo.com</t>
  </si>
  <si>
    <t xml:space="preserve">VELOOR CHENNUMALA, NARAKATHANI,, THIRUVALLA, PATHANAMTHITTA, KERALA-689544</t>
  </si>
  <si>
    <t xml:space="preserve">MANIKANDAN P.V.</t>
  </si>
  <si>
    <t xml:space="preserve">0553860734</t>
  </si>
  <si>
    <t xml:space="preserve">9747894202</t>
  </si>
  <si>
    <t xml:space="preserve">mani91334@yahoo.com</t>
  </si>
  <si>
    <t xml:space="preserve">VATTAPOYIL, NILESHWARAM,, KASARAGOD-671314, KERALA.</t>
  </si>
  <si>
    <t xml:space="preserve">ALTHAF HUSSAIN M.C.</t>
  </si>
  <si>
    <t xml:space="preserve">0502278672</t>
  </si>
  <si>
    <t xml:space="preserve">althumc@gmail.com</t>
  </si>
  <si>
    <t xml:space="preserve">M.C.HOUSE, KAITHAKAD P.O.,, CHERUVATHUR VIA, KASARAGOD, KERALA</t>
  </si>
  <si>
    <t xml:space="preserve">SIRAJU M.P.</t>
  </si>
  <si>
    <t xml:space="preserve">0527486666</t>
  </si>
  <si>
    <t xml:space="preserve">sirajhameed@gmail.com</t>
  </si>
  <si>
    <t xml:space="preserve">MAVULLA PARAMBATH, CHERUVANCHERY,, KANNUR, KERALA STATE., 0091 9495315072</t>
  </si>
  <si>
    <t xml:space="preserve">TONY FELIX C.</t>
  </si>
  <si>
    <t xml:space="preserve">0564129963</t>
  </si>
  <si>
    <t xml:space="preserve">90083581770507785578</t>
  </si>
  <si>
    <t xml:space="preserve">tony.cfelix@gmail.com</t>
  </si>
  <si>
    <t xml:space="preserve">NO.8/2, WHITE FIELD, MAIN ROAD,, BANGALORE, INDIA</t>
  </si>
  <si>
    <t xml:space="preserve">JALEEL K.P.</t>
  </si>
  <si>
    <t xml:space="preserve">0507866717</t>
  </si>
  <si>
    <t xml:space="preserve">9946004400</t>
  </si>
  <si>
    <t xml:space="preserve">jaleelthaikandy@gmail.com</t>
  </si>
  <si>
    <t xml:space="preserve">KUNHIPARAMBATH HOUSE, DEVER KOVIL,, P.O.THALIYIL, KUTTIADY, VIA KOZHIKODE, KERALA</t>
  </si>
  <si>
    <t xml:space="preserve">SIDDIQ T.K.</t>
  </si>
  <si>
    <t xml:space="preserve">0504635455</t>
  </si>
  <si>
    <t xml:space="preserve">9406700800</t>
  </si>
  <si>
    <t xml:space="preserve">siddiqnasi@gmail.com</t>
  </si>
  <si>
    <t xml:space="preserve">71963, SHJ, THONIKADAVATH HOUSE, THAVANOOR POST,, THRIKKANNAPURAM, MALAPPURAM-679573, KERALA</t>
  </si>
  <si>
    <t xml:space="preserve">SABU THOMAS</t>
  </si>
  <si>
    <t xml:space="preserve">0506288521</t>
  </si>
  <si>
    <t xml:space="preserve">9061009357</t>
  </si>
  <si>
    <t xml:space="preserve">sabukoodathil@yahoo.com</t>
  </si>
  <si>
    <t xml:space="preserve">NEELATHIL HOUSE, PERISSERY P.O.,, CHENGANNUR, ALPPUZHA, KERALA</t>
  </si>
  <si>
    <t xml:space="preserve">RADHAMANY DEVARAJAN</t>
  </si>
  <si>
    <t xml:space="preserve">9074260576</t>
  </si>
  <si>
    <t xml:space="preserve">KUZHIYATHE THEKKETHIL, CHUNAKKARA NADUVIL,, CHUNAKKARA-P.O.,ALAPPUZHA</t>
  </si>
  <si>
    <t xml:space="preserve">ASHRAF V.P.</t>
  </si>
  <si>
    <t xml:space="preserve">0553344740</t>
  </si>
  <si>
    <t xml:space="preserve">8606297667</t>
  </si>
  <si>
    <t xml:space="preserve">ashrafvp.sharja@gmail.com</t>
  </si>
  <si>
    <t xml:space="preserve">VALIYA PARAMBATH HOUSE, KALLIKANDY.P.O.,, KANNUR-670693, KERALA</t>
  </si>
  <si>
    <t xml:space="preserve">DILEEP ABDUL SAMAD</t>
  </si>
  <si>
    <t xml:space="preserve">0503607830</t>
  </si>
  <si>
    <t xml:space="preserve">9744992993</t>
  </si>
  <si>
    <t xml:space="preserve">dileepsamad@gmail.com</t>
  </si>
  <si>
    <t xml:space="preserve">DILNA VILLA, MULAKKALATHUKAVU-P.O,, TRIVANDRUM-695614, KERALA.</t>
  </si>
  <si>
    <t xml:space="preserve">K. EASOW GEORGE</t>
  </si>
  <si>
    <t xml:space="preserve">0502015675</t>
  </si>
  <si>
    <t xml:space="preserve">keasow_george@yahoo.com</t>
  </si>
  <si>
    <t xml:space="preserve">ANNS VILLA, HOUSE NO.28A,, KEERTHI NAGAR, ASRAMAM, KOLLAM, KERALA</t>
  </si>
  <si>
    <t xml:space="preserve">ANOOP V. PILLAI</t>
  </si>
  <si>
    <t xml:space="preserve">0509582049</t>
  </si>
  <si>
    <t xml:space="preserve">anvpillai@gmail.com</t>
  </si>
  <si>
    <t xml:space="preserve">VADAKKE VEETTIL THEKKU, KRISHNAPURAM,, KAYAMKULAM, ALAPPUZHA, KERALA</t>
  </si>
  <si>
    <t xml:space="preserve">MUHAMMED ARAFATH M.G.</t>
  </si>
  <si>
    <t xml:space="preserve">0524330265</t>
  </si>
  <si>
    <t xml:space="preserve">muhammadarfathmg313@gmail.com</t>
  </si>
  <si>
    <t xml:space="preserve">ARAFATH MANZIL, MASTHIGUDDA,, PALLIKKERE, KASARAGOD, KERALA, 0091 8129332642</t>
  </si>
  <si>
    <t xml:space="preserve">NISHANT C. BABU</t>
  </si>
  <si>
    <t xml:space="preserve">0502908746</t>
  </si>
  <si>
    <t xml:space="preserve">9072411284</t>
  </si>
  <si>
    <t xml:space="preserve">babunishant@gmail.com</t>
  </si>
  <si>
    <t xml:space="preserve">THADATHIL ADIMURIYIL HOUSE, CHENNEERKARA P.O.,, PATHANAMTHITTA-689503, KERALA.</t>
  </si>
  <si>
    <t xml:space="preserve">SHAMEEM THAZHE PURATH</t>
  </si>
  <si>
    <t xml:space="preserve">0551286456</t>
  </si>
  <si>
    <t xml:space="preserve">tp.shamee@gmail.com</t>
  </si>
  <si>
    <t xml:space="preserve">T.P.HOUSE, SHAFNAS,, IRIKKOOR-P.O., KANNUR, KERALA.</t>
  </si>
  <si>
    <t xml:space="preserve">BIBIN P C</t>
  </si>
  <si>
    <t xml:space="preserve">0557535201</t>
  </si>
  <si>
    <t xml:space="preserve">bibin.p.chandran@gmail.com</t>
  </si>
  <si>
    <t xml:space="preserve">B.B.NIVAS, ALLAPRA P.O.,, PERUMBAVOOR, ERNAKULAM, KERALA</t>
  </si>
  <si>
    <t xml:space="preserve">RAHEESH BABU K.</t>
  </si>
  <si>
    <t xml:space="preserve">0504965394</t>
  </si>
  <si>
    <t xml:space="preserve">9846055323</t>
  </si>
  <si>
    <t xml:space="preserve">raheeshbabu@gmail.com</t>
  </si>
  <si>
    <t xml:space="preserve">BINUSHA, KUNHIKOYA ROAD,, MANKAVU, KOZHIKODE.</t>
  </si>
  <si>
    <t xml:space="preserve">MOHAMMED HAREES S.</t>
  </si>
  <si>
    <t xml:space="preserve">0506865616</t>
  </si>
  <si>
    <t xml:space="preserve">mharees@hotmail.com</t>
  </si>
  <si>
    <t xml:space="preserve">'BAITHUL LAILA', MSM-P.O.,MANGARAM,, PANDALAM, PATHANAMTHITTA, KERALA</t>
  </si>
  <si>
    <t xml:space="preserve">BINU K. VARGHESE</t>
  </si>
  <si>
    <t xml:space="preserve">0507690754</t>
  </si>
  <si>
    <t xml:space="preserve">binu0605@gmail.com</t>
  </si>
  <si>
    <t xml:space="preserve">KANJIRAKKATTU HOUSE, ADOOR-P.O.,, PATHANAMTHITTA, KERALA.</t>
  </si>
  <si>
    <t xml:space="preserve">BETSON V.THOMAS BABY</t>
  </si>
  <si>
    <t xml:space="preserve">0552005232</t>
  </si>
  <si>
    <t xml:space="preserve">betson.baby@gmail.com</t>
  </si>
  <si>
    <t xml:space="preserve">BETTER HOME, VETTELETHU,, VAYALA, ADOOR, PATHANAMTHITTA - 691554</t>
  </si>
  <si>
    <t xml:space="preserve">GANGAKRISHNAN SURESH</t>
  </si>
  <si>
    <t xml:space="preserve">0558338008</t>
  </si>
  <si>
    <t xml:space="preserve">gangakrish@gmail.com</t>
  </si>
  <si>
    <t xml:space="preserve">VAIDYANS GARDEN, IRAVIPURAM-PO.,, KOLLAM, KERALA.</t>
  </si>
  <si>
    <t xml:space="preserve">SHIBU PHILIP</t>
  </si>
  <si>
    <t xml:space="preserve">0503163349</t>
  </si>
  <si>
    <t xml:space="preserve">shkallar80@gmail.com</t>
  </si>
  <si>
    <t xml:space="preserve">KALANGARA, RAMAKKALMETTU P.O., IDUKKI, KERALA STATE., 0091 9605604546</t>
  </si>
  <si>
    <t xml:space="preserve">LIJU BABU</t>
  </si>
  <si>
    <t xml:space="preserve">0555046624</t>
  </si>
  <si>
    <t xml:space="preserve">lijuorient@gmail.com</t>
  </si>
  <si>
    <t xml:space="preserve">BABU VILLA,PERINGANAD P.O.,, ADOOR, PATHANAMTHITTA, KERALA, 0091 8547185871</t>
  </si>
  <si>
    <t xml:space="preserve">SHIBI JACOB</t>
  </si>
  <si>
    <t xml:space="preserve">0555431254</t>
  </si>
  <si>
    <t xml:space="preserve">sibikhz@gmail.com</t>
  </si>
  <si>
    <t xml:space="preserve">THATTARU KUNNEL HOUSE,, KOORACHUNDU POST, KOZHIKODE.</t>
  </si>
  <si>
    <t xml:space="preserve">MUHAMMED RIYAS N.K.</t>
  </si>
  <si>
    <t xml:space="preserve">0555697272</t>
  </si>
  <si>
    <t xml:space="preserve">7356515457</t>
  </si>
  <si>
    <t xml:space="preserve">riyas6656@gmail.com</t>
  </si>
  <si>
    <t xml:space="preserve">COLOMBO VILLA, P.O.VENGALAM,, CALICUT-673303, KERALA STATE</t>
  </si>
  <si>
    <t xml:space="preserve">RAJESH M.</t>
  </si>
  <si>
    <t xml:space="preserve">0501359101</t>
  </si>
  <si>
    <t xml:space="preserve">rajeshmpullur@gmail.com</t>
  </si>
  <si>
    <t xml:space="preserve">KURUMBALAM HOUSE, HARIPURAM-P.O.,, UDAYA NAGAR, KASARAGOD,KERALA.</t>
  </si>
  <si>
    <t xml:space="preserve">SREEJITH R.NAIR</t>
  </si>
  <si>
    <t xml:space="preserve">0557544726</t>
  </si>
  <si>
    <t xml:space="preserve">8129462588</t>
  </si>
  <si>
    <t xml:space="preserve">sreejithmadhavam111@gmail.com</t>
  </si>
  <si>
    <t xml:space="preserve">H.NO.2/195, SREEJA BHAVAN, MAAVAL M.,, PEYAD-P.O., TRIVANDRUM, KERALA</t>
  </si>
  <si>
    <t xml:space="preserve">JESTIN P. GEORGE</t>
  </si>
  <si>
    <t xml:space="preserve">0556622737</t>
  </si>
  <si>
    <t xml:space="preserve">pgjestine@gmail.com</t>
  </si>
  <si>
    <t xml:space="preserve">PANDIPPILLY HOUSE, VADUTHALA.P.O.,, COCHIN-23, KERALA</t>
  </si>
  <si>
    <t xml:space="preserve">RIYAD P.A.</t>
  </si>
  <si>
    <t xml:space="preserve">0558760396</t>
  </si>
  <si>
    <t xml:space="preserve">8089893003</t>
  </si>
  <si>
    <t xml:space="preserve">riyadabu21@gmail.com</t>
  </si>
  <si>
    <t xml:space="preserve">PALLIKKA VALIYAVEETTIL , EDAVANAKKAD P.O.,, ERNAKULAM-682502, KERALA.</t>
  </si>
  <si>
    <t xml:space="preserve">0559767633</t>
  </si>
  <si>
    <t xml:space="preserve">4692774448</t>
  </si>
  <si>
    <t xml:space="preserve">bibint243@gmail.com</t>
  </si>
  <si>
    <t xml:space="preserve">CHERUKARA PEEDIKAYIL HOUSE,, THEADICAL-P.O., PATHNAMTHITTA, KERALA</t>
  </si>
  <si>
    <t xml:space="preserve">RAFIYIN THULLATH</t>
  </si>
  <si>
    <t xml:space="preserve">0559658060</t>
  </si>
  <si>
    <t xml:space="preserve">9656094221</t>
  </si>
  <si>
    <t xml:space="preserve">alrahaoptic@gmail.com</t>
  </si>
  <si>
    <t xml:space="preserve">THULLATH HOUSE, POST VELLAYIKODE,, KOZHIKODE - 673019, KERALA</t>
  </si>
  <si>
    <t xml:space="preserve">MUHAMMED V.P.M.</t>
  </si>
  <si>
    <t xml:space="preserve">0544616060</t>
  </si>
  <si>
    <t xml:space="preserve">vpmuhammed87@gmail.com</t>
  </si>
  <si>
    <t xml:space="preserve">AYISHA MANZIL,MANIYANODI P.O.,, TRIKARIPUR, KASARAGOD, KERALA</t>
  </si>
  <si>
    <t xml:space="preserve">MANOJ MADHAVAN</t>
  </si>
  <si>
    <t xml:space="preserve">0507641468</t>
  </si>
  <si>
    <t xml:space="preserve">manojmshj@yahoo.co.in</t>
  </si>
  <si>
    <t xml:space="preserve">MADHAVAM, PALAYAMKUNNU-P.O.,, VARKALA, TRIVANDRUM, KERALA., 0091 9995354319</t>
  </si>
  <si>
    <t xml:space="preserve">TOM MATHEW THAMPAN</t>
  </si>
  <si>
    <t xml:space="preserve">0505463983</t>
  </si>
  <si>
    <t xml:space="preserve">9946727027</t>
  </si>
  <si>
    <t xml:space="preserve">tom.thampan@yahoo.in</t>
  </si>
  <si>
    <t xml:space="preserve">NELPURAPARAMBIL, KARTHIKAPPALLY,, ALAPPUZHA, KERALA.</t>
  </si>
  <si>
    <t xml:space="preserve">MOHAMED ASHARAF MAYYERI</t>
  </si>
  <si>
    <t xml:space="preserve">0505490296</t>
  </si>
  <si>
    <t xml:space="preserve">ashrafabuazim@gmail.com</t>
  </si>
  <si>
    <t xml:space="preserve">MAYYERI, PARAVANNUR WEST,, PARAMMAL ANGADI, MALAPPURAM, KERALA</t>
  </si>
  <si>
    <t xml:space="preserve">ANIES BADUSHA M.S.</t>
  </si>
  <si>
    <t xml:space="preserve">0506768878</t>
  </si>
  <si>
    <t xml:space="preserve">8921471001</t>
  </si>
  <si>
    <t xml:space="preserve">aniesbelfast@gmail.com</t>
  </si>
  <si>
    <t xml:space="preserve">SITHARA MANZIL, NEAR FIRE STATION,, KAYAMKULAM, ALAPPUZHA, KERALA.</t>
  </si>
  <si>
    <t xml:space="preserve">HANEEJ M.A.</t>
  </si>
  <si>
    <t xml:space="preserve">0551323500</t>
  </si>
  <si>
    <t xml:space="preserve">9633078550</t>
  </si>
  <si>
    <t xml:space="preserve">haneejma@gmail.com</t>
  </si>
  <si>
    <t xml:space="preserve">MANAKULANGAR PARAMBIL HOUSE, P.O.THAZHEKKAD,, KOMBADINJAMAKKAL, THRISSUR-680697, KERALA.</t>
  </si>
  <si>
    <t xml:space="preserve">MADHUSOOTHANAN E.</t>
  </si>
  <si>
    <t xml:space="preserve">0501626206</t>
  </si>
  <si>
    <t xml:space="preserve">9686465273</t>
  </si>
  <si>
    <t xml:space="preserve">mdhnair108@gmail.com</t>
  </si>
  <si>
    <t xml:space="preserve">U.A.Q., KALIYANTHOTTY HOUE, PERUMBALA P.O.,, KASARAGOD-671317, KERALA</t>
  </si>
  <si>
    <t xml:space="preserve">FARHAN THEKKUPURAM</t>
  </si>
  <si>
    <t xml:space="preserve">0545488318</t>
  </si>
  <si>
    <t xml:space="preserve">faru6464@gmail.com</t>
  </si>
  <si>
    <t xml:space="preserve">FATHIMA VILLA, POOCHAKAD,, THEKKUPURAM P.O., KEEKAN, KASARAGOD.</t>
  </si>
  <si>
    <t xml:space="preserve">SAMSEERALI C.H.</t>
  </si>
  <si>
    <t xml:space="preserve">0557415005</t>
  </si>
  <si>
    <t xml:space="preserve">7511199998</t>
  </si>
  <si>
    <t xml:space="preserve">samseerali.ch@gmail.com</t>
  </si>
  <si>
    <t xml:space="preserve">NAFEESATH CHUDCHIMADE HOUSE,, KAVANTHALA HOUSE, PADNE-P.O.,KASARAGOD</t>
  </si>
  <si>
    <t xml:space="preserve">SHAJEER SAINUDEEN</t>
  </si>
  <si>
    <t xml:space="preserve">0505095660</t>
  </si>
  <si>
    <t xml:space="preserve">9747480556</t>
  </si>
  <si>
    <t xml:space="preserve">shajeerss@gmail.com</t>
  </si>
  <si>
    <t xml:space="preserve">SAJI MANZIL, POYKAKKADA,, KODUVAZHANNOOR-P.O., PULIMATH,TRIVANDRUM</t>
  </si>
  <si>
    <t xml:space="preserve">SREEJITH S. PILLAI</t>
  </si>
  <si>
    <t xml:space="preserve">0508213906</t>
  </si>
  <si>
    <t xml:space="preserve">sreejithpillai79@gmail.com</t>
  </si>
  <si>
    <t xml:space="preserve">KRISHNA MANDIRAM,KUNNATHALUMMOODU,, KAYAMKULAM, ALAPPUZHA, KERALA, 00918156937881</t>
  </si>
  <si>
    <t xml:space="preserve">SUNIL KUMAR.A.V</t>
  </si>
  <si>
    <t xml:space="preserve">0553586872</t>
  </si>
  <si>
    <t xml:space="preserve">sunilarole79@gmail.com</t>
  </si>
  <si>
    <t xml:space="preserve">MEETHAL VEEDU (H), HOUSE NO. W 9/556,, THANNOT, RAVANESHWAR P.O, KASARAGOD</t>
  </si>
  <si>
    <t xml:space="preserve">NARAYANA PILLAI BINOY</t>
  </si>
  <si>
    <t xml:space="preserve">0553461997</t>
  </si>
  <si>
    <t xml:space="preserve">6235188665</t>
  </si>
  <si>
    <t xml:space="preserve">parkersbin@gmail.com</t>
  </si>
  <si>
    <t xml:space="preserve">ANIL NIVAS CHENCHERYKONAM, ALAMCODE, TRIVANDRUM</t>
  </si>
  <si>
    <t xml:space="preserve">VIVEK G PILLAI</t>
  </si>
  <si>
    <t xml:space="preserve">0504967238</t>
  </si>
  <si>
    <t xml:space="preserve">9447455400</t>
  </si>
  <si>
    <t xml:space="preserve">vickyspdm@gmail.com</t>
  </si>
  <si>
    <t xml:space="preserve">VIVEK VIHAR, NEAR M.M.HOSPITAL, PUZHIKKAD, PANDALAM PATHANAMTHITTA</t>
  </si>
  <si>
    <t xml:space="preserve">SIJINRAJ AKILIPARAMBIL RAJAN</t>
  </si>
  <si>
    <t xml:space="preserve">0525923814</t>
  </si>
  <si>
    <t xml:space="preserve">9526634901</t>
  </si>
  <si>
    <t xml:space="preserve">sijinar@gmail.com</t>
  </si>
  <si>
    <t xml:space="preserve">AKILIPARAMBIL HOUSE, VALLIVATTOM.PO.,, KONATHUKUNNU, THRISSUR-680124, KERALA</t>
  </si>
  <si>
    <t xml:space="preserve">UNNIKRISHNAN.T.S</t>
  </si>
  <si>
    <t xml:space="preserve">0507178179</t>
  </si>
  <si>
    <t xml:space="preserve">alibdaastudio@gmail.com</t>
  </si>
  <si>
    <t xml:space="preserve">THAMARASSERY HOUSE, IRINGAPURAM.PO, PUTHANPALLY VIA THRISSUR KERALA</t>
  </si>
  <si>
    <t xml:space="preserve">AKHIL SATHISH KUMAR</t>
  </si>
  <si>
    <t xml:space="preserve">0561560702</t>
  </si>
  <si>
    <t xml:space="preserve">9544042597</t>
  </si>
  <si>
    <t xml:space="preserve">mailtoakhilskumar@gmail.com</t>
  </si>
  <si>
    <t xml:space="preserve">VILAYIL VEEDU, SWAMIYARMADAM,, CHEMPAZHANTHY-P.O.,TRIVANDRUM-695587</t>
  </si>
  <si>
    <t xml:space="preserve">ABDUL MUNEER MASTHI GUDA</t>
  </si>
  <si>
    <t xml:space="preserve">0568552326</t>
  </si>
  <si>
    <t xml:space="preserve">7356323805</t>
  </si>
  <si>
    <t xml:space="preserve">munnimusthigudda@gmail.com</t>
  </si>
  <si>
    <t xml:space="preserve">194/12/7/305, ABDUL RAHMAN VILLA,, MASTHIGUDA, PALLIKKARE, KASARAGOD, KERALA.</t>
  </si>
  <si>
    <t xml:space="preserve">JERSEN JOY</t>
  </si>
  <si>
    <t xml:space="preserve">0555026382</t>
  </si>
  <si>
    <t xml:space="preserve">9747676919</t>
  </si>
  <si>
    <t xml:space="preserve">jersenjoy@live.com</t>
  </si>
  <si>
    <t xml:space="preserve">POTTUVAHANILKKUNNATHIL,CHURULIKKODE,, PATHANAMTHITTA, KERALA</t>
  </si>
  <si>
    <t xml:space="preserve">ANIL MATHEW</t>
  </si>
  <si>
    <t xml:space="preserve">0557302445</t>
  </si>
  <si>
    <t xml:space="preserve">9747834414</t>
  </si>
  <si>
    <t xml:space="preserve">anilmathewadr@gmail.com</t>
  </si>
  <si>
    <t xml:space="preserve">MULLANTHANATHA,ANIL BHAVAN,, ADOOR, PATHANAMTHITTA, KERALA</t>
  </si>
  <si>
    <t xml:space="preserve">NIDEESH V ABRAHAM</t>
  </si>
  <si>
    <t xml:space="preserve">0557697179</t>
  </si>
  <si>
    <t xml:space="preserve">nideeshabraham@gmail.com</t>
  </si>
  <si>
    <t xml:space="preserve">6679, R.A.K., VALIYAVEETTIL, 224-XVII, KAYAMKULAM-PO,, ALAPPUZHA, KERALA, INDIA, 0091 9961270539</t>
  </si>
  <si>
    <t xml:space="preserve">MUHAMMAD IQUBAL K.M.</t>
  </si>
  <si>
    <t xml:space="preserve">0558027266</t>
  </si>
  <si>
    <t xml:space="preserve">shahamamol100@gmail.com</t>
  </si>
  <si>
    <t xml:space="preserve">K.M.HOUSE, NEAR M.M. HOSPITAL,, PAPPINISSERY, KANNUR, KERALA, 0091 9746076638</t>
  </si>
  <si>
    <t xml:space="preserve">GOKUL PREM</t>
  </si>
  <si>
    <t xml:space="preserve">0551426345</t>
  </si>
  <si>
    <t xml:space="preserve">gokul.prem77@gmail.com</t>
  </si>
  <si>
    <t xml:space="preserve">VELLATTUPARAMBIL HOUSE,, VENGISSERY, THRISSUR, KERALA</t>
  </si>
  <si>
    <t xml:space="preserve">SILIN T. SIMON</t>
  </si>
  <si>
    <t xml:space="preserve">0509703403</t>
  </si>
  <si>
    <t xml:space="preserve">9037096162</t>
  </si>
  <si>
    <t xml:space="preserve">silinsimon@gmail.com</t>
  </si>
  <si>
    <t xml:space="preserve">THANNIKKAL HOUSE, PAZHANJI P.O.,, THRISSUR, KERALA</t>
  </si>
  <si>
    <t xml:space="preserve">PRAVEENKUMAR B.</t>
  </si>
  <si>
    <t xml:space="preserve">0564960069</t>
  </si>
  <si>
    <t xml:space="preserve">7034592262</t>
  </si>
  <si>
    <t xml:space="preserve">pravikumar.b123@gmail.com</t>
  </si>
  <si>
    <t xml:space="preserve">KANJANA NIVAS, CHELAKKARA,, THRISSUR, KERALA</t>
  </si>
  <si>
    <t xml:space="preserve">MUNEEB T.C.</t>
  </si>
  <si>
    <t xml:space="preserve">0506342748</t>
  </si>
  <si>
    <t xml:space="preserve">9778359863</t>
  </si>
  <si>
    <t xml:space="preserve">muneebtc786@gmail.com</t>
  </si>
  <si>
    <t xml:space="preserve">MANAR MAHAL, P.O.IRIKKUR,, KANNUR, KERALA - 670593.</t>
  </si>
  <si>
    <t xml:space="preserve">SARATHKUMAR S.</t>
  </si>
  <si>
    <t xml:space="preserve">0509837727</t>
  </si>
  <si>
    <t xml:space="preserve">9745577241</t>
  </si>
  <si>
    <t xml:space="preserve">sarathbts@gmail.com</t>
  </si>
  <si>
    <t xml:space="preserve">51592, SHJ, VAIRASSERIL, MANGAROM,, KONNI, KERALA.</t>
  </si>
  <si>
    <t xml:space="preserve">MANOJ KRISHNANKUTTY E.</t>
  </si>
  <si>
    <t xml:space="preserve">0526999364</t>
  </si>
  <si>
    <t xml:space="preserve">9152999966</t>
  </si>
  <si>
    <t xml:space="preserve">manubgy@gmail.com</t>
  </si>
  <si>
    <t xml:space="preserve">EDOOR HOUSE, KOTTOPADAM POST,, MANNARKAD, PALAKKAD, KERALA</t>
  </si>
  <si>
    <t xml:space="preserve">ANISH GEORGE</t>
  </si>
  <si>
    <t xml:space="preserve">0557328547</t>
  </si>
  <si>
    <t xml:space="preserve">9495834444</t>
  </si>
  <si>
    <t xml:space="preserve">sinoshg@gmail.com</t>
  </si>
  <si>
    <t xml:space="preserve">MUNDANISSERIL HOUSE, SEETHATHODE-P.O., PATHANAMTHITTA, KERALA</t>
  </si>
  <si>
    <t xml:space="preserve">SREEKUMAR RAGHAVAN PILLAI</t>
  </si>
  <si>
    <t xml:space="preserve">0556403703</t>
  </si>
  <si>
    <t xml:space="preserve">9400678445</t>
  </si>
  <si>
    <t xml:space="preserve">sree9192@gmail.com</t>
  </si>
  <si>
    <t xml:space="preserve">SREENILAYAM, PUTHIYIDOM,, KAYAMKULAM-690502, KERALA</t>
  </si>
  <si>
    <t xml:space="preserve">HARI BHAKTAVALSALAN</t>
  </si>
  <si>
    <t xml:space="preserve">0553071693</t>
  </si>
  <si>
    <t xml:space="preserve">haribhaktavalsalan@gmail.com</t>
  </si>
  <si>
    <t xml:space="preserve">NAKKEYSERIL,THARAYILKADAVU,, VALIAZHEEKAL P.O.,ALLEPPY, KERALA.</t>
  </si>
  <si>
    <t xml:space="preserve">MOHAMED SULPHY P.M.</t>
  </si>
  <si>
    <t xml:space="preserve">0554083867</t>
  </si>
  <si>
    <t xml:space="preserve">mohamedsulphy@gmail.com</t>
  </si>
  <si>
    <t xml:space="preserve">PARAKKIL (H), P.O.PERUMPADAPPU,, VANNERY, MALAPPURAM-679580, KERALA, 0091 9946738886</t>
  </si>
  <si>
    <t xml:space="preserve">BINDURAJ E.S.</t>
  </si>
  <si>
    <t xml:space="preserve">0506009771</t>
  </si>
  <si>
    <t xml:space="preserve">binduraj2000@gmail.com</t>
  </si>
  <si>
    <t xml:space="preserve">SOBI BHAVAN, KAYAMKULAM-P.O.,, ALAPPUZHA, KERALA</t>
  </si>
  <si>
    <t xml:space="preserve">JAYAN JOY</t>
  </si>
  <si>
    <t xml:space="preserve">0504614637</t>
  </si>
  <si>
    <t xml:space="preserve">9605838710</t>
  </si>
  <si>
    <t xml:space="preserve">jayanjoy.j@gmail.com</t>
  </si>
  <si>
    <t xml:space="preserve">H.NO.833, JANCY NILAYAM,KANNAMKUZHY P.O.,, ALAPPUZHA, KERALA-690505</t>
  </si>
  <si>
    <t xml:space="preserve">ANURAJ DEVARAJAN</t>
  </si>
  <si>
    <t xml:space="preserve">0559776184</t>
  </si>
  <si>
    <t xml:space="preserve">nurajdevarajan@gmail.com</t>
  </si>
  <si>
    <t xml:space="preserve">KUZHIYATHE THEKATHIL, CHUNAKKARA P.O.,, ALAPPUZHA, KERALA STATE.</t>
  </si>
  <si>
    <t xml:space="preserve">HARIPRASAD KARICHERY</t>
  </si>
  <si>
    <t xml:space="preserve">0508639015</t>
  </si>
  <si>
    <t xml:space="preserve">hari.me.in@gmail.com</t>
  </si>
  <si>
    <t xml:space="preserve">RAGAM, PERLADUKKAM,, KULATHUR POST, KASARAGOD-671541, KERALA</t>
  </si>
  <si>
    <t xml:space="preserve">NIYAZ AZEEZ</t>
  </si>
  <si>
    <t xml:space="preserve">0502367890</t>
  </si>
  <si>
    <t xml:space="preserve">niyazazeez@gmail.com</t>
  </si>
  <si>
    <t xml:space="preserve">PARAYIL JEE VILLA, CHUNAKKARA P.O.,, ALAPPUZHA-690534, KERALA.</t>
  </si>
  <si>
    <t xml:space="preserve">SAJID M.S.</t>
  </si>
  <si>
    <t xml:space="preserve">0502383214</t>
  </si>
  <si>
    <t xml:space="preserve">8281873270</t>
  </si>
  <si>
    <t xml:space="preserve">sajid701@gmail.com</t>
  </si>
  <si>
    <t xml:space="preserve">SAJID MANZIL,KURAKKODU,, KOLLAYIL-P.O., KOLLAM, KERALA-691541</t>
  </si>
  <si>
    <t xml:space="preserve">MATHEW VARUGHESE</t>
  </si>
  <si>
    <t xml:space="preserve">0507182250</t>
  </si>
  <si>
    <t xml:space="preserve">mathewpknm@gmail.com</t>
  </si>
  <si>
    <t xml:space="preserve">NELLIMOOTTIL, PRAKKANAM-P.O.,, PATHANAMTHITTA, KERALA STATE</t>
  </si>
  <si>
    <t xml:space="preserve">GANGADHARAN K.V.</t>
  </si>
  <si>
    <t xml:space="preserve">0556174922</t>
  </si>
  <si>
    <t xml:space="preserve">6282344253</t>
  </si>
  <si>
    <t xml:space="preserve">gangaravaneshwaram@gmail.com</t>
  </si>
  <si>
    <t xml:space="preserve">VADAKKE VEEDU, VANIYAMPARA,, RAVANESHWAR-P.O.,PALLIKKERE Via,Kasaragod</t>
  </si>
  <si>
    <t xml:space="preserve">SHIBU S. VARGHESE</t>
  </si>
  <si>
    <t xml:space="preserve">0559201442</t>
  </si>
  <si>
    <t xml:space="preserve">shibuvarghese@gmail.com</t>
  </si>
  <si>
    <t xml:space="preserve">BUNGLOW VILAYIL, SOORANAD NORTH,, CHATHAKULAM P.O.,KOLLAM-690520, 00919809382229</t>
  </si>
  <si>
    <t xml:space="preserve">SUBASH JOSEPH</t>
  </si>
  <si>
    <t xml:space="preserve">0509661949</t>
  </si>
  <si>
    <t xml:space="preserve">subhash.joseph1@gmail.com</t>
  </si>
  <si>
    <t xml:space="preserve">VALIYAPARAMBIL HOUSE, PILAKAVU-P.O.,, MANANTHAVADY, WAYANAD, KERALA-670645, 0091 9562618145</t>
  </si>
  <si>
    <t xml:space="preserve">SHINE BHASI</t>
  </si>
  <si>
    <t xml:space="preserve">0504693241</t>
  </si>
  <si>
    <t xml:space="preserve">9946662304</t>
  </si>
  <si>
    <t xml:space="preserve">shinebs@gmail.com</t>
  </si>
  <si>
    <t xml:space="preserve">KANNADIKKAVILAKAM,VAKKOM-P.O.,, TRIVANDRUM, KERALA</t>
  </si>
  <si>
    <t xml:space="preserve">RASHEED AYDROSE</t>
  </si>
  <si>
    <t xml:space="preserve">0588815555</t>
  </si>
  <si>
    <t xml:space="preserve">trianzegroup@gmail.com</t>
  </si>
  <si>
    <t xml:space="preserve">PUTHUSSERY HOUSE, PERINGOTTUKARA,, THRISSUR, KERALA STATE.</t>
  </si>
  <si>
    <t xml:space="preserve">SIDHEEK T. MOHAMMED</t>
  </si>
  <si>
    <t xml:space="preserve">0506770526</t>
  </si>
  <si>
    <t xml:space="preserve">7994400867</t>
  </si>
  <si>
    <t xml:space="preserve">sidditm@gmail.com</t>
  </si>
  <si>
    <t xml:space="preserve">THAZATHETHIL HOUSE, PERUMPILAVU-PO.,, THRISSUR, PIN-680519, KERALA</t>
  </si>
  <si>
    <t xml:space="preserve">P.P.SANTHA</t>
  </si>
  <si>
    <t xml:space="preserve">0506310184</t>
  </si>
  <si>
    <t xml:space="preserve">8822055055</t>
  </si>
  <si>
    <t xml:space="preserve">ppsantha.sasi@gmail.com</t>
  </si>
  <si>
    <t xml:space="preserve">MEENAKSHI NILAYAM, THRIKKAVU P.O.,, PONNANI, MALAPPURAM, KERALA.</t>
  </si>
  <si>
    <t xml:space="preserve">SUBHASH KUMAR V.</t>
  </si>
  <si>
    <t xml:space="preserve">0506324149</t>
  </si>
  <si>
    <t xml:space="preserve">9495192615</t>
  </si>
  <si>
    <t xml:space="preserve">subhash.otec@gmail.com</t>
  </si>
  <si>
    <t xml:space="preserve">PUTHEN PARAMPIL, ELIMULLUMPLACKAL -P.O.,, KONNI, PATHANAMTHITTA, KERALA.</t>
  </si>
  <si>
    <t xml:space="preserve">BEAUTY PRASAD</t>
  </si>
  <si>
    <t xml:space="preserve">0556242800</t>
  </si>
  <si>
    <t xml:space="preserve">9747164000</t>
  </si>
  <si>
    <t xml:space="preserve">bp@prasadassociates.ae</t>
  </si>
  <si>
    <t xml:space="preserve">SHAFEER ABDULLA KUNHI</t>
  </si>
  <si>
    <t xml:space="preserve">0565590606</t>
  </si>
  <si>
    <t xml:space="preserve">seppitheg8@gmail.com</t>
  </si>
  <si>
    <t xml:space="preserve">M.B.HOUSE, EACHILINGAL, P.O.UDUMA,, KASARAGOD, KERALA.</t>
  </si>
  <si>
    <t xml:space="preserve">GEOGY PUTHENPURACKAL SAM</t>
  </si>
  <si>
    <t xml:space="preserve">0505875618</t>
  </si>
  <si>
    <t xml:space="preserve">geogyscm@yahoo.com</t>
  </si>
  <si>
    <t xml:space="preserve">PUTHENPURACKAL HOUSE, ANGADICKAL PO, CHENGANNUR ALAPPUZHA, KERALA</t>
  </si>
  <si>
    <t xml:space="preserve">AL AMEEN</t>
  </si>
  <si>
    <t xml:space="preserve">0551694268</t>
  </si>
  <si>
    <t xml:space="preserve">meenusalim@hotmail.com</t>
  </si>
  <si>
    <t xml:space="preserve">ALAYATHU MELETHIL,THADICADU- P.O., PUNALUR, KOLLAM, KERALA, 00919539397277</t>
  </si>
  <si>
    <t xml:space="preserve">SARATH GURUDEVAN</t>
  </si>
  <si>
    <t xml:space="preserve">0508702441</t>
  </si>
  <si>
    <t xml:space="preserve">sarath_g2001@yahoo.com</t>
  </si>
  <si>
    <t xml:space="preserve">KANAKA SMARAKA BHAVAN, KARAKKAD.P.O,, CHENGANNUR-689504, KERALA.</t>
  </si>
  <si>
    <t xml:space="preserve">SUDHEER VASUDEVAN NAIR</t>
  </si>
  <si>
    <t xml:space="preserve">0508076761</t>
  </si>
  <si>
    <t xml:space="preserve">6235376761</t>
  </si>
  <si>
    <t xml:space="preserve">sudheeryash@yahoo.com</t>
  </si>
  <si>
    <t xml:space="preserve">ASHA VIHAR, KANNAMBA, VARKALA, TRIVANDRUM</t>
  </si>
  <si>
    <t xml:space="preserve">MANU MATHEW</t>
  </si>
  <si>
    <t xml:space="preserve">0563706838</t>
  </si>
  <si>
    <t xml:space="preserve">manu1989.plr@gmail.com</t>
  </si>
  <si>
    <t xml:space="preserve">NISHA BHAVAN,NEAR PUNALUR CLUB,, SIVAN KOVIL, PUNALUR-691305, KOLLAM,KERALA</t>
  </si>
  <si>
    <t xml:space="preserve">ANAS MUHAMMADU KUNJU</t>
  </si>
  <si>
    <t xml:space="preserve">0506397647</t>
  </si>
  <si>
    <t xml:space="preserve">anas.lebba@gmail.com</t>
  </si>
  <si>
    <t xml:space="preserve">LEBBA MAHAL, THEVALAKKARA.PO., KOLLAM, KERALA</t>
  </si>
  <si>
    <t xml:space="preserve">ARYA MANOHARAN</t>
  </si>
  <si>
    <t xml:space="preserve">0507383622</t>
  </si>
  <si>
    <t xml:space="preserve">9446817663</t>
  </si>
  <si>
    <t xml:space="preserve">arya.maslp@gmail.com</t>
  </si>
  <si>
    <t xml:space="preserve">447/111, KARTHIKA, KOTTARCAVU,, MAVELIKARA P.O., ALLEPPY DT., KERALA-690101</t>
  </si>
  <si>
    <t xml:space="preserve">VALSALA MADHAVAN</t>
  </si>
  <si>
    <t xml:space="preserve">0547508893</t>
  </si>
  <si>
    <t xml:space="preserve">valsalamadhavan888@gmail.com</t>
  </si>
  <si>
    <t xml:space="preserve">THRAYAMBAKAM HOUSE, POINACHI,, KASARAGOD, KERALA, MANOJ DHAMODHARAN GIRIJA KUMALRY 4226, M.M.NIVAS,AVANAVANCHERY,, ATTINGAL, TRIVANDRUM, KERALA</t>
  </si>
  <si>
    <t xml:space="preserve">SIJA SALIM SARALA</t>
  </si>
  <si>
    <t xml:space="preserve">0509657364</t>
  </si>
  <si>
    <t xml:space="preserve">sijabijoy@yahoo.com</t>
  </si>
  <si>
    <t xml:space="preserve">4-325-347, SRUTHY, EROOR WEST, EROOR P.O.,, KOLLAM, KERALA, INDIA</t>
  </si>
  <si>
    <t xml:space="preserve">SARATH SASIKUMAR</t>
  </si>
  <si>
    <t xml:space="preserve">0557712577</t>
  </si>
  <si>
    <t xml:space="preserve">9847698006</t>
  </si>
  <si>
    <t xml:space="preserve">sarath.sasikumar@hotmail.com</t>
  </si>
  <si>
    <t xml:space="preserve">ANJOOR, KANNAMKULAM VIA,, THRISSUR, KERALA STATE.</t>
  </si>
  <si>
    <t xml:space="preserve">MOHAMMED JABIR</t>
  </si>
  <si>
    <t xml:space="preserve">0569799643</t>
  </si>
  <si>
    <t xml:space="preserve">mohdjabir2711@gmail.com</t>
  </si>
  <si>
    <t xml:space="preserve">AATHAMKOTTA HOUSE,NR.BADUSHA MASJID,, KEEKAN-P.O., CHETTUKUND, KASARAGOD,KERALA.</t>
  </si>
  <si>
    <t xml:space="preserve">SHINE K. MUHAMMED</t>
  </si>
  <si>
    <t xml:space="preserve">0527373885</t>
  </si>
  <si>
    <t xml:space="preserve">mohammsk@gmail.com</t>
  </si>
  <si>
    <t xml:space="preserve">SHINEST, VELOOR-P.O., KOTTAYAM-3, KERALA, 0091 9746317378</t>
  </si>
  <si>
    <t xml:space="preserve">VARUGHESE KURIAN</t>
  </si>
  <si>
    <t xml:space="preserve">0504815228</t>
  </si>
  <si>
    <t xml:space="preserve">varughesek@gmail.com</t>
  </si>
  <si>
    <t xml:space="preserve">KANACKAL HOUSE, KUNNAMTHANAM-P.O,, MALLAPPALLY, PATHANAMTHITTA-689581, KERALA</t>
  </si>
  <si>
    <t xml:space="preserve">RONY C. VARGHESE</t>
  </si>
  <si>
    <t xml:space="preserve">0506393540</t>
  </si>
  <si>
    <t xml:space="preserve">architectrony@hotmail.com</t>
  </si>
  <si>
    <t xml:space="preserve">PEEDIKATHARAYIL, NJAKKANAL-P.O.,, OCHIRA, KOLLAM, KERALA</t>
  </si>
  <si>
    <t xml:space="preserve">DINDAR P.M.</t>
  </si>
  <si>
    <t xml:space="preserve">0503239003</t>
  </si>
  <si>
    <t xml:space="preserve">9744901294</t>
  </si>
  <si>
    <t xml:space="preserve">PULIYARATH MEETHAL, THODANNUR,, VADAKARA, KOZHIKODE, KERALA</t>
  </si>
  <si>
    <t xml:space="preserve">ANISH ANCIL</t>
  </si>
  <si>
    <t xml:space="preserve">0561136622</t>
  </si>
  <si>
    <t xml:space="preserve">9895248954</t>
  </si>
  <si>
    <t xml:space="preserve">anishancil@hotmail.com</t>
  </si>
  <si>
    <t xml:space="preserve">POIKAYIL, ERAPPURAM,, SAKTHIKULANGARA P.O., KOLLAM.</t>
  </si>
  <si>
    <t xml:space="preserve">REJEESH PALAKKEEL</t>
  </si>
  <si>
    <t xml:space="preserve">0508866032</t>
  </si>
  <si>
    <t xml:space="preserve">9947223322</t>
  </si>
  <si>
    <t xml:space="preserve">rejipalakkeel@gmail.com</t>
  </si>
  <si>
    <t xml:space="preserve">DERMAL HOUSE, CHERUKULAKADE,, ARIYIL P.O.,PATTUVAM, KANNUR RURAL-670143.</t>
  </si>
  <si>
    <t xml:space="preserve">ARSHAD KARAPPARAMBATH</t>
  </si>
  <si>
    <t xml:space="preserve">0558215599</t>
  </si>
  <si>
    <t xml:space="preserve">arshadkpputhoor@gmail.com</t>
  </si>
  <si>
    <t xml:space="preserve">KALATHIL DARULRAHMA,KUNNOTHUPARAMBA,, PUTHUR POST, KANNUR, KERALA</t>
  </si>
  <si>
    <t xml:space="preserve">NOUFAL KUTTIYAMMI</t>
  </si>
  <si>
    <t xml:space="preserve">0556516030</t>
  </si>
  <si>
    <t xml:space="preserve">noufal777.k@gmail.com</t>
  </si>
  <si>
    <t xml:space="preserve">NOUKA, VADUTHALA JETTY P.O.,, AROOKUTTY, ALAPPUZHA, KERALA</t>
  </si>
  <si>
    <t xml:space="preserve">JOYMON K. KUNJUKUNJU</t>
  </si>
  <si>
    <t xml:space="preserve">0555649377</t>
  </si>
  <si>
    <t xml:space="preserve">alnasac@yahoo.com</t>
  </si>
  <si>
    <t xml:space="preserve">KANIYANDAZHIKATHU VEEDU, VILLOOR,, VETTIKKAVALA, KOLLAM, KERALA</t>
  </si>
  <si>
    <t xml:space="preserve">SYAM K. VISWANATHAN</t>
  </si>
  <si>
    <t xml:space="preserve">0557776811</t>
  </si>
  <si>
    <t xml:space="preserve">syam@amecdxb.com</t>
  </si>
  <si>
    <t xml:space="preserve">TC-6/1231, SYAM NIVAS, MARUTHANKUZHY,, KANJIRAMPARA, TRIVANDRUM, KERALA</t>
  </si>
  <si>
    <t xml:space="preserve">MATHEWS GEORGE</t>
  </si>
  <si>
    <t xml:space="preserve">0525595899</t>
  </si>
  <si>
    <t xml:space="preserve">mathewsg085@gmail.com</t>
  </si>
  <si>
    <t xml:space="preserve">NADASALACKAL BUNGLOW, KADAMPANAD SOUTH,, PATHANAMTHITTA, KERALA., 0091 7012365859</t>
  </si>
  <si>
    <t xml:space="preserve">ANISH ABRAHAM</t>
  </si>
  <si>
    <t xml:space="preserve">0566336112</t>
  </si>
  <si>
    <t xml:space="preserve">zacanish@gmail.com</t>
  </si>
  <si>
    <t xml:space="preserve">MANNIL GRACE COTTAGE, KANAKAPALAM,-P.O.,, ERUMELY, KOTTAYAM, KERALA</t>
  </si>
  <si>
    <t xml:space="preserve">LINSE JOSE CHIRAYATH</t>
  </si>
  <si>
    <t xml:space="preserve">0555469150</t>
  </si>
  <si>
    <t xml:space="preserve">linsecmj@gmail.com</t>
  </si>
  <si>
    <t xml:space="preserve">CHIRAYATH HOUSE, THOYAKKAVU-P.O.,, THRISSUR, KERALA.</t>
  </si>
  <si>
    <t xml:space="preserve">SHINU C. GEORGE</t>
  </si>
  <si>
    <t xml:space="preserve">0555017679</t>
  </si>
  <si>
    <t xml:space="preserve">shinucgeorge@yahoo.com</t>
  </si>
  <si>
    <t xml:space="preserve">CHANGAVADAKKATHIL,MATTOM NORTH,, THATTARAMBALAM-P.O., ALAPUZHA, KERALA</t>
  </si>
  <si>
    <t xml:space="preserve">BIJUMON S. PILLAI</t>
  </si>
  <si>
    <t xml:space="preserve">0525090388</t>
  </si>
  <si>
    <t xml:space="preserve">bijuvanchiyoor@gmail.com</t>
  </si>
  <si>
    <t xml:space="preserve">KIZHAKKEVILAKATHU VEEDU, VANCHIYOOR-P.O.,, ALMACODE, TRIVANDRUM, KERALA.</t>
  </si>
  <si>
    <t xml:space="preserve">JINU RAJU</t>
  </si>
  <si>
    <t xml:space="preserve">0508935515</t>
  </si>
  <si>
    <t xml:space="preserve">jinuraju2498111@gmail.com</t>
  </si>
  <si>
    <t xml:space="preserve">JINU BHAVAN , KAREEPRA, NELLIMUKKU- P.O.,, KOLLAM, KERALA STATE.</t>
  </si>
  <si>
    <t xml:space="preserve">SHABEER P.P.</t>
  </si>
  <si>
    <t xml:space="preserve">0554452144</t>
  </si>
  <si>
    <t xml:space="preserve">9074326352</t>
  </si>
  <si>
    <t xml:space="preserve">shabeerthirur@gmail.com</t>
  </si>
  <si>
    <t xml:space="preserve">PADATHA PEEDIKAYIL, MUTHUR,, TIRUR-P.O., MALAPPURAM-676101, KERALA</t>
  </si>
  <si>
    <t xml:space="preserve">ADARSH SATHEESH</t>
  </si>
  <si>
    <t xml:space="preserve">0567013990</t>
  </si>
  <si>
    <t xml:space="preserve">adarsh.satheesh98@gmail.com</t>
  </si>
  <si>
    <t xml:space="preserve">PADMALAYAM, SOUTH EAST,, THAZHAVA, SRP MARKET, KOLLAM</t>
  </si>
  <si>
    <t xml:space="preserve">AZEEZ SHAHUL HAMEED</t>
  </si>
  <si>
    <t xml:space="preserve">0552313467</t>
  </si>
  <si>
    <t xml:space="preserve">7560883351</t>
  </si>
  <si>
    <t xml:space="preserve">azizrv@gmail.com</t>
  </si>
  <si>
    <t xml:space="preserve">MULAYILAZHIKATHU VEEDU, PERINGAMMALA,, PANGODE-P.O., TRIVANDRUM , KERALA</t>
  </si>
  <si>
    <t xml:space="preserve">RAJESH VITTLA</t>
  </si>
  <si>
    <t xml:space="preserve">0501856778</t>
  </si>
  <si>
    <t xml:space="preserve">rajeshramagiri@mail.com</t>
  </si>
  <si>
    <t xml:space="preserve">KOTTILANGAD RAVANESHWAR PO, CHITHARI HOSDURG,KASARAGOD, KERALA 671316, 00919207155500</t>
  </si>
  <si>
    <t xml:space="preserve">RAJESH KOYAKKIL</t>
  </si>
  <si>
    <t xml:space="preserve">0554156756</t>
  </si>
  <si>
    <t xml:space="preserve">rajeshkoyakkil@gmail.com</t>
  </si>
  <si>
    <t xml:space="preserve">KOYAKKIL HOUSE, PARAVOOR, PANAPUZHA PO, KANNUR RURAL, KERALA -670306</t>
  </si>
  <si>
    <t xml:space="preserve">DANIEL PAITTAYIL BABU</t>
  </si>
  <si>
    <t xml:space="preserve">0501677441</t>
  </si>
  <si>
    <t xml:space="preserve">8598928242</t>
  </si>
  <si>
    <t xml:space="preserve">dpb1982@gmail.com</t>
  </si>
  <si>
    <t xml:space="preserve">PAITTAYIL VILLA, PERUNGALA.PO., ALAPPUZHA DT KERALA 690559</t>
  </si>
  <si>
    <t xml:space="preserve">BIJU PUTHOZHATHIL GEORGE</t>
  </si>
  <si>
    <t xml:space="preserve">0526996784</t>
  </si>
  <si>
    <t xml:space="preserve">bijugeorge@astropackgulf.com</t>
  </si>
  <si>
    <t xml:space="preserve">PUTHOZHATHIL, MEKOZHOOR P.O., MYLAPRA,, PATHANAMTHITTA,KERALA.</t>
  </si>
  <si>
    <t xml:space="preserve">MUHAMMED SHAMIL</t>
  </si>
  <si>
    <t xml:space="preserve">0585603504</t>
  </si>
  <si>
    <t xml:space="preserve">shamilshaukath@gmail.com</t>
  </si>
  <si>
    <t xml:space="preserve">SHAN, PERUVALATH PARAMBU,, IRIKKOOR, KANNUR RURAL-670593, KERALA</t>
  </si>
  <si>
    <t xml:space="preserve">MATHEW MELETHU MATHEW</t>
  </si>
  <si>
    <t xml:space="preserve">0504569722</t>
  </si>
  <si>
    <t xml:space="preserve">mmmathew30@gmail.com</t>
  </si>
  <si>
    <t xml:space="preserve">1/1424, MELETHU HOUSE,, THADIYOOR P.O., PATHANAMTHITTA, KERALA</t>
  </si>
  <si>
    <t xml:space="preserve">BINOJ K. JOHNSON</t>
  </si>
  <si>
    <t xml:space="preserve">0527103353</t>
  </si>
  <si>
    <t xml:space="preserve">johnsonbinoj08@gmail.com</t>
  </si>
  <si>
    <t xml:space="preserve">KAWAPARAMBIL HOUSE, EAST COMBARA,, IRINJALAKUDA, THRISSUR , KERALA.</t>
  </si>
  <si>
    <t xml:space="preserve">SIMON THOMAS M.</t>
  </si>
  <si>
    <t xml:space="preserve">0501616764</t>
  </si>
  <si>
    <t xml:space="preserve">9847914943</t>
  </si>
  <si>
    <t xml:space="preserve">simonthomasmelukara@gmail.com</t>
  </si>
  <si>
    <t xml:space="preserve">MANNUMELEDATHU, MANAPPARA, MELKKARA,, KOZHENCHERY, PATHANAMTHITTA, KERALA</t>
  </si>
  <si>
    <t xml:space="preserve">ABDUL MUNEER ISMAIL</t>
  </si>
  <si>
    <t xml:space="preserve">0559660370</t>
  </si>
  <si>
    <t xml:space="preserve">9747142266</t>
  </si>
  <si>
    <t xml:space="preserve">12048@gmail.com</t>
  </si>
  <si>
    <t xml:space="preserve">AL NOOR MANZIL, P.O.- BANGALAM,, NILESHWAR, KASARAGOD, KERALA</t>
  </si>
  <si>
    <t xml:space="preserve">MOHAMMED RAFEEK K.K.</t>
  </si>
  <si>
    <t xml:space="preserve">0557160552</t>
  </si>
  <si>
    <t xml:space="preserve">rafeek@almayarelectric.com</t>
  </si>
  <si>
    <t xml:space="preserve">KADAMKULATHIL HOUSE, KIZHIKKARA,, POST OTHALUR WEST,MALPPURAM, KERALA</t>
  </si>
  <si>
    <t xml:space="preserve">LIJA SAJU</t>
  </si>
  <si>
    <t xml:space="preserve">0558187135</t>
  </si>
  <si>
    <t xml:space="preserve">lijasaju@gmail.com</t>
  </si>
  <si>
    <t xml:space="preserve">VATTOLIL HOUSE.PADINJATTINKARA P.O., KOTTAYAM, KERALA STATE, 0091 8139839040</t>
  </si>
  <si>
    <t xml:space="preserve">0558862436</t>
  </si>
  <si>
    <t xml:space="preserve">ninaneden@gmail.com</t>
  </si>
  <si>
    <t xml:space="preserve">EDEN HOUSE, ANICKADU P.O.,, PALLIKKATHODU, KOTTAYAM DT., KERALA</t>
  </si>
  <si>
    <t xml:space="preserve">SUNIL KUMAR P.V.</t>
  </si>
  <si>
    <t xml:space="preserve">0504549720</t>
  </si>
  <si>
    <t xml:space="preserve">suni.fin@gmail.com</t>
  </si>
  <si>
    <t xml:space="preserve">CHAPPAYIL VALAPPU, PALAKUNNU,, P.O. BEKAL- 671318, KASARAGOD, KERALA</t>
  </si>
  <si>
    <t xml:space="preserve">ARUNAKUMAR S.</t>
  </si>
  <si>
    <t xml:space="preserve">0509610174</t>
  </si>
  <si>
    <t xml:space="preserve">9447550755</t>
  </si>
  <si>
    <t xml:space="preserve">arun-kumar399@yahoo.com</t>
  </si>
  <si>
    <t xml:space="preserve">RAM NIVAS, BEHIND SYNDICATE BANK,, ASHOKNAGAR BRANCH, MATADAKANI, MANGALORE</t>
  </si>
  <si>
    <t xml:space="preserve">SHANIL C.</t>
  </si>
  <si>
    <t xml:space="preserve">0502053836</t>
  </si>
  <si>
    <t xml:space="preserve">aeyshans.c@gmail.com</t>
  </si>
  <si>
    <t xml:space="preserve">CHAVANAPUZHA, KARIMBAM P.O.,, TALIPARAMBA, KANNUR-670142, KERALA</t>
  </si>
  <si>
    <t xml:space="preserve">LIGI THOMAS</t>
  </si>
  <si>
    <t xml:space="preserve">0504997612</t>
  </si>
  <si>
    <t xml:space="preserve">ligithomas@ymail.com</t>
  </si>
  <si>
    <t xml:space="preserve">CHUNACHI MANKAL, KAVUNGUMPRAYAR-P.O.,, PURAMATTOM, THIRUVALLA, PATHANAMTHITTA</t>
  </si>
  <si>
    <t xml:space="preserve">UMMER M.P.</t>
  </si>
  <si>
    <t xml:space="preserve">0505473766</t>
  </si>
  <si>
    <t xml:space="preserve">lamistrading@gmail.com</t>
  </si>
  <si>
    <t xml:space="preserve">MUNDANATTU PEEDIKAYIL HOUSE,, P.O. VARAVOOR,WADAKKANCHERY,TRICHUR.</t>
  </si>
  <si>
    <t xml:space="preserve">TINJU SOMAN</t>
  </si>
  <si>
    <t xml:space="preserve">0558359943</t>
  </si>
  <si>
    <t xml:space="preserve">tinju311@gmail.com</t>
  </si>
  <si>
    <t xml:space="preserve">HILL VIEW, ELAVUMTHITTA P.O.,, AYATHIL, PATHANAMTHITTA, KERALA</t>
  </si>
  <si>
    <t xml:space="preserve">ULLAS BOSE</t>
  </si>
  <si>
    <t xml:space="preserve">0505198427</t>
  </si>
  <si>
    <t xml:space="preserve">ullasbose@gmail.com</t>
  </si>
  <si>
    <t xml:space="preserve">PULARI, BLANTHOOR P.O.,, PATHANAMTHITTA, KERALA</t>
  </si>
  <si>
    <t xml:space="preserve">SUBIN G.RAJU</t>
  </si>
  <si>
    <t xml:space="preserve">0556630043</t>
  </si>
  <si>
    <t xml:space="preserve">subingraju1989@gmail.com</t>
  </si>
  <si>
    <t xml:space="preserve">PEEDIKA THEKKE THEMBRA VEEDU, PUTHOOR-P.O.,, KOTTARAKKARA, KOLLAM-691507, KERALA</t>
  </si>
  <si>
    <t xml:space="preserve">RATHEESHAN C.H</t>
  </si>
  <si>
    <t xml:space="preserve">0569476473</t>
  </si>
  <si>
    <t xml:space="preserve">ratheeshkalathil683@gmail.com</t>
  </si>
  <si>
    <t xml:space="preserve">CHAPPAYIL HOUSE, 5-992,, BEKAL, KASARAGOD-671318, KERALA</t>
  </si>
  <si>
    <t xml:space="preserve">ROY PHILIP</t>
  </si>
  <si>
    <t xml:space="preserve">0508512277</t>
  </si>
  <si>
    <t xml:space="preserve">royreona@gmail.com</t>
  </si>
  <si>
    <t xml:space="preserve">AZHAKANTHUZHIYIL,MELUKARA,, KOZHENCHERY, PATHANAMTHITTA, KERALA</t>
  </si>
  <si>
    <t xml:space="preserve">PAREED KUTTY M.M.</t>
  </si>
  <si>
    <t xml:space="preserve">0507547692</t>
  </si>
  <si>
    <t xml:space="preserve">pkmaniampara@gmail.com</t>
  </si>
  <si>
    <t xml:space="preserve">FLAT-3D, ASSET SILVERSTREAK,OLD CHOWARA,, FERRY ROAD, THOTTUMUGHAM P.O, ALUVA, KERALA</t>
  </si>
  <si>
    <t xml:space="preserve">SHOBHANA KUMARI RAJASEKHARAN</t>
  </si>
  <si>
    <t xml:space="preserve">0504739800</t>
  </si>
  <si>
    <t xml:space="preserve">9744084688</t>
  </si>
  <si>
    <t xml:space="preserve">KIZHAKKEKARATHOTTY, W-VI/383,, PALLIKKERE P.O., KASARAGOD, KERALA</t>
  </si>
  <si>
    <t xml:space="preserve">Phone Call</t>
  </si>
  <si>
    <t xml:space="preserve">WhatsApp</t>
  </si>
  <si>
    <t xml:space="preserve">Volunteer 1</t>
  </si>
  <si>
    <t xml:space="preserve">In Person</t>
  </si>
  <si>
    <t xml:space="preserve">Volunteer 2</t>
  </si>
  <si>
    <t xml:space="preserve">Volunteer 3</t>
  </si>
  <si>
    <t xml:space="preserve">Through Referral</t>
  </si>
  <si>
    <t xml:space="preserve">Volunteer 4</t>
  </si>
  <si>
    <t xml:space="preserve">Volunteer 5</t>
  </si>
  <si>
    <t xml:space="preserve">Volunteer 6</t>
  </si>
  <si>
    <t xml:space="preserve">Volunteer 7</t>
  </si>
  <si>
    <t xml:space="preserve">Volunteer 8</t>
  </si>
  <si>
    <t xml:space="preserve">Rename "Volunteer 1…12" in column C to your actual callers — the drop-down and the Team sheet follow automatically.</t>
  </si>
  <si>
    <t xml:space="preserve">Volunteer 9</t>
  </si>
  <si>
    <t xml:space="preserve">Volunteer 10</t>
  </si>
  <si>
    <t xml:space="preserve">Volunteer 11</t>
  </si>
  <si>
    <t xml:space="preserve">Volunteer 12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</si>
</sst>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General"/>
    <numFmt numFmtId="168" formatCode="dd/mm/yyyy"/>
    <numFmt numFmtId="169" formatCode="@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44546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22"/>
      <color rgb="FF44546A"/>
      <name val="Arial"/>
      <family val="0"/>
      <charset val="1"/>
    </font>
    <font>
      <b val="true"/>
      <sz val="22"/>
      <color rgb="FF2E5C8A"/>
      <name val="Arial"/>
      <family val="0"/>
      <charset val="1"/>
    </font>
    <font>
      <b val="true"/>
      <sz val="22"/>
      <color rgb="FF2E7D4F"/>
      <name val="Arial"/>
      <family val="0"/>
      <charset val="1"/>
    </font>
    <font>
      <b val="true"/>
      <sz val="22"/>
      <color rgb="FFBF8F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44546A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BF9000"/>
      <name val="Arial"/>
      <family val="0"/>
      <charset val="1"/>
    </font>
    <font>
      <sz val="9"/>
      <color rgb="FF44546A"/>
      <name val="Arial"/>
      <family val="0"/>
      <charset val="1"/>
    </font>
    <font>
      <sz val="9"/>
      <color rgb="FFBF9000"/>
      <name val="Arial"/>
      <family val="0"/>
      <charset val="1"/>
    </font>
    <font>
      <sz val="8.5"/>
      <color rgb="FF44546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44546A"/>
        <bgColor rgb="FF2E5C8A"/>
      </patternFill>
    </fill>
    <fill>
      <patternFill patternType="solid">
        <fgColor rgb="FF2E5C8A"/>
        <bgColor rgb="FF1F4E79"/>
      </patternFill>
    </fill>
    <fill>
      <patternFill patternType="solid">
        <fgColor rgb="FF2E7D4F"/>
        <bgColor rgb="FF008080"/>
      </patternFill>
    </fill>
    <fill>
      <patternFill patternType="solid">
        <fgColor rgb="FFBF8F00"/>
        <bgColor rgb="FFBF9000"/>
      </patternFill>
    </fill>
    <fill>
      <patternFill patternType="solid">
        <fgColor rgb="FFF2F2F2"/>
        <bgColor rgb="FFDDEBF7"/>
      </patternFill>
    </fill>
    <fill>
      <patternFill patternType="solid">
        <fgColor rgb="FFBF9000"/>
        <bgColor rgb="FFBF8F00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4454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BF9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1F4E79"/>
        <sz val="9"/>
      </font>
      <fill>
        <patternFill>
          <bgColor rgb="FFDDEBF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4F81BD"/>
      <rgbColor rgb="FFBFBFBF"/>
      <rgbColor rgb="FF878787"/>
      <rgbColor rgb="FF93A9CE"/>
      <rgbColor rgb="FFAB4744"/>
      <rgbColor rgb="FFFFF2CC"/>
      <rgbColor rgb="FFDDEBF7"/>
      <rgbColor rgb="FF660066"/>
      <rgbColor rgb="FFDC853E"/>
      <rgbColor rgb="FF2E5C8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4672A8"/>
      <rgbColor rgb="FF4299B0"/>
      <rgbColor rgb="FF99CC00"/>
      <rgbColor rgb="FFFFCC00"/>
      <rgbColor rgb="FFBF9000"/>
      <rgbColor rgb="FFBF8F00"/>
      <rgbColor rgb="FF725990"/>
      <rgbColor rgb="FF8AA64F"/>
      <rgbColor rgb="FF1F3864"/>
      <rgbColor rgb="FF2E7D4F"/>
      <rgbColor rgb="FF003300"/>
      <rgbColor rgb="FF333300"/>
      <rgbColor rgb="FF993300"/>
      <rgbColor rgb="FF993366"/>
      <rgbColor rgb="FF1F4E79"/>
      <rgbColor rgb="FF4454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Response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Dashboard!C10</c:f>
              <c:strCache>
                <c:ptCount val="1"/>
                <c:pt idx="0">
                  <c:v>Members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Dashboard!$B$11:$B$17</c:f>
              <c:strCache>
                <c:ptCount val="7"/>
                <c:pt idx="0">
                  <c:v>Not Contacted</c:v>
                </c:pt>
                <c:pt idx="1">
                  <c:v>Positive</c:v>
                </c:pt>
                <c:pt idx="2">
                  <c:v>To Be Followed Up</c:v>
                </c:pt>
                <c:pt idx="3">
                  <c:v>Undecided</c:v>
                </c:pt>
                <c:pt idx="4">
                  <c:v>Negative</c:v>
                </c:pt>
                <c:pt idx="5">
                  <c:v>Unreachable</c:v>
                </c:pt>
                <c:pt idx="6">
                  <c:v>Not Eligible / Inactive</c:v>
                </c:pt>
              </c:strCache>
            </c:strRef>
          </c:cat>
          <c:val>
            <c:numRef>
              <c:f>Dashboard!$C$11:$C$17</c:f>
              <c:numCache>
                <c:formatCode>General</c:formatCode>
                <c:ptCount val="7"/>
                <c:pt idx="0">
                  <c:v>1873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Positive responses by district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Dashboard!E22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Dashboard!$B$23:$B$38</c:f>
              <c:strCache>
                <c:ptCount val="16"/>
                <c:pt idx="0">
                  <c:v>Alappuzha</c:v>
                </c:pt>
                <c:pt idx="1">
                  <c:v>Ernakulam</c:v>
                </c:pt>
                <c:pt idx="2">
                  <c:v>Idukki</c:v>
                </c:pt>
                <c:pt idx="3">
                  <c:v>Kannur</c:v>
                </c:pt>
                <c:pt idx="4">
                  <c:v>Kasaragod</c:v>
                </c:pt>
                <c:pt idx="5">
                  <c:v>Kollam</c:v>
                </c:pt>
                <c:pt idx="6">
                  <c:v>Kottayam</c:v>
                </c:pt>
                <c:pt idx="7">
                  <c:v>Kozhikode</c:v>
                </c:pt>
                <c:pt idx="8">
                  <c:v>Malappuram</c:v>
                </c:pt>
                <c:pt idx="9">
                  <c:v>Palakkad</c:v>
                </c:pt>
                <c:pt idx="10">
                  <c:v>Pathanamthitta</c:v>
                </c:pt>
                <c:pt idx="11">
                  <c:v>Thiruvananthapuram</c:v>
                </c:pt>
                <c:pt idx="12">
                  <c:v>Thrissur</c:v>
                </c:pt>
                <c:pt idx="13">
                  <c:v>Wayanad</c:v>
                </c:pt>
                <c:pt idx="14">
                  <c:v>Outside Kerala</c:v>
                </c:pt>
                <c:pt idx="15">
                  <c:v>Unmatched — check</c:v>
                </c:pt>
              </c:strCache>
            </c:strRef>
          </c:cat>
          <c:val>
            <c:numRef>
              <c:f>Dashboard!$E$23:$E$38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150"/>
        <c:overlap val="0"/>
        <c:axId val="99841597"/>
        <c:axId val="87105997"/>
      </c:barChart>
      <c:catAx>
        <c:axId val="998415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05997"/>
        <c:crosses val="autoZero"/>
        <c:auto val="1"/>
        <c:lblAlgn val="ctr"/>
        <c:lblOffset val="100"/>
        <c:noMultiLvlLbl val="0"/>
      </c:catAx>
      <c:valAx>
        <c:axId val="871059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415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41</xdr:row>
      <xdr:rowOff>0</xdr:rowOff>
    </xdr:from>
    <xdr:to>
      <xdr:col>4</xdr:col>
      <xdr:colOff>396360</xdr:colOff>
      <xdr:row>46</xdr:row>
      <xdr:rowOff>267840</xdr:rowOff>
    </xdr:to>
    <xdr:graphicFrame>
      <xdr:nvGraphicFramePr>
        <xdr:cNvPr id="0" name="Chart 1"/>
        <xdr:cNvGraphicFramePr/>
      </xdr:nvGraphicFramePr>
      <xdr:xfrm>
        <a:off x="211320" y="8344080"/>
        <a:ext cx="37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41</xdr:row>
      <xdr:rowOff>0</xdr:rowOff>
    </xdr:from>
    <xdr:to>
      <xdr:col>11</xdr:col>
      <xdr:colOff>865800</xdr:colOff>
      <xdr:row>51</xdr:row>
      <xdr:rowOff>194400</xdr:rowOff>
    </xdr:to>
    <xdr:graphicFrame>
      <xdr:nvGraphicFramePr>
        <xdr:cNvPr id="1" name="Chart 2"/>
        <xdr:cNvGraphicFramePr/>
      </xdr:nvGraphicFramePr>
      <xdr:xfrm>
        <a:off x="5145480" y="8344080"/>
        <a:ext cx="4319640" cy="44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8" min="3" style="0" width="11"/>
    <col collapsed="false" customWidth="true" hidden="false" outlineLevel="0" max="10" min="9" style="0" width="12"/>
    <col collapsed="false" customWidth="true" hidden="false" outlineLevel="0" max="11" min="11" style="0" width="3"/>
    <col collapsed="false" customWidth="true" hidden="false" outlineLevel="0" max="12" min="12" style="0" width="20"/>
    <col collapsed="false" customWidth="true" hidden="false" outlineLevel="0" max="15" min="13" style="0" width="12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15.75" hidden="false" customHeight="true" outlineLevel="0" collapsed="false">
      <c r="B5" s="3" t="s">
        <v>2</v>
      </c>
      <c r="C5" s="3"/>
      <c r="D5" s="4" t="s">
        <v>3</v>
      </c>
      <c r="E5" s="4"/>
      <c r="F5" s="5" t="s">
        <v>4</v>
      </c>
      <c r="G5" s="5"/>
      <c r="H5" s="6" t="s">
        <v>5</v>
      </c>
      <c r="I5" s="6"/>
      <c r="L5" s="7" t="s">
        <v>6</v>
      </c>
    </row>
    <row r="6" customFormat="false" ht="39.75" hidden="false" customHeight="true" outlineLevel="0" collapsed="false">
      <c r="B6" s="8" t="n">
        <f aca="false">COUNTA(Members!$C$4:$C$1876)</f>
        <v>1873</v>
      </c>
      <c r="C6" s="8"/>
      <c r="D6" s="9" t="n">
        <f aca="false">COUNTA(Members!$O$4:$O$1876)-COUNTIF(Members!$O$4:$O$1876,"Not Contacted")</f>
        <v>0</v>
      </c>
      <c r="E6" s="9"/>
      <c r="F6" s="10" t="n">
        <f aca="false">COUNTIF(Members!$O$4:$O$1876,"Positive")</f>
        <v>0</v>
      </c>
      <c r="G6" s="10"/>
      <c r="H6" s="11" t="n">
        <f aca="false">COUNTIF(Members!$O$4:$O$1876,"To Be Followed Up")</f>
        <v>0</v>
      </c>
      <c r="I6" s="11"/>
      <c r="L6" s="12" t="s">
        <v>7</v>
      </c>
      <c r="M6" s="12" t="s">
        <v>8</v>
      </c>
      <c r="N6" s="12" t="s">
        <v>9</v>
      </c>
      <c r="O6" s="12" t="s">
        <v>10</v>
      </c>
    </row>
    <row r="7" customFormat="false" ht="15" hidden="false" customHeight="false" outlineLevel="0" collapsed="false">
      <c r="B7" s="13" t="s">
        <v>11</v>
      </c>
      <c r="C7" s="14" t="n">
        <f aca="false">IFERROR((COUNTA(Members!$O$4:$O$1876)-COUNTIF(Members!$O$4:$O$1876,"Not Contacted"))/COUNTA(Members!$O$4:$O$1876),0)</f>
        <v>0</v>
      </c>
      <c r="D7" s="13" t="s">
        <v>12</v>
      </c>
      <c r="E7" s="14" t="n">
        <f aca="false">IFERROR(COUNTIF(Members!$O$4:$O$1876,"Positive")/MAX(1,COUNTA(Members!$O$4:$O$1876)-COUNTIF(Members!$O$4:$O$1876,"Not Contacted")),0)</f>
        <v>0</v>
      </c>
      <c r="F7" s="13" t="s">
        <v>13</v>
      </c>
      <c r="G7" s="15" t="n">
        <f aca="false">COUNTIF(Members!$O$4:$O$1876,"Negative")</f>
        <v>0</v>
      </c>
      <c r="H7" s="13" t="s">
        <v>14</v>
      </c>
      <c r="I7" s="15" t="n">
        <f aca="false">COUNTIF(Members!$O$4:$O$1876,"Not Contacted")</f>
        <v>1873</v>
      </c>
      <c r="L7" s="16" t="s">
        <v>15</v>
      </c>
      <c r="M7" s="17" t="n">
        <f aca="false">COUNTIF(Members!$J$4:$J$1876,$L7)</f>
        <v>979</v>
      </c>
      <c r="N7" s="17" t="n">
        <f aca="false">M7-COUNTIFS(Members!$J$4:$J$1876,$L7,Members!$O$4:$O$1876,"Not Contacted")</f>
        <v>0</v>
      </c>
      <c r="O7" s="17" t="n">
        <f aca="false">COUNTIFS(Members!$J$4:$J$1876,$L7,Members!$O$4:$O$1876,"Positive")</f>
        <v>0</v>
      </c>
    </row>
    <row r="8" customFormat="false" ht="15" hidden="false" customHeight="false" outlineLevel="0" collapsed="false">
      <c r="L8" s="16" t="s">
        <v>16</v>
      </c>
      <c r="M8" s="17" t="n">
        <f aca="false">COUNTIF(Members!$J$4:$J$1876,$L8)</f>
        <v>532</v>
      </c>
      <c r="N8" s="17" t="n">
        <f aca="false">M8-COUNTIFS(Members!$J$4:$J$1876,$L8,Members!$O$4:$O$1876,"Not Contacted")</f>
        <v>0</v>
      </c>
      <c r="O8" s="17" t="n">
        <f aca="false">COUNTIFS(Members!$J$4:$J$1876,$L8,Members!$O$4:$O$1876,"Positive")</f>
        <v>0</v>
      </c>
    </row>
    <row r="9" customFormat="false" ht="15" hidden="false" customHeight="false" outlineLevel="0" collapsed="false">
      <c r="B9" s="7" t="s">
        <v>17</v>
      </c>
      <c r="L9" s="16" t="s">
        <v>18</v>
      </c>
      <c r="M9" s="17" t="n">
        <f aca="false">COUNTIF(Members!$J$4:$J$1876,$L9)</f>
        <v>128</v>
      </c>
      <c r="N9" s="17" t="n">
        <f aca="false">M9-COUNTIFS(Members!$J$4:$J$1876,$L9,Members!$O$4:$O$1876,"Not Contacted")</f>
        <v>0</v>
      </c>
      <c r="O9" s="17" t="n">
        <f aca="false">COUNTIFS(Members!$J$4:$J$1876,$L9,Members!$O$4:$O$1876,"Positive")</f>
        <v>0</v>
      </c>
    </row>
    <row r="10" customFormat="false" ht="15" hidden="false" customHeight="false" outlineLevel="0" collapsed="false">
      <c r="B10" s="12" t="s">
        <v>19</v>
      </c>
      <c r="C10" s="12" t="s">
        <v>8</v>
      </c>
      <c r="D10" s="12" t="s">
        <v>20</v>
      </c>
      <c r="E10" s="12" t="s">
        <v>21</v>
      </c>
      <c r="F10" s="12"/>
      <c r="G10" s="12"/>
      <c r="L10" s="16" t="s">
        <v>22</v>
      </c>
      <c r="M10" s="17" t="n">
        <f aca="false">COUNTIF(Members!$J$4:$J$1876,$L10)</f>
        <v>25</v>
      </c>
      <c r="N10" s="17" t="n">
        <f aca="false">M10-COUNTIFS(Members!$J$4:$J$1876,$L10,Members!$O$4:$O$1876,"Not Contacted")</f>
        <v>0</v>
      </c>
      <c r="O10" s="17" t="n">
        <f aca="false">COUNTIFS(Members!$J$4:$J$1876,$L10,Members!$O$4:$O$1876,"Positive")</f>
        <v>0</v>
      </c>
    </row>
    <row r="11" customFormat="false" ht="15" hidden="false" customHeight="false" outlineLevel="0" collapsed="false">
      <c r="B11" s="16" t="s">
        <v>23</v>
      </c>
      <c r="C11" s="18" t="n">
        <f aca="false">COUNTIF(Members!$O$4:$O$1876,B11)</f>
        <v>1873</v>
      </c>
      <c r="D11" s="19" t="n">
        <f aca="false">IFERROR(C11/$B$6,0)</f>
        <v>1</v>
      </c>
      <c r="E11" s="20" t="n">
        <f aca="false">C11</f>
        <v>1873</v>
      </c>
      <c r="F11" s="20"/>
      <c r="G11" s="20"/>
      <c r="L11" s="16" t="s">
        <v>24</v>
      </c>
      <c r="M11" s="17" t="n">
        <f aca="false">COUNTIF(Members!$J$4:$J$1876,$L11)</f>
        <v>15</v>
      </c>
      <c r="N11" s="17" t="n">
        <f aca="false">M11-COUNTIFS(Members!$J$4:$J$1876,$L11,Members!$O$4:$O$1876,"Not Contacted")</f>
        <v>0</v>
      </c>
      <c r="O11" s="17" t="n">
        <f aca="false">COUNTIFS(Members!$J$4:$J$1876,$L11,Members!$O$4:$O$1876,"Positive")</f>
        <v>0</v>
      </c>
    </row>
    <row r="12" customFormat="false" ht="15" hidden="false" customHeight="false" outlineLevel="0" collapsed="false">
      <c r="B12" s="16" t="s">
        <v>10</v>
      </c>
      <c r="C12" s="18" t="n">
        <f aca="false">COUNTIF(Members!$O$4:$O$1876,B12)</f>
        <v>0</v>
      </c>
      <c r="D12" s="19" t="n">
        <f aca="false">IFERROR(C12/$B$6,0)</f>
        <v>0</v>
      </c>
      <c r="E12" s="20" t="n">
        <f aca="false">C12</f>
        <v>0</v>
      </c>
      <c r="F12" s="20"/>
      <c r="G12" s="20"/>
      <c r="L12" s="16" t="s">
        <v>25</v>
      </c>
      <c r="M12" s="17" t="n">
        <f aca="false">COUNTIF(Members!$J$4:$J$1876,$L12)</f>
        <v>10</v>
      </c>
      <c r="N12" s="17" t="n">
        <f aca="false">M12-COUNTIFS(Members!$J$4:$J$1876,$L12,Members!$O$4:$O$1876,"Not Contacted")</f>
        <v>0</v>
      </c>
      <c r="O12" s="17" t="n">
        <f aca="false">COUNTIFS(Members!$J$4:$J$1876,$L12,Members!$O$4:$O$1876,"Positive")</f>
        <v>0</v>
      </c>
    </row>
    <row r="13" customFormat="false" ht="15" hidden="false" customHeight="false" outlineLevel="0" collapsed="false">
      <c r="B13" s="16" t="s">
        <v>26</v>
      </c>
      <c r="C13" s="18" t="n">
        <f aca="false">COUNTIF(Members!$O$4:$O$1876,B13)</f>
        <v>0</v>
      </c>
      <c r="D13" s="19" t="n">
        <f aca="false">IFERROR(C13/$B$6,0)</f>
        <v>0</v>
      </c>
      <c r="E13" s="20" t="n">
        <f aca="false">C13</f>
        <v>0</v>
      </c>
      <c r="F13" s="20"/>
      <c r="G13" s="20"/>
      <c r="L13" s="16" t="s">
        <v>27</v>
      </c>
      <c r="M13" s="17" t="n">
        <f aca="false">COUNTIF(Members!$J$4:$J$1876,$L13)</f>
        <v>4</v>
      </c>
      <c r="N13" s="17" t="n">
        <f aca="false">M13-COUNTIFS(Members!$J$4:$J$1876,$L13,Members!$O$4:$O$1876,"Not Contacted")</f>
        <v>0</v>
      </c>
      <c r="O13" s="17" t="n">
        <f aca="false">COUNTIFS(Members!$J$4:$J$1876,$L13,Members!$O$4:$O$1876,"Positive")</f>
        <v>0</v>
      </c>
    </row>
    <row r="14" customFormat="false" ht="15" hidden="false" customHeight="false" outlineLevel="0" collapsed="false">
      <c r="B14" s="16" t="s">
        <v>28</v>
      </c>
      <c r="C14" s="18" t="n">
        <f aca="false">COUNTIF(Members!$O$4:$O$1876,B14)</f>
        <v>0</v>
      </c>
      <c r="D14" s="19" t="n">
        <f aca="false">IFERROR(C14/$B$6,0)</f>
        <v>0</v>
      </c>
      <c r="E14" s="20" t="n">
        <f aca="false">C14</f>
        <v>0</v>
      </c>
      <c r="F14" s="20"/>
      <c r="G14" s="20"/>
      <c r="L14" s="21" t="s">
        <v>29</v>
      </c>
      <c r="M14" s="22" t="n">
        <f aca="false">$B$6-SUM(M7:M13)</f>
        <v>180</v>
      </c>
      <c r="N14" s="22"/>
      <c r="O14" s="22"/>
    </row>
    <row r="15" customFormat="false" ht="15" hidden="false" customHeight="false" outlineLevel="0" collapsed="false">
      <c r="B15" s="16" t="s">
        <v>13</v>
      </c>
      <c r="C15" s="18" t="n">
        <f aca="false">COUNTIF(Members!$O$4:$O$1876,B15)</f>
        <v>0</v>
      </c>
      <c r="D15" s="19" t="n">
        <f aca="false">IFERROR(C15/$B$6,0)</f>
        <v>0</v>
      </c>
      <c r="E15" s="20" t="n">
        <f aca="false">C15</f>
        <v>0</v>
      </c>
      <c r="F15" s="20"/>
      <c r="G15" s="20"/>
    </row>
    <row r="16" customFormat="false" ht="15" hidden="false" customHeight="false" outlineLevel="0" collapsed="false">
      <c r="B16" s="16" t="s">
        <v>30</v>
      </c>
      <c r="C16" s="18" t="n">
        <f aca="false">COUNTIF(Members!$O$4:$O$1876,B16)</f>
        <v>0</v>
      </c>
      <c r="D16" s="19" t="n">
        <f aca="false">IFERROR(C16/$B$6,0)</f>
        <v>0</v>
      </c>
      <c r="E16" s="20" t="n">
        <f aca="false">C16</f>
        <v>0</v>
      </c>
      <c r="F16" s="20"/>
      <c r="G16" s="20"/>
      <c r="L16" s="7" t="s">
        <v>31</v>
      </c>
    </row>
    <row r="17" customFormat="false" ht="15" hidden="false" customHeight="false" outlineLevel="0" collapsed="false">
      <c r="B17" s="16" t="s">
        <v>32</v>
      </c>
      <c r="C17" s="18" t="n">
        <f aca="false">COUNTIF(Members!$O$4:$O$1876,B17)</f>
        <v>0</v>
      </c>
      <c r="D17" s="19" t="n">
        <f aca="false">IFERROR(C17/$B$6,0)</f>
        <v>0</v>
      </c>
      <c r="E17" s="20" t="n">
        <f aca="false">C17</f>
        <v>0</v>
      </c>
      <c r="F17" s="20"/>
      <c r="G17" s="20"/>
      <c r="L17" s="12" t="s">
        <v>33</v>
      </c>
      <c r="M17" s="12" t="s">
        <v>34</v>
      </c>
      <c r="N17" s="12" t="s">
        <v>35</v>
      </c>
      <c r="O17" s="12" t="s">
        <v>10</v>
      </c>
    </row>
    <row r="18" customFormat="false" ht="15" hidden="false" customHeight="false" outlineLevel="0" collapsed="false">
      <c r="B18" s="23" t="s">
        <v>36</v>
      </c>
      <c r="C18" s="23" t="n">
        <f aca="false">SUM(C11:C17)</f>
        <v>1873</v>
      </c>
      <c r="D18" s="24" t="n">
        <f aca="false">IFERROR(C18/$B$6,0)</f>
        <v>1</v>
      </c>
      <c r="L18" s="16" t="str">
        <f aca="false">Lists!C2</f>
        <v>Unassigned</v>
      </c>
      <c r="M18" s="17" t="n">
        <f aca="false">COUNTIF(Members!$P$4:$P$1876,$L18)</f>
        <v>1873</v>
      </c>
      <c r="N18" s="17" t="n">
        <f aca="false">M18-COUNTIFS(Members!$P$4:$P$1876,$L18,Members!$O$4:$O$1876,"Not Contacted")</f>
        <v>0</v>
      </c>
      <c r="O18" s="17" t="n">
        <f aca="false">COUNTIFS(Members!$P$4:$P$1876,$L18,Members!$O$4:$O$1876,"Positive")</f>
        <v>0</v>
      </c>
    </row>
    <row r="19" customFormat="false" ht="15" hidden="false" customHeight="false" outlineLevel="0" collapsed="false">
      <c r="L19" s="16" t="str">
        <f aca="false">Lists!C3</f>
        <v>Volunteer 1</v>
      </c>
      <c r="M19" s="17" t="n">
        <f aca="false">COUNTIF(Members!$P$4:$P$1876,$L19)</f>
        <v>0</v>
      </c>
      <c r="N19" s="17" t="n">
        <f aca="false">M19-COUNTIFS(Members!$P$4:$P$1876,$L19,Members!$O$4:$O$1876,"Not Contacted")</f>
        <v>0</v>
      </c>
      <c r="O19" s="17" t="n">
        <f aca="false">COUNTIFS(Members!$P$4:$P$1876,$L19,Members!$O$4:$O$1876,"Positive")</f>
        <v>0</v>
      </c>
    </row>
    <row r="20" customFormat="false" ht="15" hidden="false" customHeight="false" outlineLevel="0" collapsed="false">
      <c r="L20" s="16" t="str">
        <f aca="false">Lists!C4</f>
        <v>Volunteer 2</v>
      </c>
      <c r="M20" s="17" t="n">
        <f aca="false">COUNTIF(Members!$P$4:$P$1876,$L20)</f>
        <v>0</v>
      </c>
      <c r="N20" s="17" t="n">
        <f aca="false">M20-COUNTIFS(Members!$P$4:$P$1876,$L20,Members!$O$4:$O$1876,"Not Contacted")</f>
        <v>0</v>
      </c>
      <c r="O20" s="17" t="n">
        <f aca="false">COUNTIFS(Members!$P$4:$P$1876,$L20,Members!$O$4:$O$1876,"Positive")</f>
        <v>0</v>
      </c>
    </row>
    <row r="21" customFormat="false" ht="15" hidden="false" customHeight="false" outlineLevel="0" collapsed="false">
      <c r="B21" s="7" t="s">
        <v>37</v>
      </c>
      <c r="L21" s="16" t="str">
        <f aca="false">Lists!C5</f>
        <v>Volunteer 3</v>
      </c>
      <c r="M21" s="17" t="n">
        <f aca="false">COUNTIF(Members!$P$4:$P$1876,$L21)</f>
        <v>0</v>
      </c>
      <c r="N21" s="17" t="n">
        <f aca="false">M21-COUNTIFS(Members!$P$4:$P$1876,$L21,Members!$O$4:$O$1876,"Not Contacted")</f>
        <v>0</v>
      </c>
      <c r="O21" s="17" t="n">
        <f aca="false">COUNTIFS(Members!$P$4:$P$1876,$L21,Members!$O$4:$O$1876,"Positive")</f>
        <v>0</v>
      </c>
    </row>
    <row r="22" customFormat="false" ht="15" hidden="false" customHeight="false" outlineLevel="0" collapsed="false">
      <c r="B22" s="25" t="s">
        <v>38</v>
      </c>
      <c r="C22" s="25" t="s">
        <v>8</v>
      </c>
      <c r="D22" s="25" t="s">
        <v>9</v>
      </c>
      <c r="E22" s="25" t="s">
        <v>10</v>
      </c>
      <c r="F22" s="25" t="s">
        <v>39</v>
      </c>
      <c r="G22" s="25" t="s">
        <v>13</v>
      </c>
      <c r="H22" s="25" t="s">
        <v>40</v>
      </c>
      <c r="I22" s="25" t="s">
        <v>41</v>
      </c>
      <c r="J22" s="25" t="s">
        <v>42</v>
      </c>
      <c r="L22" s="16" t="str">
        <f aca="false">Lists!C6</f>
        <v>Volunteer 4</v>
      </c>
      <c r="M22" s="17" t="n">
        <f aca="false">COUNTIF(Members!$P$4:$P$1876,$L22)</f>
        <v>0</v>
      </c>
      <c r="N22" s="17" t="n">
        <f aca="false">M22-COUNTIFS(Members!$P$4:$P$1876,$L22,Members!$O$4:$O$1876,"Not Contacted")</f>
        <v>0</v>
      </c>
      <c r="O22" s="17" t="n">
        <f aca="false">COUNTIFS(Members!$P$4:$P$1876,$L22,Members!$O$4:$O$1876,"Positive")</f>
        <v>0</v>
      </c>
    </row>
    <row r="23" customFormat="false" ht="15" hidden="false" customHeight="false" outlineLevel="0" collapsed="false">
      <c r="B23" s="16" t="s">
        <v>43</v>
      </c>
      <c r="C23" s="17" t="n">
        <f aca="false">COUNTIF(Members!$L$4:$L$1876,$B23)</f>
        <v>110</v>
      </c>
      <c r="D23" s="17" t="n">
        <f aca="false">C23-H23</f>
        <v>0</v>
      </c>
      <c r="E23" s="17" t="n">
        <f aca="false">COUNTIFS(Members!$L$4:$L$1876,$B23,Members!$O$4:$O$1876,"Positive")</f>
        <v>0</v>
      </c>
      <c r="F23" s="17" t="n">
        <f aca="false">COUNTIFS(Members!$L$4:$L$1876,$B23,Members!$O$4:$O$1876,"To Be Followed Up")</f>
        <v>0</v>
      </c>
      <c r="G23" s="17" t="n">
        <f aca="false">COUNTIFS(Members!$L$4:$L$1876,$B23,Members!$O$4:$O$1876,"Negative")</f>
        <v>0</v>
      </c>
      <c r="H23" s="17" t="n">
        <f aca="false">COUNTIFS(Members!$L$4:$L$1876,$B23,Members!$O$4:$O$1876,"Not Contacted")</f>
        <v>110</v>
      </c>
      <c r="I23" s="19" t="n">
        <f aca="false">IFERROR(D23/C23,0)</f>
        <v>0</v>
      </c>
      <c r="J23" s="19" t="n">
        <f aca="false">IFERROR(E23/MAX(1,D23),0)</f>
        <v>0</v>
      </c>
      <c r="L23" s="16" t="str">
        <f aca="false">Lists!C7</f>
        <v>Volunteer 5</v>
      </c>
      <c r="M23" s="17" t="n">
        <f aca="false">COUNTIF(Members!$P$4:$P$1876,$L23)</f>
        <v>0</v>
      </c>
      <c r="N23" s="17" t="n">
        <f aca="false">M23-COUNTIFS(Members!$P$4:$P$1876,$L23,Members!$O$4:$O$1876,"Not Contacted")</f>
        <v>0</v>
      </c>
      <c r="O23" s="17" t="n">
        <f aca="false">COUNTIFS(Members!$P$4:$P$1876,$L23,Members!$O$4:$O$1876,"Positive")</f>
        <v>0</v>
      </c>
    </row>
    <row r="24" customFormat="false" ht="15" hidden="false" customHeight="false" outlineLevel="0" collapsed="false">
      <c r="B24" s="16" t="s">
        <v>44</v>
      </c>
      <c r="C24" s="17" t="n">
        <f aca="false">COUNTIF(Members!$L$4:$L$1876,$B24)</f>
        <v>64</v>
      </c>
      <c r="D24" s="17" t="n">
        <f aca="false">C24-H24</f>
        <v>0</v>
      </c>
      <c r="E24" s="17" t="n">
        <f aca="false">COUNTIFS(Members!$L$4:$L$1876,$B24,Members!$O$4:$O$1876,"Positive")</f>
        <v>0</v>
      </c>
      <c r="F24" s="17" t="n">
        <f aca="false">COUNTIFS(Members!$L$4:$L$1876,$B24,Members!$O$4:$O$1876,"To Be Followed Up")</f>
        <v>0</v>
      </c>
      <c r="G24" s="17" t="n">
        <f aca="false">COUNTIFS(Members!$L$4:$L$1876,$B24,Members!$O$4:$O$1876,"Negative")</f>
        <v>0</v>
      </c>
      <c r="H24" s="17" t="n">
        <f aca="false">COUNTIFS(Members!$L$4:$L$1876,$B24,Members!$O$4:$O$1876,"Not Contacted")</f>
        <v>64</v>
      </c>
      <c r="I24" s="19" t="n">
        <f aca="false">IFERROR(D24/C24,0)</f>
        <v>0</v>
      </c>
      <c r="J24" s="19" t="n">
        <f aca="false">IFERROR(E24/MAX(1,D24),0)</f>
        <v>0</v>
      </c>
      <c r="L24" s="16" t="str">
        <f aca="false">Lists!C8</f>
        <v>Volunteer 6</v>
      </c>
      <c r="M24" s="17" t="n">
        <f aca="false">COUNTIF(Members!$P$4:$P$1876,$L24)</f>
        <v>0</v>
      </c>
      <c r="N24" s="17" t="n">
        <f aca="false">M24-COUNTIFS(Members!$P$4:$P$1876,$L24,Members!$O$4:$O$1876,"Not Contacted")</f>
        <v>0</v>
      </c>
      <c r="O24" s="17" t="n">
        <f aca="false">COUNTIFS(Members!$P$4:$P$1876,$L24,Members!$O$4:$O$1876,"Positive")</f>
        <v>0</v>
      </c>
    </row>
    <row r="25" customFormat="false" ht="15" hidden="false" customHeight="false" outlineLevel="0" collapsed="false">
      <c r="B25" s="16" t="s">
        <v>45</v>
      </c>
      <c r="C25" s="17" t="n">
        <f aca="false">COUNTIF(Members!$L$4:$L$1876,$B25)</f>
        <v>4</v>
      </c>
      <c r="D25" s="17" t="n">
        <f aca="false">C25-H25</f>
        <v>0</v>
      </c>
      <c r="E25" s="17" t="n">
        <f aca="false">COUNTIFS(Members!$L$4:$L$1876,$B25,Members!$O$4:$O$1876,"Positive")</f>
        <v>0</v>
      </c>
      <c r="F25" s="17" t="n">
        <f aca="false">COUNTIFS(Members!$L$4:$L$1876,$B25,Members!$O$4:$O$1876,"To Be Followed Up")</f>
        <v>0</v>
      </c>
      <c r="G25" s="17" t="n">
        <f aca="false">COUNTIFS(Members!$L$4:$L$1876,$B25,Members!$O$4:$O$1876,"Negative")</f>
        <v>0</v>
      </c>
      <c r="H25" s="17" t="n">
        <f aca="false">COUNTIFS(Members!$L$4:$L$1876,$B25,Members!$O$4:$O$1876,"Not Contacted")</f>
        <v>4</v>
      </c>
      <c r="I25" s="19" t="n">
        <f aca="false">IFERROR(D25/C25,0)</f>
        <v>0</v>
      </c>
      <c r="J25" s="19" t="n">
        <f aca="false">IFERROR(E25/MAX(1,D25),0)</f>
        <v>0</v>
      </c>
      <c r="L25" s="16" t="str">
        <f aca="false">Lists!C9</f>
        <v>Volunteer 7</v>
      </c>
      <c r="M25" s="17" t="n">
        <f aca="false">COUNTIF(Members!$P$4:$P$1876,$L25)</f>
        <v>0</v>
      </c>
      <c r="N25" s="17" t="n">
        <f aca="false">M25-COUNTIFS(Members!$P$4:$P$1876,$L25,Members!$O$4:$O$1876,"Not Contacted")</f>
        <v>0</v>
      </c>
      <c r="O25" s="17" t="n">
        <f aca="false">COUNTIFS(Members!$P$4:$P$1876,$L25,Members!$O$4:$O$1876,"Positive")</f>
        <v>0</v>
      </c>
    </row>
    <row r="26" customFormat="false" ht="15" hidden="false" customHeight="false" outlineLevel="0" collapsed="false">
      <c r="B26" s="16" t="s">
        <v>46</v>
      </c>
      <c r="C26" s="17" t="n">
        <f aca="false">COUNTIF(Members!$L$4:$L$1876,$B26)</f>
        <v>191</v>
      </c>
      <c r="D26" s="17" t="n">
        <f aca="false">C26-H26</f>
        <v>0</v>
      </c>
      <c r="E26" s="17" t="n">
        <f aca="false">COUNTIFS(Members!$L$4:$L$1876,$B26,Members!$O$4:$O$1876,"Positive")</f>
        <v>0</v>
      </c>
      <c r="F26" s="17" t="n">
        <f aca="false">COUNTIFS(Members!$L$4:$L$1876,$B26,Members!$O$4:$O$1876,"To Be Followed Up")</f>
        <v>0</v>
      </c>
      <c r="G26" s="17" t="n">
        <f aca="false">COUNTIFS(Members!$L$4:$L$1876,$B26,Members!$O$4:$O$1876,"Negative")</f>
        <v>0</v>
      </c>
      <c r="H26" s="17" t="n">
        <f aca="false">COUNTIFS(Members!$L$4:$L$1876,$B26,Members!$O$4:$O$1876,"Not Contacted")</f>
        <v>191</v>
      </c>
      <c r="I26" s="19" t="n">
        <f aca="false">IFERROR(D26/C26,0)</f>
        <v>0</v>
      </c>
      <c r="J26" s="19" t="n">
        <f aca="false">IFERROR(E26/MAX(1,D26),0)</f>
        <v>0</v>
      </c>
      <c r="L26" s="16" t="str">
        <f aca="false">Lists!C10</f>
        <v>Volunteer 8</v>
      </c>
      <c r="M26" s="17" t="n">
        <f aca="false">COUNTIF(Members!$P$4:$P$1876,$L26)</f>
        <v>0</v>
      </c>
      <c r="N26" s="17" t="n">
        <f aca="false">M26-COUNTIFS(Members!$P$4:$P$1876,$L26,Members!$O$4:$O$1876,"Not Contacted")</f>
        <v>0</v>
      </c>
      <c r="O26" s="17" t="n">
        <f aca="false">COUNTIFS(Members!$P$4:$P$1876,$L26,Members!$O$4:$O$1876,"Positive")</f>
        <v>0</v>
      </c>
    </row>
    <row r="27" customFormat="false" ht="15" hidden="false" customHeight="false" outlineLevel="0" collapsed="false">
      <c r="B27" s="16" t="s">
        <v>47</v>
      </c>
      <c r="C27" s="17" t="n">
        <f aca="false">COUNTIF(Members!$L$4:$L$1876,$B27)</f>
        <v>276</v>
      </c>
      <c r="D27" s="17" t="n">
        <f aca="false">C27-H27</f>
        <v>0</v>
      </c>
      <c r="E27" s="17" t="n">
        <f aca="false">COUNTIFS(Members!$L$4:$L$1876,$B27,Members!$O$4:$O$1876,"Positive")</f>
        <v>0</v>
      </c>
      <c r="F27" s="17" t="n">
        <f aca="false">COUNTIFS(Members!$L$4:$L$1876,$B27,Members!$O$4:$O$1876,"To Be Followed Up")</f>
        <v>0</v>
      </c>
      <c r="G27" s="17" t="n">
        <f aca="false">COUNTIFS(Members!$L$4:$L$1876,$B27,Members!$O$4:$O$1876,"Negative")</f>
        <v>0</v>
      </c>
      <c r="H27" s="17" t="n">
        <f aca="false">COUNTIFS(Members!$L$4:$L$1876,$B27,Members!$O$4:$O$1876,"Not Contacted")</f>
        <v>276</v>
      </c>
      <c r="I27" s="19" t="n">
        <f aca="false">IFERROR(D27/C27,0)</f>
        <v>0</v>
      </c>
      <c r="J27" s="19" t="n">
        <f aca="false">IFERROR(E27/MAX(1,D27),0)</f>
        <v>0</v>
      </c>
      <c r="L27" s="16" t="str">
        <f aca="false">Lists!C11</f>
        <v>Volunteer 9</v>
      </c>
      <c r="M27" s="17" t="n">
        <f aca="false">COUNTIF(Members!$P$4:$P$1876,$L27)</f>
        <v>0</v>
      </c>
      <c r="N27" s="17" t="n">
        <f aca="false">M27-COUNTIFS(Members!$P$4:$P$1876,$L27,Members!$O$4:$O$1876,"Not Contacted")</f>
        <v>0</v>
      </c>
      <c r="O27" s="17" t="n">
        <f aca="false">COUNTIFS(Members!$P$4:$P$1876,$L27,Members!$O$4:$O$1876,"Positive")</f>
        <v>0</v>
      </c>
    </row>
    <row r="28" customFormat="false" ht="15" hidden="false" customHeight="false" outlineLevel="0" collapsed="false">
      <c r="B28" s="16" t="s">
        <v>48</v>
      </c>
      <c r="C28" s="17" t="n">
        <f aca="false">COUNTIF(Members!$L$4:$L$1876,$B28)</f>
        <v>137</v>
      </c>
      <c r="D28" s="17" t="n">
        <f aca="false">C28-H28</f>
        <v>0</v>
      </c>
      <c r="E28" s="17" t="n">
        <f aca="false">COUNTIFS(Members!$L$4:$L$1876,$B28,Members!$O$4:$O$1876,"Positive")</f>
        <v>0</v>
      </c>
      <c r="F28" s="17" t="n">
        <f aca="false">COUNTIFS(Members!$L$4:$L$1876,$B28,Members!$O$4:$O$1876,"To Be Followed Up")</f>
        <v>0</v>
      </c>
      <c r="G28" s="17" t="n">
        <f aca="false">COUNTIFS(Members!$L$4:$L$1876,$B28,Members!$O$4:$O$1876,"Negative")</f>
        <v>0</v>
      </c>
      <c r="H28" s="17" t="n">
        <f aca="false">COUNTIFS(Members!$L$4:$L$1876,$B28,Members!$O$4:$O$1876,"Not Contacted")</f>
        <v>137</v>
      </c>
      <c r="I28" s="19" t="n">
        <f aca="false">IFERROR(D28/C28,0)</f>
        <v>0</v>
      </c>
      <c r="J28" s="19" t="n">
        <f aca="false">IFERROR(E28/MAX(1,D28),0)</f>
        <v>0</v>
      </c>
      <c r="L28" s="16" t="str">
        <f aca="false">Lists!C12</f>
        <v>Volunteer 10</v>
      </c>
      <c r="M28" s="17" t="n">
        <f aca="false">COUNTIF(Members!$P$4:$P$1876,$L28)</f>
        <v>0</v>
      </c>
      <c r="N28" s="17" t="n">
        <f aca="false">M28-COUNTIFS(Members!$P$4:$P$1876,$L28,Members!$O$4:$O$1876,"Not Contacted")</f>
        <v>0</v>
      </c>
      <c r="O28" s="17" t="n">
        <f aca="false">COUNTIFS(Members!$P$4:$P$1876,$L28,Members!$O$4:$O$1876,"Positive")</f>
        <v>0</v>
      </c>
    </row>
    <row r="29" customFormat="false" ht="15" hidden="false" customHeight="false" outlineLevel="0" collapsed="false">
      <c r="B29" s="16" t="s">
        <v>49</v>
      </c>
      <c r="C29" s="17" t="n">
        <f aca="false">COUNTIF(Members!$L$4:$L$1876,$B29)</f>
        <v>44</v>
      </c>
      <c r="D29" s="17" t="n">
        <f aca="false">C29-H29</f>
        <v>0</v>
      </c>
      <c r="E29" s="17" t="n">
        <f aca="false">COUNTIFS(Members!$L$4:$L$1876,$B29,Members!$O$4:$O$1876,"Positive")</f>
        <v>0</v>
      </c>
      <c r="F29" s="17" t="n">
        <f aca="false">COUNTIFS(Members!$L$4:$L$1876,$B29,Members!$O$4:$O$1876,"To Be Followed Up")</f>
        <v>0</v>
      </c>
      <c r="G29" s="17" t="n">
        <f aca="false">COUNTIFS(Members!$L$4:$L$1876,$B29,Members!$O$4:$O$1876,"Negative")</f>
        <v>0</v>
      </c>
      <c r="H29" s="17" t="n">
        <f aca="false">COUNTIFS(Members!$L$4:$L$1876,$B29,Members!$O$4:$O$1876,"Not Contacted")</f>
        <v>44</v>
      </c>
      <c r="I29" s="19" t="n">
        <f aca="false">IFERROR(D29/C29,0)</f>
        <v>0</v>
      </c>
      <c r="J29" s="19" t="n">
        <f aca="false">IFERROR(E29/MAX(1,D29),0)</f>
        <v>0</v>
      </c>
      <c r="L29" s="16" t="str">
        <f aca="false">Lists!C13</f>
        <v>Volunteer 11</v>
      </c>
      <c r="M29" s="17" t="n">
        <f aca="false">COUNTIF(Members!$P$4:$P$1876,$L29)</f>
        <v>0</v>
      </c>
      <c r="N29" s="17" t="n">
        <f aca="false">M29-COUNTIFS(Members!$P$4:$P$1876,$L29,Members!$O$4:$O$1876,"Not Contacted")</f>
        <v>0</v>
      </c>
      <c r="O29" s="17" t="n">
        <f aca="false">COUNTIFS(Members!$P$4:$P$1876,$L29,Members!$O$4:$O$1876,"Positive")</f>
        <v>0</v>
      </c>
    </row>
    <row r="30" customFormat="false" ht="15" hidden="false" customHeight="false" outlineLevel="0" collapsed="false">
      <c r="B30" s="16" t="s">
        <v>50</v>
      </c>
      <c r="C30" s="17" t="n">
        <f aca="false">COUNTIF(Members!$L$4:$L$1876,$B30)</f>
        <v>87</v>
      </c>
      <c r="D30" s="17" t="n">
        <f aca="false">C30-H30</f>
        <v>0</v>
      </c>
      <c r="E30" s="17" t="n">
        <f aca="false">COUNTIFS(Members!$L$4:$L$1876,$B30,Members!$O$4:$O$1876,"Positive")</f>
        <v>0</v>
      </c>
      <c r="F30" s="17" t="n">
        <f aca="false">COUNTIFS(Members!$L$4:$L$1876,$B30,Members!$O$4:$O$1876,"To Be Followed Up")</f>
        <v>0</v>
      </c>
      <c r="G30" s="17" t="n">
        <f aca="false">COUNTIFS(Members!$L$4:$L$1876,$B30,Members!$O$4:$O$1876,"Negative")</f>
        <v>0</v>
      </c>
      <c r="H30" s="17" t="n">
        <f aca="false">COUNTIFS(Members!$L$4:$L$1876,$B30,Members!$O$4:$O$1876,"Not Contacted")</f>
        <v>87</v>
      </c>
      <c r="I30" s="19" t="n">
        <f aca="false">IFERROR(D30/C30,0)</f>
        <v>0</v>
      </c>
      <c r="J30" s="19" t="n">
        <f aca="false">IFERROR(E30/MAX(1,D30),0)</f>
        <v>0</v>
      </c>
      <c r="L30" s="16" t="str">
        <f aca="false">Lists!C14</f>
        <v>Volunteer 12</v>
      </c>
      <c r="M30" s="17" t="n">
        <f aca="false">COUNTIF(Members!$P$4:$P$1876,$L30)</f>
        <v>0</v>
      </c>
      <c r="N30" s="17" t="n">
        <f aca="false">M30-COUNTIFS(Members!$P$4:$P$1876,$L30,Members!$O$4:$O$1876,"Not Contacted")</f>
        <v>0</v>
      </c>
      <c r="O30" s="17" t="n">
        <f aca="false">COUNTIFS(Members!$P$4:$P$1876,$L30,Members!$O$4:$O$1876,"Positive")</f>
        <v>0</v>
      </c>
    </row>
    <row r="31" customFormat="false" ht="15" hidden="false" customHeight="false" outlineLevel="0" collapsed="false">
      <c r="B31" s="16" t="s">
        <v>51</v>
      </c>
      <c r="C31" s="17" t="n">
        <f aca="false">COUNTIF(Members!$L$4:$L$1876,$B31)</f>
        <v>125</v>
      </c>
      <c r="D31" s="17" t="n">
        <f aca="false">C31-H31</f>
        <v>0</v>
      </c>
      <c r="E31" s="17" t="n">
        <f aca="false">COUNTIFS(Members!$L$4:$L$1876,$B31,Members!$O$4:$O$1876,"Positive")</f>
        <v>0</v>
      </c>
      <c r="F31" s="17" t="n">
        <f aca="false">COUNTIFS(Members!$L$4:$L$1876,$B31,Members!$O$4:$O$1876,"To Be Followed Up")</f>
        <v>0</v>
      </c>
      <c r="G31" s="17" t="n">
        <f aca="false">COUNTIFS(Members!$L$4:$L$1876,$B31,Members!$O$4:$O$1876,"Negative")</f>
        <v>0</v>
      </c>
      <c r="H31" s="17" t="n">
        <f aca="false">COUNTIFS(Members!$L$4:$L$1876,$B31,Members!$O$4:$O$1876,"Not Contacted")</f>
        <v>125</v>
      </c>
      <c r="I31" s="19" t="n">
        <f aca="false">IFERROR(D31/C31,0)</f>
        <v>0</v>
      </c>
      <c r="J31" s="19" t="n">
        <f aca="false">IFERROR(E31/MAX(1,D31),0)</f>
        <v>0</v>
      </c>
    </row>
    <row r="32" customFormat="false" ht="15" hidden="false" customHeight="false" outlineLevel="0" collapsed="false">
      <c r="B32" s="16" t="s">
        <v>52</v>
      </c>
      <c r="C32" s="17" t="n">
        <f aca="false">COUNTIF(Members!$L$4:$L$1876,$B32)</f>
        <v>38</v>
      </c>
      <c r="D32" s="17" t="n">
        <f aca="false">C32-H32</f>
        <v>0</v>
      </c>
      <c r="E32" s="17" t="n">
        <f aca="false">COUNTIFS(Members!$L$4:$L$1876,$B32,Members!$O$4:$O$1876,"Positive")</f>
        <v>0</v>
      </c>
      <c r="F32" s="17" t="n">
        <f aca="false">COUNTIFS(Members!$L$4:$L$1876,$B32,Members!$O$4:$O$1876,"To Be Followed Up")</f>
        <v>0</v>
      </c>
      <c r="G32" s="17" t="n">
        <f aca="false">COUNTIFS(Members!$L$4:$L$1876,$B32,Members!$O$4:$O$1876,"Negative")</f>
        <v>0</v>
      </c>
      <c r="H32" s="17" t="n">
        <f aca="false">COUNTIFS(Members!$L$4:$L$1876,$B32,Members!$O$4:$O$1876,"Not Contacted")</f>
        <v>38</v>
      </c>
      <c r="I32" s="19" t="n">
        <f aca="false">IFERROR(D32/C32,0)</f>
        <v>0</v>
      </c>
      <c r="J32" s="19" t="n">
        <f aca="false">IFERROR(E32/MAX(1,D32),0)</f>
        <v>0</v>
      </c>
    </row>
    <row r="33" customFormat="false" ht="15" hidden="false" customHeight="false" outlineLevel="0" collapsed="false">
      <c r="B33" s="16" t="s">
        <v>53</v>
      </c>
      <c r="C33" s="17" t="n">
        <f aca="false">COUNTIF(Members!$L$4:$L$1876,$B33)</f>
        <v>165</v>
      </c>
      <c r="D33" s="17" t="n">
        <f aca="false">C33-H33</f>
        <v>0</v>
      </c>
      <c r="E33" s="17" t="n">
        <f aca="false">COUNTIFS(Members!$L$4:$L$1876,$B33,Members!$O$4:$O$1876,"Positive")</f>
        <v>0</v>
      </c>
      <c r="F33" s="17" t="n">
        <f aca="false">COUNTIFS(Members!$L$4:$L$1876,$B33,Members!$O$4:$O$1876,"To Be Followed Up")</f>
        <v>0</v>
      </c>
      <c r="G33" s="17" t="n">
        <f aca="false">COUNTIFS(Members!$L$4:$L$1876,$B33,Members!$O$4:$O$1876,"Negative")</f>
        <v>0</v>
      </c>
      <c r="H33" s="17" t="n">
        <f aca="false">COUNTIFS(Members!$L$4:$L$1876,$B33,Members!$O$4:$O$1876,"Not Contacted")</f>
        <v>165</v>
      </c>
      <c r="I33" s="19" t="n">
        <f aca="false">IFERROR(D33/C33,0)</f>
        <v>0</v>
      </c>
      <c r="J33" s="19" t="n">
        <f aca="false">IFERROR(E33/MAX(1,D33),0)</f>
        <v>0</v>
      </c>
    </row>
    <row r="34" customFormat="false" ht="15" hidden="false" customHeight="false" outlineLevel="0" collapsed="false">
      <c r="B34" s="16" t="s">
        <v>54</v>
      </c>
      <c r="C34" s="17" t="n">
        <f aca="false">COUNTIF(Members!$L$4:$L$1876,$B34)</f>
        <v>139</v>
      </c>
      <c r="D34" s="17" t="n">
        <f aca="false">C34-H34</f>
        <v>0</v>
      </c>
      <c r="E34" s="17" t="n">
        <f aca="false">COUNTIFS(Members!$L$4:$L$1876,$B34,Members!$O$4:$O$1876,"Positive")</f>
        <v>0</v>
      </c>
      <c r="F34" s="17" t="n">
        <f aca="false">COUNTIFS(Members!$L$4:$L$1876,$B34,Members!$O$4:$O$1876,"To Be Followed Up")</f>
        <v>0</v>
      </c>
      <c r="G34" s="17" t="n">
        <f aca="false">COUNTIFS(Members!$L$4:$L$1876,$B34,Members!$O$4:$O$1876,"Negative")</f>
        <v>0</v>
      </c>
      <c r="H34" s="17" t="n">
        <f aca="false">COUNTIFS(Members!$L$4:$L$1876,$B34,Members!$O$4:$O$1876,"Not Contacted")</f>
        <v>139</v>
      </c>
      <c r="I34" s="19" t="n">
        <f aca="false">IFERROR(D34/C34,0)</f>
        <v>0</v>
      </c>
      <c r="J34" s="19" t="n">
        <f aca="false">IFERROR(E34/MAX(1,D34),0)</f>
        <v>0</v>
      </c>
    </row>
    <row r="35" customFormat="false" ht="15" hidden="false" customHeight="false" outlineLevel="0" collapsed="false">
      <c r="B35" s="16" t="s">
        <v>55</v>
      </c>
      <c r="C35" s="17" t="n">
        <f aca="false">COUNTIF(Members!$L$4:$L$1876,$B35)</f>
        <v>348</v>
      </c>
      <c r="D35" s="17" t="n">
        <f aca="false">C35-H35</f>
        <v>0</v>
      </c>
      <c r="E35" s="17" t="n">
        <f aca="false">COUNTIFS(Members!$L$4:$L$1876,$B35,Members!$O$4:$O$1876,"Positive")</f>
        <v>0</v>
      </c>
      <c r="F35" s="17" t="n">
        <f aca="false">COUNTIFS(Members!$L$4:$L$1876,$B35,Members!$O$4:$O$1876,"To Be Followed Up")</f>
        <v>0</v>
      </c>
      <c r="G35" s="17" t="n">
        <f aca="false">COUNTIFS(Members!$L$4:$L$1876,$B35,Members!$O$4:$O$1876,"Negative")</f>
        <v>0</v>
      </c>
      <c r="H35" s="17" t="n">
        <f aca="false">COUNTIFS(Members!$L$4:$L$1876,$B35,Members!$O$4:$O$1876,"Not Contacted")</f>
        <v>348</v>
      </c>
      <c r="I35" s="19" t="n">
        <f aca="false">IFERROR(D35/C35,0)</f>
        <v>0</v>
      </c>
      <c r="J35" s="19" t="n">
        <f aca="false">IFERROR(E35/MAX(1,D35),0)</f>
        <v>0</v>
      </c>
    </row>
    <row r="36" customFormat="false" ht="15" hidden="false" customHeight="false" outlineLevel="0" collapsed="false">
      <c r="B36" s="16" t="s">
        <v>56</v>
      </c>
      <c r="C36" s="17" t="n">
        <f aca="false">COUNTIF(Members!$L$4:$L$1876,$B36)</f>
        <v>4</v>
      </c>
      <c r="D36" s="17" t="n">
        <f aca="false">C36-H36</f>
        <v>0</v>
      </c>
      <c r="E36" s="17" t="n">
        <f aca="false">COUNTIFS(Members!$L$4:$L$1876,$B36,Members!$O$4:$O$1876,"Positive")</f>
        <v>0</v>
      </c>
      <c r="F36" s="17" t="n">
        <f aca="false">COUNTIFS(Members!$L$4:$L$1876,$B36,Members!$O$4:$O$1876,"To Be Followed Up")</f>
        <v>0</v>
      </c>
      <c r="G36" s="17" t="n">
        <f aca="false">COUNTIFS(Members!$L$4:$L$1876,$B36,Members!$O$4:$O$1876,"Negative")</f>
        <v>0</v>
      </c>
      <c r="H36" s="17" t="n">
        <f aca="false">COUNTIFS(Members!$L$4:$L$1876,$B36,Members!$O$4:$O$1876,"Not Contacted")</f>
        <v>4</v>
      </c>
      <c r="I36" s="19" t="n">
        <f aca="false">IFERROR(D36/C36,0)</f>
        <v>0</v>
      </c>
      <c r="J36" s="19" t="n">
        <f aca="false">IFERROR(E36/MAX(1,D36),0)</f>
        <v>0</v>
      </c>
    </row>
    <row r="37" customFormat="false" ht="15" hidden="false" customHeight="false" outlineLevel="0" collapsed="false">
      <c r="B37" s="16" t="s">
        <v>57</v>
      </c>
      <c r="C37" s="17" t="n">
        <f aca="false">COUNTIF(Members!$L$4:$L$1876,$B37)</f>
        <v>26</v>
      </c>
      <c r="D37" s="17" t="n">
        <f aca="false">C37-H37</f>
        <v>0</v>
      </c>
      <c r="E37" s="17" t="n">
        <f aca="false">COUNTIFS(Members!$L$4:$L$1876,$B37,Members!$O$4:$O$1876,"Positive")</f>
        <v>0</v>
      </c>
      <c r="F37" s="17" t="n">
        <f aca="false">COUNTIFS(Members!$L$4:$L$1876,$B37,Members!$O$4:$O$1876,"To Be Followed Up")</f>
        <v>0</v>
      </c>
      <c r="G37" s="17" t="n">
        <f aca="false">COUNTIFS(Members!$L$4:$L$1876,$B37,Members!$O$4:$O$1876,"Negative")</f>
        <v>0</v>
      </c>
      <c r="H37" s="17" t="n">
        <f aca="false">COUNTIFS(Members!$L$4:$L$1876,$B37,Members!$O$4:$O$1876,"Not Contacted")</f>
        <v>26</v>
      </c>
      <c r="I37" s="19" t="n">
        <f aca="false">IFERROR(D37/C37,0)</f>
        <v>0</v>
      </c>
      <c r="J37" s="19" t="n">
        <f aca="false">IFERROR(E37/MAX(1,D37),0)</f>
        <v>0</v>
      </c>
    </row>
    <row r="38" customFormat="false" ht="15" hidden="false" customHeight="false" outlineLevel="0" collapsed="false">
      <c r="B38" s="16" t="s">
        <v>58</v>
      </c>
      <c r="C38" s="17" t="n">
        <f aca="false">COUNTIF(Members!$L$4:$L$1876,$B38)</f>
        <v>115</v>
      </c>
      <c r="D38" s="17" t="n">
        <f aca="false">C38-H38</f>
        <v>0</v>
      </c>
      <c r="E38" s="17" t="n">
        <f aca="false">COUNTIFS(Members!$L$4:$L$1876,$B38,Members!$O$4:$O$1876,"Positive")</f>
        <v>0</v>
      </c>
      <c r="F38" s="17" t="n">
        <f aca="false">COUNTIFS(Members!$L$4:$L$1876,$B38,Members!$O$4:$O$1876,"To Be Followed Up")</f>
        <v>0</v>
      </c>
      <c r="G38" s="17" t="n">
        <f aca="false">COUNTIFS(Members!$L$4:$L$1876,$B38,Members!$O$4:$O$1876,"Negative")</f>
        <v>0</v>
      </c>
      <c r="H38" s="17" t="n">
        <f aca="false">COUNTIFS(Members!$L$4:$L$1876,$B38,Members!$O$4:$O$1876,"Not Contacted")</f>
        <v>115</v>
      </c>
      <c r="I38" s="19" t="n">
        <f aca="false">IFERROR(D38/C38,0)</f>
        <v>0</v>
      </c>
      <c r="J38" s="19" t="n">
        <f aca="false">IFERROR(E38/MAX(1,D38),0)</f>
        <v>0</v>
      </c>
    </row>
    <row r="39" customFormat="false" ht="15" hidden="false" customHeight="false" outlineLevel="0" collapsed="false">
      <c r="B39" s="26" t="s">
        <v>36</v>
      </c>
      <c r="C39" s="27" t="n">
        <f aca="false">SUM(C23:C38)</f>
        <v>1873</v>
      </c>
      <c r="D39" s="27" t="n">
        <f aca="false">SUM(D23:D38)</f>
        <v>0</v>
      </c>
      <c r="E39" s="27" t="n">
        <f aca="false">SUM(E23:E38)</f>
        <v>0</v>
      </c>
      <c r="F39" s="27" t="n">
        <f aca="false">SUM(F23:F38)</f>
        <v>0</v>
      </c>
      <c r="G39" s="27" t="n">
        <f aca="false">SUM(G23:G38)</f>
        <v>0</v>
      </c>
      <c r="H39" s="27" t="n">
        <f aca="false">SUM(H23:H38)</f>
        <v>1873</v>
      </c>
      <c r="I39" s="28" t="n">
        <f aca="false">IFERROR(D39/C39,0)</f>
        <v>0</v>
      </c>
      <c r="J39" s="28" t="n">
        <f aca="false">IFERROR(E39/MAX(1,D39),0)</f>
        <v>0</v>
      </c>
    </row>
    <row r="42" customFormat="false" ht="15" hidden="false" customHeight="false" outlineLevel="0" collapsed="false">
      <c r="L42" s="7" t="s">
        <v>59</v>
      </c>
    </row>
    <row r="43" customFormat="false" ht="42" hidden="false" customHeight="true" outlineLevel="0" collapsed="false">
      <c r="L43" s="29" t="s">
        <v>60</v>
      </c>
      <c r="M43" s="30" t="s">
        <v>61</v>
      </c>
      <c r="N43" s="30"/>
      <c r="O43" s="30"/>
    </row>
    <row r="44" customFormat="false" ht="42" hidden="false" customHeight="true" outlineLevel="0" collapsed="false">
      <c r="L44" s="29" t="s">
        <v>62</v>
      </c>
      <c r="M44" s="30" t="s">
        <v>63</v>
      </c>
      <c r="N44" s="30"/>
      <c r="O44" s="30"/>
    </row>
    <row r="45" customFormat="false" ht="42" hidden="false" customHeight="true" outlineLevel="0" collapsed="false">
      <c r="L45" s="29" t="s">
        <v>64</v>
      </c>
      <c r="M45" s="30" t="s">
        <v>65</v>
      </c>
      <c r="N45" s="30"/>
      <c r="O45" s="30"/>
    </row>
    <row r="46" customFormat="false" ht="42" hidden="false" customHeight="true" outlineLevel="0" collapsed="false">
      <c r="L46" s="29" t="s">
        <v>66</v>
      </c>
      <c r="M46" s="30" t="s">
        <v>67</v>
      </c>
      <c r="N46" s="30"/>
      <c r="O46" s="30"/>
    </row>
    <row r="47" customFormat="false" ht="42" hidden="false" customHeight="true" outlineLevel="0" collapsed="false">
      <c r="L47" s="29" t="s">
        <v>68</v>
      </c>
      <c r="M47" s="30" t="s">
        <v>69</v>
      </c>
      <c r="N47" s="30"/>
      <c r="O47" s="30"/>
    </row>
    <row r="48" customFormat="false" ht="42" hidden="false" customHeight="true" outlineLevel="0" collapsed="false">
      <c r="L48" s="29"/>
      <c r="M48" s="30"/>
      <c r="N48" s="30"/>
      <c r="O48" s="30"/>
    </row>
    <row r="49" customFormat="false" ht="42" hidden="false" customHeight="true" outlineLevel="0" collapsed="false">
      <c r="L49" s="29" t="s">
        <v>70</v>
      </c>
      <c r="M49" s="30" t="s">
        <v>71</v>
      </c>
      <c r="N49" s="30"/>
      <c r="O49" s="30"/>
    </row>
    <row r="51" customFormat="false" ht="15" hidden="false" customHeight="false" outlineLevel="0" collapsed="false">
      <c r="L51" s="7" t="s">
        <v>72</v>
      </c>
    </row>
    <row r="52" customFormat="false" ht="37.5" hidden="false" customHeight="true" outlineLevel="0" collapsed="false">
      <c r="L52" s="31" t="s">
        <v>73</v>
      </c>
      <c r="M52" s="32" t="s">
        <v>74</v>
      </c>
      <c r="N52" s="32"/>
      <c r="O52" s="32"/>
    </row>
    <row r="53" customFormat="false" ht="37.5" hidden="false" customHeight="true" outlineLevel="0" collapsed="false">
      <c r="L53" s="31" t="s">
        <v>73</v>
      </c>
      <c r="M53" s="32" t="s">
        <v>75</v>
      </c>
      <c r="N53" s="32"/>
      <c r="O53" s="32"/>
    </row>
    <row r="54" customFormat="false" ht="37.5" hidden="false" customHeight="true" outlineLevel="0" collapsed="false">
      <c r="L54" s="31" t="s">
        <v>73</v>
      </c>
      <c r="M54" s="32" t="s">
        <v>76</v>
      </c>
      <c r="N54" s="32"/>
      <c r="O54" s="32"/>
    </row>
    <row r="55" customFormat="false" ht="37.5" hidden="false" customHeight="true" outlineLevel="0" collapsed="false">
      <c r="L55" s="31" t="s">
        <v>73</v>
      </c>
      <c r="M55" s="32" t="s">
        <v>77</v>
      </c>
      <c r="N55" s="32"/>
      <c r="O55" s="32"/>
    </row>
    <row r="56" customFormat="false" ht="37.5" hidden="false" customHeight="true" outlineLevel="0" collapsed="false">
      <c r="L56" s="31" t="s">
        <v>73</v>
      </c>
      <c r="M56" s="32" t="s">
        <v>78</v>
      </c>
      <c r="N56" s="32"/>
      <c r="O56" s="32"/>
    </row>
  </sheetData>
  <mergeCells count="30">
    <mergeCell ref="B2:J2"/>
    <mergeCell ref="B3:J3"/>
    <mergeCell ref="B5:C5"/>
    <mergeCell ref="D5:E5"/>
    <mergeCell ref="F5:G5"/>
    <mergeCell ref="H5:I5"/>
    <mergeCell ref="B6:C6"/>
    <mergeCell ref="D6:E6"/>
    <mergeCell ref="F6:G6"/>
    <mergeCell ref="H6:I6"/>
    <mergeCell ref="E10:G10"/>
    <mergeCell ref="E11:G11"/>
    <mergeCell ref="E12:G12"/>
    <mergeCell ref="E13:G13"/>
    <mergeCell ref="E14:G14"/>
    <mergeCell ref="E15:G15"/>
    <mergeCell ref="E16:G16"/>
    <mergeCell ref="E17:G17"/>
    <mergeCell ref="M43:O43"/>
    <mergeCell ref="M44:O44"/>
    <mergeCell ref="M45:O45"/>
    <mergeCell ref="M46:O46"/>
    <mergeCell ref="M47:O47"/>
    <mergeCell ref="M48:O48"/>
    <mergeCell ref="M49:O49"/>
    <mergeCell ref="M52:O52"/>
    <mergeCell ref="M53:O53"/>
    <mergeCell ref="M54:O54"/>
    <mergeCell ref="M55:O55"/>
    <mergeCell ref="M56:O56"/>
  </mergeCells>
  <conditionalFormatting sqref="E11:E17">
    <cfRule type="dataBar" priority="2">
      <dataBar showValue="0" minLength="10" maxLength="90">
        <cfvo type="num" val="0"/>
        <cfvo type="num" val="1873"/>
        <color rgb="FF1F3864"/>
      </dataBar>
      <extLst>
        <ext xmlns:x14="http://schemas.microsoft.com/office/spreadsheetml/2009/9/main" uri="{B025F937-C7B1-47D3-B67F-A62EFF666E3E}">
          <x14:id>{5F77D254-43C4-42BB-A1D8-8240682064A5}</x14:id>
        </ext>
      </extLst>
    </cfRule>
  </conditionalFormatting>
  <conditionalFormatting sqref="I23:I38">
    <cfRule type="dataBar" priority="3">
      <dataBar showValue="1" minLength="10" maxLength="90">
        <cfvo type="num" val="0"/>
        <cfvo type="num" val="1"/>
        <color rgb="FF2E5C8A"/>
      </dataBar>
      <extLst>
        <ext xmlns:x14="http://schemas.microsoft.com/office/spreadsheetml/2009/9/main" uri="{B025F937-C7B1-47D3-B67F-A62EFF666E3E}">
          <x14:id>{238A562A-55F8-4DB6-B8E0-9FBC1FE8B454}</x14:id>
        </ext>
      </extLst>
    </cfRule>
  </conditionalFormatting>
  <conditionalFormatting sqref="J23:J38">
    <cfRule type="dataBar" priority="4">
      <dataBar showValue="1" minLength="10" maxLength="90">
        <cfvo type="num" val="0"/>
        <cfvo type="num" val="1"/>
        <color rgb="FF2E7D4F"/>
      </dataBar>
      <extLst>
        <ext xmlns:x14="http://schemas.microsoft.com/office/spreadsheetml/2009/9/main" uri="{B025F937-C7B1-47D3-B67F-A62EFF666E3E}">
          <x14:id>{4CF0C38E-9980-4954-827A-F947D969A4F7}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77D254-43C4-42BB-A1D8-8240682064A5}">
            <x14:dataBar minLength="10" maxLength="90" axisPosition="none" gradient="true">
              <x14:cfvo type="num">
                <xm:f>0</xm:f>
              </x14:cfvo>
              <x14:cfvo type="num">
                <xm:f>1873</xm:f>
              </x14:cfvo>
              <x14:negativeFillColor rgb="FF1F3864"/>
              <x14:axisColor rgb="FF000000"/>
            </x14:dataBar>
          </x14:cfRule>
          <xm:sqref>E11:E17</xm:sqref>
        </x14:conditionalFormatting>
        <x14:conditionalFormatting xmlns:xm="http://schemas.microsoft.com/office/excel/2006/main">
          <x14:cfRule type="dataBar" id="{238A562A-55F8-4DB6-B8E0-9FBC1FE8B45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5C8A"/>
              <x14:axisColor rgb="FF000000"/>
            </x14:dataBar>
          </x14:cfRule>
          <xm:sqref>I23:I38</xm:sqref>
        </x14:conditionalFormatting>
        <x14:conditionalFormatting xmlns:xm="http://schemas.microsoft.com/office/excel/2006/main">
          <x14:cfRule type="dataBar" id="{4CF0C38E-9980-4954-827A-F947D969A4F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D4F"/>
              <x14:axisColor rgb="FF000000"/>
            </x14:dataBar>
          </x14:cfRule>
          <xm:sqref>J23:J38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8" min="7" style="0" width="14"/>
    <col collapsed="false" customWidth="true" hidden="false" outlineLevel="0" max="9" min="9" style="0" width="30"/>
    <col collapsed="false" customWidth="true" hidden="false" outlineLevel="0" max="10" min="10" style="0" width="13"/>
    <col collapsed="false" customWidth="true" hidden="false" outlineLevel="0" max="11" min="11" style="0" width="42"/>
    <col collapsed="false" customWidth="true" hidden="false" outlineLevel="0" max="12" min="12" style="0" width="19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21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34"/>
  </cols>
  <sheetData>
    <row r="1" customFormat="false" ht="25.5" hidden="false" customHeight="true" outlineLevel="0" collapsed="false">
      <c r="A1" s="33" t="s">
        <v>79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customFormat="false" ht="15.75" hidden="false" customHeight="true" outlineLevel="0" collapsed="false">
      <c r="A2" s="34" t="s">
        <v>80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customFormat="false" ht="30" hidden="false" customHeight="true" outlineLevel="0" collapsed="false">
      <c r="A3" s="35" t="s">
        <v>81</v>
      </c>
      <c r="B3" s="35" t="s">
        <v>82</v>
      </c>
      <c r="C3" s="35" t="s">
        <v>83</v>
      </c>
      <c r="D3" s="35" t="s">
        <v>84</v>
      </c>
      <c r="E3" s="35" t="s">
        <v>85</v>
      </c>
      <c r="F3" s="35" t="s">
        <v>86</v>
      </c>
      <c r="G3" s="35" t="s">
        <v>87</v>
      </c>
      <c r="H3" s="35" t="s">
        <v>88</v>
      </c>
      <c r="I3" s="35" t="s">
        <v>89</v>
      </c>
      <c r="J3" s="35" t="s">
        <v>7</v>
      </c>
      <c r="K3" s="35" t="s">
        <v>90</v>
      </c>
      <c r="L3" s="35" t="s">
        <v>38</v>
      </c>
      <c r="M3" s="35" t="s">
        <v>91</v>
      </c>
      <c r="N3" s="35" t="s">
        <v>92</v>
      </c>
      <c r="O3" s="36" t="s">
        <v>93</v>
      </c>
      <c r="P3" s="36" t="s">
        <v>94</v>
      </c>
      <c r="Q3" s="36" t="s">
        <v>95</v>
      </c>
      <c r="R3" s="36" t="s">
        <v>96</v>
      </c>
      <c r="S3" s="36" t="s">
        <v>97</v>
      </c>
      <c r="T3" s="36" t="s">
        <v>98</v>
      </c>
    </row>
    <row r="4" customFormat="false" ht="13.5" hidden="false" customHeight="true" outlineLevel="0" collapsed="false">
      <c r="A4" s="37" t="n">
        <v>1</v>
      </c>
      <c r="B4" s="37" t="n">
        <v>19</v>
      </c>
      <c r="C4" s="38" t="s">
        <v>99</v>
      </c>
      <c r="D4" s="37" t="s">
        <v>100</v>
      </c>
      <c r="E4" s="39" t="n">
        <v>13793</v>
      </c>
      <c r="F4" s="37" t="n">
        <f aca="true">IFERROR(DATEDIF(E4,TODAY(),"Y"),"")</f>
        <v>88</v>
      </c>
      <c r="G4" s="40" t="s">
        <v>101</v>
      </c>
      <c r="H4" s="40" t="s">
        <v>102</v>
      </c>
      <c r="I4" s="38"/>
      <c r="J4" s="38" t="s">
        <v>15</v>
      </c>
      <c r="K4" s="38" t="s">
        <v>103</v>
      </c>
      <c r="L4" s="38" t="s">
        <v>54</v>
      </c>
      <c r="M4" s="37" t="s">
        <v>104</v>
      </c>
      <c r="N4" s="39" t="n">
        <v>30740</v>
      </c>
      <c r="O4" s="41" t="s">
        <v>23</v>
      </c>
      <c r="P4" s="41" t="s">
        <v>105</v>
      </c>
      <c r="Q4" s="42"/>
      <c r="R4" s="41"/>
      <c r="S4" s="42"/>
      <c r="T4" s="41"/>
    </row>
    <row r="5" customFormat="false" ht="13.5" hidden="false" customHeight="true" outlineLevel="0" collapsed="false">
      <c r="A5" s="37" t="n">
        <v>2</v>
      </c>
      <c r="B5" s="37" t="n">
        <v>32</v>
      </c>
      <c r="C5" s="38" t="s">
        <v>106</v>
      </c>
      <c r="D5" s="37" t="s">
        <v>100</v>
      </c>
      <c r="E5" s="39" t="n">
        <v>16929</v>
      </c>
      <c r="F5" s="37" t="n">
        <f aca="true">IFERROR(DATEDIF(E5,TODAY(),"Y"),"")</f>
        <v>80</v>
      </c>
      <c r="G5" s="40" t="s">
        <v>107</v>
      </c>
      <c r="H5" s="40" t="s">
        <v>108</v>
      </c>
      <c r="I5" s="38" t="s">
        <v>109</v>
      </c>
      <c r="J5" s="38" t="s">
        <v>15</v>
      </c>
      <c r="K5" s="38" t="s">
        <v>110</v>
      </c>
      <c r="L5" s="38" t="s">
        <v>54</v>
      </c>
      <c r="M5" s="37"/>
      <c r="N5" s="39" t="n">
        <v>30849</v>
      </c>
      <c r="O5" s="41" t="s">
        <v>23</v>
      </c>
      <c r="P5" s="41" t="s">
        <v>105</v>
      </c>
      <c r="Q5" s="42"/>
      <c r="R5" s="41"/>
      <c r="S5" s="42"/>
      <c r="T5" s="41"/>
    </row>
    <row r="6" customFormat="false" ht="13.5" hidden="false" customHeight="true" outlineLevel="0" collapsed="false">
      <c r="A6" s="37" t="n">
        <v>3</v>
      </c>
      <c r="B6" s="37" t="n">
        <v>37</v>
      </c>
      <c r="C6" s="38" t="s">
        <v>111</v>
      </c>
      <c r="D6" s="37" t="s">
        <v>100</v>
      </c>
      <c r="E6" s="39" t="n">
        <v>15269</v>
      </c>
      <c r="F6" s="37" t="n">
        <f aca="true">IFERROR(DATEDIF(E6,TODAY(),"Y"),"")</f>
        <v>84</v>
      </c>
      <c r="G6" s="40" t="s">
        <v>112</v>
      </c>
      <c r="H6" s="40" t="s">
        <v>113</v>
      </c>
      <c r="I6" s="38"/>
      <c r="J6" s="38" t="s">
        <v>15</v>
      </c>
      <c r="K6" s="38" t="s">
        <v>114</v>
      </c>
      <c r="L6" s="38" t="s">
        <v>57</v>
      </c>
      <c r="M6" s="37"/>
      <c r="N6" s="39" t="n">
        <v>29108</v>
      </c>
      <c r="O6" s="41" t="s">
        <v>23</v>
      </c>
      <c r="P6" s="41" t="s">
        <v>105</v>
      </c>
      <c r="Q6" s="42"/>
      <c r="R6" s="41"/>
      <c r="S6" s="42"/>
      <c r="T6" s="41"/>
    </row>
    <row r="7" customFormat="false" ht="13.5" hidden="false" customHeight="true" outlineLevel="0" collapsed="false">
      <c r="A7" s="37" t="n">
        <v>4</v>
      </c>
      <c r="B7" s="37" t="n">
        <v>63</v>
      </c>
      <c r="C7" s="38" t="s">
        <v>115</v>
      </c>
      <c r="D7" s="37" t="s">
        <v>100</v>
      </c>
      <c r="E7" s="39" t="n">
        <v>16844</v>
      </c>
      <c r="F7" s="37" t="n">
        <f aca="true">IFERROR(DATEDIF(E7,TODAY(),"Y"),"")</f>
        <v>80</v>
      </c>
      <c r="G7" s="40" t="s">
        <v>116</v>
      </c>
      <c r="H7" s="40" t="s">
        <v>117</v>
      </c>
      <c r="I7" s="38" t="s">
        <v>118</v>
      </c>
      <c r="J7" s="38" t="s">
        <v>15</v>
      </c>
      <c r="K7" s="38" t="s">
        <v>119</v>
      </c>
      <c r="L7" s="38" t="s">
        <v>50</v>
      </c>
      <c r="M7" s="37" t="s">
        <v>120</v>
      </c>
      <c r="N7" s="39" t="n">
        <v>28967</v>
      </c>
      <c r="O7" s="41" t="s">
        <v>23</v>
      </c>
      <c r="P7" s="41" t="s">
        <v>105</v>
      </c>
      <c r="Q7" s="42"/>
      <c r="R7" s="41"/>
      <c r="S7" s="42"/>
      <c r="T7" s="41"/>
    </row>
    <row r="8" customFormat="false" ht="13.5" hidden="false" customHeight="true" outlineLevel="0" collapsed="false">
      <c r="A8" s="37" t="n">
        <v>5</v>
      </c>
      <c r="B8" s="37" t="n">
        <v>87</v>
      </c>
      <c r="C8" s="38" t="s">
        <v>121</v>
      </c>
      <c r="D8" s="37" t="s">
        <v>100</v>
      </c>
      <c r="E8" s="39" t="n">
        <v>21141</v>
      </c>
      <c r="F8" s="37" t="n">
        <f aca="true">IFERROR(DATEDIF(E8,TODAY(),"Y"),"")</f>
        <v>68</v>
      </c>
      <c r="G8" s="40" t="s">
        <v>122</v>
      </c>
      <c r="H8" s="40" t="s">
        <v>123</v>
      </c>
      <c r="I8" s="38" t="s">
        <v>124</v>
      </c>
      <c r="J8" s="38" t="s">
        <v>15</v>
      </c>
      <c r="K8" s="38" t="s">
        <v>125</v>
      </c>
      <c r="L8" s="38" t="s">
        <v>54</v>
      </c>
      <c r="M8" s="37"/>
      <c r="N8" s="39" t="n">
        <v>32553</v>
      </c>
      <c r="O8" s="41" t="s">
        <v>23</v>
      </c>
      <c r="P8" s="41" t="s">
        <v>105</v>
      </c>
      <c r="Q8" s="42"/>
      <c r="R8" s="41"/>
      <c r="S8" s="42"/>
      <c r="T8" s="41"/>
    </row>
    <row r="9" customFormat="false" ht="13.5" hidden="false" customHeight="true" outlineLevel="0" collapsed="false">
      <c r="A9" s="37" t="n">
        <v>6</v>
      </c>
      <c r="B9" s="37" t="n">
        <v>101</v>
      </c>
      <c r="C9" s="38" t="s">
        <v>126</v>
      </c>
      <c r="D9" s="37" t="s">
        <v>100</v>
      </c>
      <c r="E9" s="39" t="n">
        <v>20920</v>
      </c>
      <c r="F9" s="37" t="n">
        <f aca="true">IFERROR(DATEDIF(E9,TODAY(),"Y"),"")</f>
        <v>69</v>
      </c>
      <c r="G9" s="40" t="s">
        <v>127</v>
      </c>
      <c r="H9" s="40"/>
      <c r="I9" s="38" t="s">
        <v>128</v>
      </c>
      <c r="J9" s="38" t="s">
        <v>18</v>
      </c>
      <c r="K9" s="38" t="s">
        <v>129</v>
      </c>
      <c r="L9" s="38" t="s">
        <v>52</v>
      </c>
      <c r="M9" s="37" t="s">
        <v>104</v>
      </c>
      <c r="N9" s="39" t="n">
        <v>32559</v>
      </c>
      <c r="O9" s="41" t="s">
        <v>23</v>
      </c>
      <c r="P9" s="41" t="s">
        <v>105</v>
      </c>
      <c r="Q9" s="42"/>
      <c r="R9" s="41"/>
      <c r="S9" s="42"/>
      <c r="T9" s="41"/>
    </row>
    <row r="10" customFormat="false" ht="13.5" hidden="false" customHeight="true" outlineLevel="0" collapsed="false">
      <c r="A10" s="37" t="n">
        <v>7</v>
      </c>
      <c r="B10" s="37" t="n">
        <v>105</v>
      </c>
      <c r="C10" s="38" t="s">
        <v>130</v>
      </c>
      <c r="D10" s="37" t="s">
        <v>100</v>
      </c>
      <c r="E10" s="39" t="n">
        <v>19998</v>
      </c>
      <c r="F10" s="37" t="n">
        <f aca="true">IFERROR(DATEDIF(E10,TODAY(),"Y"),"")</f>
        <v>71</v>
      </c>
      <c r="G10" s="40" t="s">
        <v>131</v>
      </c>
      <c r="H10" s="40" t="s">
        <v>132</v>
      </c>
      <c r="I10" s="38"/>
      <c r="J10" s="38" t="s">
        <v>15</v>
      </c>
      <c r="K10" s="38" t="s">
        <v>133</v>
      </c>
      <c r="L10" s="38" t="s">
        <v>51</v>
      </c>
      <c r="M10" s="37"/>
      <c r="N10" s="39" t="n">
        <v>32554</v>
      </c>
      <c r="O10" s="41" t="s">
        <v>23</v>
      </c>
      <c r="P10" s="41" t="s">
        <v>105</v>
      </c>
      <c r="Q10" s="42"/>
      <c r="R10" s="41"/>
      <c r="S10" s="42"/>
      <c r="T10" s="41"/>
    </row>
    <row r="11" customFormat="false" ht="13.5" hidden="false" customHeight="true" outlineLevel="0" collapsed="false">
      <c r="A11" s="37" t="n">
        <v>8</v>
      </c>
      <c r="B11" s="37" t="n">
        <v>109</v>
      </c>
      <c r="C11" s="38" t="s">
        <v>134</v>
      </c>
      <c r="D11" s="37" t="s">
        <v>100</v>
      </c>
      <c r="E11" s="39" t="n">
        <v>18970</v>
      </c>
      <c r="F11" s="37" t="n">
        <f aca="true">IFERROR(DATEDIF(E11,TODAY(),"Y"),"")</f>
        <v>74</v>
      </c>
      <c r="G11" s="40" t="s">
        <v>135</v>
      </c>
      <c r="H11" s="40" t="s">
        <v>136</v>
      </c>
      <c r="I11" s="38" t="s">
        <v>137</v>
      </c>
      <c r="J11" s="38" t="s">
        <v>18</v>
      </c>
      <c r="K11" s="38" t="s">
        <v>138</v>
      </c>
      <c r="L11" s="38" t="s">
        <v>55</v>
      </c>
      <c r="M11" s="37" t="s">
        <v>120</v>
      </c>
      <c r="N11" s="39" t="n">
        <v>31349</v>
      </c>
      <c r="O11" s="41" t="s">
        <v>23</v>
      </c>
      <c r="P11" s="41" t="s">
        <v>105</v>
      </c>
      <c r="Q11" s="42"/>
      <c r="R11" s="41"/>
      <c r="S11" s="42"/>
      <c r="T11" s="41"/>
    </row>
    <row r="12" customFormat="false" ht="13.5" hidden="false" customHeight="true" outlineLevel="0" collapsed="false">
      <c r="A12" s="37" t="n">
        <v>9</v>
      </c>
      <c r="B12" s="37" t="n">
        <v>110</v>
      </c>
      <c r="C12" s="38" t="s">
        <v>139</v>
      </c>
      <c r="D12" s="37" t="s">
        <v>100</v>
      </c>
      <c r="E12" s="39" t="n">
        <v>17349</v>
      </c>
      <c r="F12" s="37" t="n">
        <f aca="true">IFERROR(DATEDIF(E12,TODAY(),"Y"),"")</f>
        <v>79</v>
      </c>
      <c r="G12" s="40" t="s">
        <v>140</v>
      </c>
      <c r="H12" s="40" t="s">
        <v>141</v>
      </c>
      <c r="I12" s="38" t="s">
        <v>142</v>
      </c>
      <c r="J12" s="38" t="s">
        <v>15</v>
      </c>
      <c r="K12" s="38" t="s">
        <v>143</v>
      </c>
      <c r="L12" s="43" t="s">
        <v>58</v>
      </c>
      <c r="M12" s="37"/>
      <c r="N12" s="39" t="n">
        <v>30702</v>
      </c>
      <c r="O12" s="41" t="s">
        <v>23</v>
      </c>
      <c r="P12" s="41" t="s">
        <v>105</v>
      </c>
      <c r="Q12" s="42"/>
      <c r="R12" s="41"/>
      <c r="S12" s="42"/>
      <c r="T12" s="41"/>
    </row>
    <row r="13" customFormat="false" ht="13.5" hidden="false" customHeight="true" outlineLevel="0" collapsed="false">
      <c r="A13" s="37" t="n">
        <v>10</v>
      </c>
      <c r="B13" s="37" t="n">
        <v>111</v>
      </c>
      <c r="C13" s="38" t="s">
        <v>144</v>
      </c>
      <c r="D13" s="37" t="s">
        <v>145</v>
      </c>
      <c r="E13" s="39" t="n">
        <v>22042</v>
      </c>
      <c r="F13" s="37" t="n">
        <f aca="true">IFERROR(DATEDIF(E13,TODAY(),"Y"),"")</f>
        <v>66</v>
      </c>
      <c r="G13" s="40" t="s">
        <v>146</v>
      </c>
      <c r="H13" s="40" t="s">
        <v>147</v>
      </c>
      <c r="I13" s="38" t="s">
        <v>148</v>
      </c>
      <c r="J13" s="38"/>
      <c r="K13" s="38" t="s">
        <v>149</v>
      </c>
      <c r="L13" s="38" t="s">
        <v>51</v>
      </c>
      <c r="M13" s="37"/>
      <c r="N13" s="39" t="n">
        <v>40988</v>
      </c>
      <c r="O13" s="41" t="s">
        <v>23</v>
      </c>
      <c r="P13" s="41" t="s">
        <v>105</v>
      </c>
      <c r="Q13" s="42"/>
      <c r="R13" s="41"/>
      <c r="S13" s="42"/>
      <c r="T13" s="41"/>
    </row>
    <row r="14" customFormat="false" ht="13.5" hidden="false" customHeight="true" outlineLevel="0" collapsed="false">
      <c r="A14" s="37" t="n">
        <v>11</v>
      </c>
      <c r="B14" s="37" t="n">
        <v>117</v>
      </c>
      <c r="C14" s="38" t="s">
        <v>150</v>
      </c>
      <c r="D14" s="37" t="s">
        <v>100</v>
      </c>
      <c r="E14" s="39" t="n">
        <v>20586</v>
      </c>
      <c r="F14" s="37" t="n">
        <f aca="true">IFERROR(DATEDIF(E14,TODAY(),"Y"),"")</f>
        <v>70</v>
      </c>
      <c r="G14" s="40" t="s">
        <v>151</v>
      </c>
      <c r="H14" s="40" t="s">
        <v>152</v>
      </c>
      <c r="I14" s="38"/>
      <c r="J14" s="38" t="s">
        <v>15</v>
      </c>
      <c r="K14" s="38" t="s">
        <v>153</v>
      </c>
      <c r="L14" s="38" t="s">
        <v>44</v>
      </c>
      <c r="M14" s="37"/>
      <c r="N14" s="39" t="n">
        <v>32555</v>
      </c>
      <c r="O14" s="41" t="s">
        <v>23</v>
      </c>
      <c r="P14" s="41" t="s">
        <v>105</v>
      </c>
      <c r="Q14" s="42"/>
      <c r="R14" s="41"/>
      <c r="S14" s="42"/>
      <c r="T14" s="41"/>
    </row>
    <row r="15" customFormat="false" ht="13.5" hidden="false" customHeight="true" outlineLevel="0" collapsed="false">
      <c r="A15" s="37" t="n">
        <v>12</v>
      </c>
      <c r="B15" s="37" t="n">
        <v>126</v>
      </c>
      <c r="C15" s="38" t="s">
        <v>154</v>
      </c>
      <c r="D15" s="37" t="s">
        <v>100</v>
      </c>
      <c r="E15" s="39" t="n">
        <v>21112</v>
      </c>
      <c r="F15" s="37" t="n">
        <f aca="true">IFERROR(DATEDIF(E15,TODAY(),"Y"),"")</f>
        <v>68</v>
      </c>
      <c r="G15" s="40" t="s">
        <v>155</v>
      </c>
      <c r="H15" s="40"/>
      <c r="I15" s="38" t="s">
        <v>156</v>
      </c>
      <c r="J15" s="38" t="s">
        <v>15</v>
      </c>
      <c r="K15" s="38" t="s">
        <v>157</v>
      </c>
      <c r="L15" s="38" t="s">
        <v>55</v>
      </c>
      <c r="M15" s="37" t="s">
        <v>120</v>
      </c>
      <c r="N15" s="39" t="n">
        <v>30706</v>
      </c>
      <c r="O15" s="41" t="s">
        <v>23</v>
      </c>
      <c r="P15" s="41" t="s">
        <v>105</v>
      </c>
      <c r="Q15" s="42"/>
      <c r="R15" s="41"/>
      <c r="S15" s="42"/>
      <c r="T15" s="41"/>
    </row>
    <row r="16" customFormat="false" ht="13.5" hidden="false" customHeight="true" outlineLevel="0" collapsed="false">
      <c r="A16" s="37" t="n">
        <v>13</v>
      </c>
      <c r="B16" s="37" t="n">
        <v>129</v>
      </c>
      <c r="C16" s="38" t="s">
        <v>158</v>
      </c>
      <c r="D16" s="37" t="s">
        <v>100</v>
      </c>
      <c r="E16" s="39" t="n">
        <v>20055</v>
      </c>
      <c r="F16" s="37" t="n">
        <f aca="true">IFERROR(DATEDIF(E16,TODAY(),"Y"),"")</f>
        <v>71</v>
      </c>
      <c r="G16" s="40" t="s">
        <v>159</v>
      </c>
      <c r="H16" s="40"/>
      <c r="I16" s="38" t="s">
        <v>160</v>
      </c>
      <c r="J16" s="38" t="s">
        <v>16</v>
      </c>
      <c r="K16" s="38" t="s">
        <v>161</v>
      </c>
      <c r="L16" s="38" t="s">
        <v>55</v>
      </c>
      <c r="M16" s="37" t="s">
        <v>120</v>
      </c>
      <c r="N16" s="39" t="n">
        <v>30853</v>
      </c>
      <c r="O16" s="41" t="s">
        <v>23</v>
      </c>
      <c r="P16" s="41" t="s">
        <v>105</v>
      </c>
      <c r="Q16" s="42"/>
      <c r="R16" s="41"/>
      <c r="S16" s="42"/>
      <c r="T16" s="41"/>
    </row>
    <row r="17" customFormat="false" ht="13.5" hidden="false" customHeight="true" outlineLevel="0" collapsed="false">
      <c r="A17" s="37" t="n">
        <v>14</v>
      </c>
      <c r="B17" s="37" t="n">
        <v>136</v>
      </c>
      <c r="C17" s="38" t="s">
        <v>162</v>
      </c>
      <c r="D17" s="37" t="s">
        <v>100</v>
      </c>
      <c r="E17" s="39" t="n">
        <v>22063</v>
      </c>
      <c r="F17" s="37" t="n">
        <f aca="true">IFERROR(DATEDIF(E17,TODAY(),"Y"),"")</f>
        <v>66</v>
      </c>
      <c r="G17" s="40" t="s">
        <v>163</v>
      </c>
      <c r="H17" s="40" t="s">
        <v>164</v>
      </c>
      <c r="I17" s="38" t="s">
        <v>165</v>
      </c>
      <c r="J17" s="38" t="s">
        <v>16</v>
      </c>
      <c r="K17" s="38" t="s">
        <v>166</v>
      </c>
      <c r="L17" s="38" t="s">
        <v>46</v>
      </c>
      <c r="M17" s="37" t="s">
        <v>120</v>
      </c>
      <c r="N17" s="39" t="n">
        <v>32554</v>
      </c>
      <c r="O17" s="41" t="s">
        <v>23</v>
      </c>
      <c r="P17" s="41" t="s">
        <v>105</v>
      </c>
      <c r="Q17" s="42"/>
      <c r="R17" s="41"/>
      <c r="S17" s="42"/>
      <c r="T17" s="41"/>
    </row>
    <row r="18" customFormat="false" ht="13.5" hidden="false" customHeight="true" outlineLevel="0" collapsed="false">
      <c r="A18" s="37" t="n">
        <v>15</v>
      </c>
      <c r="B18" s="37" t="n">
        <v>141</v>
      </c>
      <c r="C18" s="38" t="s">
        <v>167</v>
      </c>
      <c r="D18" s="37" t="s">
        <v>100</v>
      </c>
      <c r="E18" s="39" t="n">
        <v>19343</v>
      </c>
      <c r="F18" s="37" t="n">
        <f aca="true">IFERROR(DATEDIF(E18,TODAY(),"Y"),"")</f>
        <v>73</v>
      </c>
      <c r="G18" s="40" t="s">
        <v>168</v>
      </c>
      <c r="H18" s="40" t="s">
        <v>169</v>
      </c>
      <c r="I18" s="38" t="s">
        <v>170</v>
      </c>
      <c r="J18" s="38" t="s">
        <v>15</v>
      </c>
      <c r="K18" s="38" t="s">
        <v>171</v>
      </c>
      <c r="L18" s="38" t="s">
        <v>46</v>
      </c>
      <c r="M18" s="37" t="s">
        <v>120</v>
      </c>
      <c r="N18" s="39" t="n">
        <v>32557</v>
      </c>
      <c r="O18" s="41" t="s">
        <v>23</v>
      </c>
      <c r="P18" s="41" t="s">
        <v>105</v>
      </c>
      <c r="Q18" s="42"/>
      <c r="R18" s="41"/>
      <c r="S18" s="42"/>
      <c r="T18" s="41"/>
    </row>
    <row r="19" customFormat="false" ht="13.5" hidden="false" customHeight="true" outlineLevel="0" collapsed="false">
      <c r="A19" s="37" t="n">
        <v>16</v>
      </c>
      <c r="B19" s="37" t="n">
        <v>160</v>
      </c>
      <c r="C19" s="38" t="s">
        <v>172</v>
      </c>
      <c r="D19" s="37" t="s">
        <v>100</v>
      </c>
      <c r="E19" s="39" t="n">
        <v>20033</v>
      </c>
      <c r="F19" s="37" t="n">
        <f aca="true">IFERROR(DATEDIF(E19,TODAY(),"Y"),"")</f>
        <v>71</v>
      </c>
      <c r="G19" s="40" t="s">
        <v>173</v>
      </c>
      <c r="H19" s="40" t="s">
        <v>174</v>
      </c>
      <c r="I19" s="38" t="s">
        <v>175</v>
      </c>
      <c r="J19" s="38" t="s">
        <v>15</v>
      </c>
      <c r="K19" s="38" t="s">
        <v>176</v>
      </c>
      <c r="L19" s="38" t="s">
        <v>53</v>
      </c>
      <c r="M19" s="37" t="s">
        <v>177</v>
      </c>
      <c r="N19" s="39" t="n">
        <v>32558</v>
      </c>
      <c r="O19" s="41" t="s">
        <v>23</v>
      </c>
      <c r="P19" s="41" t="s">
        <v>105</v>
      </c>
      <c r="Q19" s="42"/>
      <c r="R19" s="41"/>
      <c r="S19" s="42"/>
      <c r="T19" s="41"/>
    </row>
    <row r="20" customFormat="false" ht="13.5" hidden="false" customHeight="true" outlineLevel="0" collapsed="false">
      <c r="A20" s="37" t="n">
        <v>17</v>
      </c>
      <c r="B20" s="37" t="n">
        <v>163</v>
      </c>
      <c r="C20" s="38" t="s">
        <v>178</v>
      </c>
      <c r="D20" s="37" t="s">
        <v>100</v>
      </c>
      <c r="E20" s="39" t="n">
        <v>18752</v>
      </c>
      <c r="F20" s="37" t="n">
        <f aca="true">IFERROR(DATEDIF(E20,TODAY(),"Y"),"")</f>
        <v>75</v>
      </c>
      <c r="G20" s="40" t="s">
        <v>179</v>
      </c>
      <c r="H20" s="40"/>
      <c r="I20" s="38" t="s">
        <v>180</v>
      </c>
      <c r="J20" s="38" t="s">
        <v>15</v>
      </c>
      <c r="K20" s="38" t="s">
        <v>181</v>
      </c>
      <c r="L20" s="38" t="s">
        <v>54</v>
      </c>
      <c r="M20" s="37" t="s">
        <v>177</v>
      </c>
      <c r="N20" s="39" t="n">
        <v>32551</v>
      </c>
      <c r="O20" s="41" t="s">
        <v>23</v>
      </c>
      <c r="P20" s="41" t="s">
        <v>105</v>
      </c>
      <c r="Q20" s="42"/>
      <c r="R20" s="41"/>
      <c r="S20" s="42"/>
      <c r="T20" s="41"/>
    </row>
    <row r="21" customFormat="false" ht="13.5" hidden="false" customHeight="true" outlineLevel="0" collapsed="false">
      <c r="A21" s="37" t="n">
        <v>18</v>
      </c>
      <c r="B21" s="37" t="n">
        <v>164</v>
      </c>
      <c r="C21" s="38" t="s">
        <v>182</v>
      </c>
      <c r="D21" s="37" t="s">
        <v>100</v>
      </c>
      <c r="E21" s="39" t="n">
        <v>19419</v>
      </c>
      <c r="F21" s="37" t="n">
        <f aca="true">IFERROR(DATEDIF(E21,TODAY(),"Y"),"")</f>
        <v>73</v>
      </c>
      <c r="G21" s="40" t="s">
        <v>183</v>
      </c>
      <c r="H21" s="40"/>
      <c r="I21" s="38"/>
      <c r="J21" s="38" t="s">
        <v>18</v>
      </c>
      <c r="K21" s="38" t="s">
        <v>184</v>
      </c>
      <c r="L21" s="38" t="s">
        <v>51</v>
      </c>
      <c r="M21" s="37" t="s">
        <v>120</v>
      </c>
      <c r="N21" s="39" t="n">
        <v>32540</v>
      </c>
      <c r="O21" s="41" t="s">
        <v>23</v>
      </c>
      <c r="P21" s="41" t="s">
        <v>105</v>
      </c>
      <c r="Q21" s="42"/>
      <c r="R21" s="41"/>
      <c r="S21" s="42"/>
      <c r="T21" s="41"/>
    </row>
    <row r="22" customFormat="false" ht="13.5" hidden="false" customHeight="true" outlineLevel="0" collapsed="false">
      <c r="A22" s="37" t="n">
        <v>19</v>
      </c>
      <c r="B22" s="37" t="n">
        <v>165</v>
      </c>
      <c r="C22" s="38" t="s">
        <v>185</v>
      </c>
      <c r="D22" s="37" t="s">
        <v>100</v>
      </c>
      <c r="E22" s="39" t="n">
        <v>14389</v>
      </c>
      <c r="F22" s="37" t="n">
        <f aca="true">IFERROR(DATEDIF(E22,TODAY(),"Y"),"")</f>
        <v>87</v>
      </c>
      <c r="G22" s="40" t="s">
        <v>186</v>
      </c>
      <c r="H22" s="40" t="s">
        <v>187</v>
      </c>
      <c r="I22" s="38" t="s">
        <v>188</v>
      </c>
      <c r="J22" s="38" t="s">
        <v>15</v>
      </c>
      <c r="K22" s="38" t="s">
        <v>189</v>
      </c>
      <c r="L22" s="43" t="s">
        <v>58</v>
      </c>
      <c r="M22" s="37" t="s">
        <v>190</v>
      </c>
      <c r="N22" s="39" t="n">
        <v>32555</v>
      </c>
      <c r="O22" s="41" t="s">
        <v>23</v>
      </c>
      <c r="P22" s="41" t="s">
        <v>105</v>
      </c>
      <c r="Q22" s="42"/>
      <c r="R22" s="41"/>
      <c r="S22" s="42"/>
      <c r="T22" s="41"/>
    </row>
    <row r="23" customFormat="false" ht="13.5" hidden="false" customHeight="true" outlineLevel="0" collapsed="false">
      <c r="A23" s="37" t="n">
        <v>20</v>
      </c>
      <c r="B23" s="37" t="n">
        <v>169</v>
      </c>
      <c r="C23" s="38" t="s">
        <v>191</v>
      </c>
      <c r="D23" s="37" t="s">
        <v>100</v>
      </c>
      <c r="E23" s="39" t="n">
        <v>18763</v>
      </c>
      <c r="F23" s="37" t="n">
        <f aca="true">IFERROR(DATEDIF(E23,TODAY(),"Y"),"")</f>
        <v>75</v>
      </c>
      <c r="G23" s="40" t="s">
        <v>192</v>
      </c>
      <c r="H23" s="40" t="s">
        <v>193</v>
      </c>
      <c r="I23" s="38" t="s">
        <v>194</v>
      </c>
      <c r="J23" s="38" t="s">
        <v>15</v>
      </c>
      <c r="K23" s="38" t="s">
        <v>195</v>
      </c>
      <c r="L23" s="43" t="s">
        <v>58</v>
      </c>
      <c r="M23" s="37"/>
      <c r="N23" s="39" t="n">
        <v>32551</v>
      </c>
      <c r="O23" s="41" t="s">
        <v>23</v>
      </c>
      <c r="P23" s="41" t="s">
        <v>105</v>
      </c>
      <c r="Q23" s="42"/>
      <c r="R23" s="41"/>
      <c r="S23" s="42"/>
      <c r="T23" s="41"/>
    </row>
    <row r="24" customFormat="false" ht="13.5" hidden="false" customHeight="true" outlineLevel="0" collapsed="false">
      <c r="A24" s="37" t="n">
        <v>21</v>
      </c>
      <c r="B24" s="37" t="n">
        <v>172</v>
      </c>
      <c r="C24" s="38" t="s">
        <v>196</v>
      </c>
      <c r="D24" s="37" t="s">
        <v>100</v>
      </c>
      <c r="E24" s="39" t="n">
        <v>17319</v>
      </c>
      <c r="F24" s="37" t="n">
        <f aca="true">IFERROR(DATEDIF(E24,TODAY(),"Y"),"")</f>
        <v>79</v>
      </c>
      <c r="G24" s="40" t="s">
        <v>197</v>
      </c>
      <c r="H24" s="40" t="s">
        <v>198</v>
      </c>
      <c r="I24" s="38" t="s">
        <v>199</v>
      </c>
      <c r="J24" s="38" t="s">
        <v>15</v>
      </c>
      <c r="K24" s="38" t="s">
        <v>200</v>
      </c>
      <c r="L24" s="38" t="s">
        <v>46</v>
      </c>
      <c r="M24" s="37" t="s">
        <v>120</v>
      </c>
      <c r="N24" s="39" t="n">
        <v>32540</v>
      </c>
      <c r="O24" s="41" t="s">
        <v>23</v>
      </c>
      <c r="P24" s="41" t="s">
        <v>105</v>
      </c>
      <c r="Q24" s="42"/>
      <c r="R24" s="41"/>
      <c r="S24" s="42"/>
      <c r="T24" s="41"/>
    </row>
    <row r="25" customFormat="false" ht="13.5" hidden="false" customHeight="true" outlineLevel="0" collapsed="false">
      <c r="A25" s="37" t="n">
        <v>22</v>
      </c>
      <c r="B25" s="37" t="n">
        <v>178</v>
      </c>
      <c r="C25" s="38" t="s">
        <v>201</v>
      </c>
      <c r="D25" s="37" t="s">
        <v>145</v>
      </c>
      <c r="E25" s="39" t="n">
        <v>26383</v>
      </c>
      <c r="F25" s="37" t="n">
        <f aca="true">IFERROR(DATEDIF(E25,TODAY(),"Y"),"")</f>
        <v>54</v>
      </c>
      <c r="G25" s="40" t="s">
        <v>202</v>
      </c>
      <c r="H25" s="40" t="s">
        <v>203</v>
      </c>
      <c r="I25" s="38" t="s">
        <v>204</v>
      </c>
      <c r="J25" s="38"/>
      <c r="K25" s="38" t="s">
        <v>205</v>
      </c>
      <c r="L25" s="38" t="s">
        <v>52</v>
      </c>
      <c r="M25" s="37" t="s">
        <v>120</v>
      </c>
      <c r="N25" s="39" t="n">
        <v>40607</v>
      </c>
      <c r="O25" s="41" t="s">
        <v>23</v>
      </c>
      <c r="P25" s="41" t="s">
        <v>105</v>
      </c>
      <c r="Q25" s="42"/>
      <c r="R25" s="41"/>
      <c r="S25" s="42"/>
      <c r="T25" s="41"/>
    </row>
    <row r="26" customFormat="false" ht="13.5" hidden="false" customHeight="true" outlineLevel="0" collapsed="false">
      <c r="A26" s="37" t="n">
        <v>23</v>
      </c>
      <c r="B26" s="37" t="n">
        <v>194</v>
      </c>
      <c r="C26" s="38" t="s">
        <v>206</v>
      </c>
      <c r="D26" s="37" t="s">
        <v>100</v>
      </c>
      <c r="E26" s="39" t="n">
        <v>19467</v>
      </c>
      <c r="F26" s="37" t="n">
        <f aca="true">IFERROR(DATEDIF(E26,TODAY(),"Y"),"")</f>
        <v>73</v>
      </c>
      <c r="G26" s="40" t="s">
        <v>207</v>
      </c>
      <c r="H26" s="40"/>
      <c r="I26" s="38"/>
      <c r="J26" s="38" t="s">
        <v>15</v>
      </c>
      <c r="K26" s="38" t="s">
        <v>208</v>
      </c>
      <c r="L26" s="38" t="s">
        <v>47</v>
      </c>
      <c r="M26" s="37"/>
      <c r="N26" s="39" t="n">
        <v>32555</v>
      </c>
      <c r="O26" s="41" t="s">
        <v>23</v>
      </c>
      <c r="P26" s="41" t="s">
        <v>105</v>
      </c>
      <c r="Q26" s="42"/>
      <c r="R26" s="41"/>
      <c r="S26" s="42"/>
      <c r="T26" s="41"/>
    </row>
    <row r="27" customFormat="false" ht="13.5" hidden="false" customHeight="true" outlineLevel="0" collapsed="false">
      <c r="A27" s="37" t="n">
        <v>24</v>
      </c>
      <c r="B27" s="37" t="n">
        <v>198</v>
      </c>
      <c r="C27" s="38" t="s">
        <v>209</v>
      </c>
      <c r="D27" s="37" t="s">
        <v>100</v>
      </c>
      <c r="E27" s="39" t="n">
        <v>21692</v>
      </c>
      <c r="F27" s="37" t="n">
        <f aca="true">IFERROR(DATEDIF(E27,TODAY(),"Y"),"")</f>
        <v>67</v>
      </c>
      <c r="G27" s="40" t="s">
        <v>210</v>
      </c>
      <c r="H27" s="40"/>
      <c r="I27" s="38" t="s">
        <v>211</v>
      </c>
      <c r="J27" s="38" t="s">
        <v>18</v>
      </c>
      <c r="K27" s="38" t="s">
        <v>212</v>
      </c>
      <c r="L27" s="38" t="s">
        <v>43</v>
      </c>
      <c r="M27" s="37" t="s">
        <v>120</v>
      </c>
      <c r="N27" s="39" t="n">
        <v>32558</v>
      </c>
      <c r="O27" s="41" t="s">
        <v>23</v>
      </c>
      <c r="P27" s="41" t="s">
        <v>105</v>
      </c>
      <c r="Q27" s="42"/>
      <c r="R27" s="41"/>
      <c r="S27" s="42"/>
      <c r="T27" s="41"/>
    </row>
    <row r="28" customFormat="false" ht="13.5" hidden="false" customHeight="true" outlineLevel="0" collapsed="false">
      <c r="A28" s="37" t="n">
        <v>25</v>
      </c>
      <c r="B28" s="37" t="n">
        <v>199</v>
      </c>
      <c r="C28" s="38" t="s">
        <v>213</v>
      </c>
      <c r="D28" s="37" t="s">
        <v>100</v>
      </c>
      <c r="E28" s="39" t="n">
        <v>19271</v>
      </c>
      <c r="F28" s="37" t="n">
        <f aca="true">IFERROR(DATEDIF(E28,TODAY(),"Y"),"")</f>
        <v>73</v>
      </c>
      <c r="G28" s="40" t="s">
        <v>214</v>
      </c>
      <c r="H28" s="40"/>
      <c r="I28" s="38" t="s">
        <v>215</v>
      </c>
      <c r="J28" s="38" t="s">
        <v>18</v>
      </c>
      <c r="K28" s="38" t="s">
        <v>216</v>
      </c>
      <c r="L28" s="43" t="s">
        <v>58</v>
      </c>
      <c r="M28" s="37"/>
      <c r="N28" s="39" t="n">
        <v>30737</v>
      </c>
      <c r="O28" s="41" t="s">
        <v>23</v>
      </c>
      <c r="P28" s="41" t="s">
        <v>105</v>
      </c>
      <c r="Q28" s="42"/>
      <c r="R28" s="41"/>
      <c r="S28" s="42"/>
      <c r="T28" s="41"/>
    </row>
    <row r="29" customFormat="false" ht="13.5" hidden="false" customHeight="true" outlineLevel="0" collapsed="false">
      <c r="A29" s="37" t="n">
        <v>26</v>
      </c>
      <c r="B29" s="37" t="n">
        <v>207</v>
      </c>
      <c r="C29" s="38" t="s">
        <v>217</v>
      </c>
      <c r="D29" s="37" t="s">
        <v>100</v>
      </c>
      <c r="E29" s="39" t="n">
        <v>21404</v>
      </c>
      <c r="F29" s="37" t="n">
        <f aca="true">IFERROR(DATEDIF(E29,TODAY(),"Y"),"")</f>
        <v>68</v>
      </c>
      <c r="G29" s="40" t="s">
        <v>218</v>
      </c>
      <c r="H29" s="40"/>
      <c r="I29" s="38" t="s">
        <v>219</v>
      </c>
      <c r="J29" s="38" t="s">
        <v>16</v>
      </c>
      <c r="K29" s="38" t="s">
        <v>220</v>
      </c>
      <c r="L29" s="38" t="s">
        <v>47</v>
      </c>
      <c r="M29" s="37"/>
      <c r="N29" s="39" t="n">
        <v>32557</v>
      </c>
      <c r="O29" s="41" t="s">
        <v>23</v>
      </c>
      <c r="P29" s="41" t="s">
        <v>105</v>
      </c>
      <c r="Q29" s="42"/>
      <c r="R29" s="41"/>
      <c r="S29" s="42"/>
      <c r="T29" s="41"/>
    </row>
    <row r="30" customFormat="false" ht="13.5" hidden="false" customHeight="true" outlineLevel="0" collapsed="false">
      <c r="A30" s="37" t="n">
        <v>27</v>
      </c>
      <c r="B30" s="37" t="n">
        <v>226</v>
      </c>
      <c r="C30" s="38" t="s">
        <v>221</v>
      </c>
      <c r="D30" s="37" t="s">
        <v>100</v>
      </c>
      <c r="E30" s="39" t="n">
        <v>19157</v>
      </c>
      <c r="F30" s="37" t="n">
        <f aca="true">IFERROR(DATEDIF(E30,TODAY(),"Y"),"")</f>
        <v>74</v>
      </c>
      <c r="G30" s="40" t="s">
        <v>222</v>
      </c>
      <c r="H30" s="40" t="s">
        <v>223</v>
      </c>
      <c r="I30" s="38" t="s">
        <v>224</v>
      </c>
      <c r="J30" s="38" t="s">
        <v>15</v>
      </c>
      <c r="K30" s="38" t="s">
        <v>225</v>
      </c>
      <c r="L30" s="38" t="s">
        <v>53</v>
      </c>
      <c r="M30" s="37"/>
      <c r="N30" s="39" t="n">
        <v>32552</v>
      </c>
      <c r="O30" s="41" t="s">
        <v>23</v>
      </c>
      <c r="P30" s="41" t="s">
        <v>105</v>
      </c>
      <c r="Q30" s="42"/>
      <c r="R30" s="41"/>
      <c r="S30" s="42"/>
      <c r="T30" s="41"/>
    </row>
    <row r="31" customFormat="false" ht="13.5" hidden="false" customHeight="true" outlineLevel="0" collapsed="false">
      <c r="A31" s="37" t="n">
        <v>28</v>
      </c>
      <c r="B31" s="37" t="n">
        <v>227</v>
      </c>
      <c r="C31" s="38" t="s">
        <v>226</v>
      </c>
      <c r="D31" s="37" t="s">
        <v>100</v>
      </c>
      <c r="E31" s="39" t="n">
        <v>18033</v>
      </c>
      <c r="F31" s="37" t="n">
        <f aca="true">IFERROR(DATEDIF(E31,TODAY(),"Y"),"")</f>
        <v>77</v>
      </c>
      <c r="G31" s="40" t="s">
        <v>227</v>
      </c>
      <c r="H31" s="40" t="s">
        <v>228</v>
      </c>
      <c r="I31" s="38" t="s">
        <v>229</v>
      </c>
      <c r="J31" s="38" t="s">
        <v>15</v>
      </c>
      <c r="K31" s="38" t="s">
        <v>230</v>
      </c>
      <c r="L31" s="38" t="s">
        <v>55</v>
      </c>
      <c r="M31" s="37" t="s">
        <v>231</v>
      </c>
      <c r="N31" s="39" t="n">
        <v>30687</v>
      </c>
      <c r="O31" s="41" t="s">
        <v>23</v>
      </c>
      <c r="P31" s="41" t="s">
        <v>105</v>
      </c>
      <c r="Q31" s="42"/>
      <c r="R31" s="41"/>
      <c r="S31" s="42"/>
      <c r="T31" s="41"/>
    </row>
    <row r="32" customFormat="false" ht="13.5" hidden="false" customHeight="true" outlineLevel="0" collapsed="false">
      <c r="A32" s="37" t="n">
        <v>29</v>
      </c>
      <c r="B32" s="37" t="n">
        <v>233</v>
      </c>
      <c r="C32" s="38" t="s">
        <v>232</v>
      </c>
      <c r="D32" s="37" t="s">
        <v>100</v>
      </c>
      <c r="E32" s="39" t="n">
        <v>17676</v>
      </c>
      <c r="F32" s="37" t="n">
        <f aca="true">IFERROR(DATEDIF(E32,TODAY(),"Y"),"")</f>
        <v>78</v>
      </c>
      <c r="G32" s="40" t="s">
        <v>233</v>
      </c>
      <c r="H32" s="40" t="s">
        <v>234</v>
      </c>
      <c r="I32" s="38" t="s">
        <v>235</v>
      </c>
      <c r="J32" s="38" t="s">
        <v>15</v>
      </c>
      <c r="K32" s="38" t="s">
        <v>236</v>
      </c>
      <c r="L32" s="43" t="s">
        <v>58</v>
      </c>
      <c r="M32" s="37" t="s">
        <v>120</v>
      </c>
      <c r="N32" s="39" t="n">
        <v>31360</v>
      </c>
      <c r="O32" s="41" t="s">
        <v>23</v>
      </c>
      <c r="P32" s="41" t="s">
        <v>105</v>
      </c>
      <c r="Q32" s="42"/>
      <c r="R32" s="41"/>
      <c r="S32" s="42"/>
      <c r="T32" s="41"/>
    </row>
    <row r="33" customFormat="false" ht="13.5" hidden="false" customHeight="true" outlineLevel="0" collapsed="false">
      <c r="A33" s="37" t="n">
        <v>30</v>
      </c>
      <c r="B33" s="37" t="n">
        <v>235</v>
      </c>
      <c r="C33" s="38" t="s">
        <v>237</v>
      </c>
      <c r="D33" s="37" t="s">
        <v>100</v>
      </c>
      <c r="E33" s="39" t="n">
        <v>21682</v>
      </c>
      <c r="F33" s="37" t="n">
        <f aca="true">IFERROR(DATEDIF(E33,TODAY(),"Y"),"")</f>
        <v>67</v>
      </c>
      <c r="G33" s="40" t="s">
        <v>238</v>
      </c>
      <c r="H33" s="40"/>
      <c r="I33" s="38" t="s">
        <v>239</v>
      </c>
      <c r="J33" s="38" t="s">
        <v>15</v>
      </c>
      <c r="K33" s="38" t="s">
        <v>240</v>
      </c>
      <c r="L33" s="38" t="s">
        <v>43</v>
      </c>
      <c r="M33" s="37" t="s">
        <v>241</v>
      </c>
      <c r="N33" s="39" t="n">
        <v>32557</v>
      </c>
      <c r="O33" s="41" t="s">
        <v>23</v>
      </c>
      <c r="P33" s="41" t="s">
        <v>105</v>
      </c>
      <c r="Q33" s="42"/>
      <c r="R33" s="41"/>
      <c r="S33" s="42"/>
      <c r="T33" s="41"/>
    </row>
    <row r="34" customFormat="false" ht="13.5" hidden="false" customHeight="true" outlineLevel="0" collapsed="false">
      <c r="A34" s="37" t="n">
        <v>31</v>
      </c>
      <c r="B34" s="37" t="n">
        <v>236</v>
      </c>
      <c r="C34" s="38" t="s">
        <v>242</v>
      </c>
      <c r="D34" s="37" t="s">
        <v>100</v>
      </c>
      <c r="E34" s="39" t="n">
        <v>21098</v>
      </c>
      <c r="F34" s="37" t="n">
        <f aca="true">IFERROR(DATEDIF(E34,TODAY(),"Y"),"")</f>
        <v>68</v>
      </c>
      <c r="G34" s="40" t="s">
        <v>243</v>
      </c>
      <c r="H34" s="40"/>
      <c r="I34" s="38"/>
      <c r="J34" s="38" t="s">
        <v>15</v>
      </c>
      <c r="K34" s="38" t="s">
        <v>244</v>
      </c>
      <c r="L34" s="38" t="s">
        <v>51</v>
      </c>
      <c r="M34" s="37"/>
      <c r="N34" s="39" t="n">
        <v>30696</v>
      </c>
      <c r="O34" s="41" t="s">
        <v>23</v>
      </c>
      <c r="P34" s="41" t="s">
        <v>105</v>
      </c>
      <c r="Q34" s="42"/>
      <c r="R34" s="41"/>
      <c r="S34" s="42"/>
      <c r="T34" s="41"/>
    </row>
    <row r="35" customFormat="false" ht="13.5" hidden="false" customHeight="true" outlineLevel="0" collapsed="false">
      <c r="A35" s="37" t="n">
        <v>32</v>
      </c>
      <c r="B35" s="37" t="n">
        <v>239</v>
      </c>
      <c r="C35" s="38" t="s">
        <v>245</v>
      </c>
      <c r="D35" s="37" t="s">
        <v>100</v>
      </c>
      <c r="E35" s="39" t="n">
        <v>21297</v>
      </c>
      <c r="F35" s="37" t="n">
        <f aca="true">IFERROR(DATEDIF(E35,TODAY(),"Y"),"")</f>
        <v>68</v>
      </c>
      <c r="G35" s="40" t="s">
        <v>246</v>
      </c>
      <c r="H35" s="40" t="s">
        <v>247</v>
      </c>
      <c r="I35" s="38" t="s">
        <v>248</v>
      </c>
      <c r="J35" s="38" t="s">
        <v>15</v>
      </c>
      <c r="K35" s="38" t="s">
        <v>249</v>
      </c>
      <c r="L35" s="38" t="s">
        <v>47</v>
      </c>
      <c r="M35" s="37"/>
      <c r="N35" s="39" t="n">
        <v>32555</v>
      </c>
      <c r="O35" s="41" t="s">
        <v>23</v>
      </c>
      <c r="P35" s="41" t="s">
        <v>105</v>
      </c>
      <c r="Q35" s="42"/>
      <c r="R35" s="41"/>
      <c r="S35" s="42"/>
      <c r="T35" s="41"/>
    </row>
    <row r="36" customFormat="false" ht="13.5" hidden="false" customHeight="true" outlineLevel="0" collapsed="false">
      <c r="A36" s="37" t="n">
        <v>33</v>
      </c>
      <c r="B36" s="37" t="n">
        <v>253</v>
      </c>
      <c r="C36" s="38" t="s">
        <v>250</v>
      </c>
      <c r="D36" s="37" t="s">
        <v>145</v>
      </c>
      <c r="E36" s="39" t="n">
        <v>26992</v>
      </c>
      <c r="F36" s="37" t="n">
        <f aca="true">IFERROR(DATEDIF(E36,TODAY(),"Y"),"")</f>
        <v>52</v>
      </c>
      <c r="G36" s="40" t="s">
        <v>251</v>
      </c>
      <c r="H36" s="40" t="s">
        <v>252</v>
      </c>
      <c r="I36" s="38" t="s">
        <v>253</v>
      </c>
      <c r="J36" s="38"/>
      <c r="K36" s="38" t="s">
        <v>254</v>
      </c>
      <c r="L36" s="38" t="s">
        <v>47</v>
      </c>
      <c r="M36" s="37"/>
      <c r="N36" s="39" t="n">
        <v>38520</v>
      </c>
      <c r="O36" s="41" t="s">
        <v>23</v>
      </c>
      <c r="P36" s="41" t="s">
        <v>105</v>
      </c>
      <c r="Q36" s="42"/>
      <c r="R36" s="41"/>
      <c r="S36" s="42"/>
      <c r="T36" s="41"/>
    </row>
    <row r="37" customFormat="false" ht="13.5" hidden="false" customHeight="true" outlineLevel="0" collapsed="false">
      <c r="A37" s="37" t="n">
        <v>34</v>
      </c>
      <c r="B37" s="37" t="n">
        <v>256</v>
      </c>
      <c r="C37" s="38" t="s">
        <v>255</v>
      </c>
      <c r="D37" s="37" t="s">
        <v>100</v>
      </c>
      <c r="E37" s="39" t="n">
        <v>22488</v>
      </c>
      <c r="F37" s="37" t="n">
        <f aca="true">IFERROR(DATEDIF(E37,TODAY(),"Y"),"")</f>
        <v>65</v>
      </c>
      <c r="G37" s="40" t="s">
        <v>256</v>
      </c>
      <c r="H37" s="40" t="s">
        <v>257</v>
      </c>
      <c r="I37" s="38" t="s">
        <v>258</v>
      </c>
      <c r="J37" s="38" t="s">
        <v>15</v>
      </c>
      <c r="K37" s="38" t="s">
        <v>259</v>
      </c>
      <c r="L37" s="38" t="s">
        <v>53</v>
      </c>
      <c r="M37" s="37" t="s">
        <v>104</v>
      </c>
      <c r="N37" s="39" t="n">
        <v>32555</v>
      </c>
      <c r="O37" s="41" t="s">
        <v>23</v>
      </c>
      <c r="P37" s="41" t="s">
        <v>105</v>
      </c>
      <c r="Q37" s="42"/>
      <c r="R37" s="41"/>
      <c r="S37" s="42"/>
      <c r="T37" s="41"/>
    </row>
    <row r="38" customFormat="false" ht="13.5" hidden="false" customHeight="true" outlineLevel="0" collapsed="false">
      <c r="A38" s="37" t="n">
        <v>35</v>
      </c>
      <c r="B38" s="37" t="n">
        <v>268</v>
      </c>
      <c r="C38" s="38" t="s">
        <v>260</v>
      </c>
      <c r="D38" s="37" t="s">
        <v>100</v>
      </c>
      <c r="E38" s="39" t="n">
        <v>22799</v>
      </c>
      <c r="F38" s="37" t="n">
        <f aca="true">IFERROR(DATEDIF(E38,TODAY(),"Y"),"")</f>
        <v>64</v>
      </c>
      <c r="G38" s="40" t="s">
        <v>261</v>
      </c>
      <c r="H38" s="40" t="s">
        <v>262</v>
      </c>
      <c r="I38" s="38" t="s">
        <v>263</v>
      </c>
      <c r="J38" s="38" t="s">
        <v>15</v>
      </c>
      <c r="K38" s="38" t="s">
        <v>264</v>
      </c>
      <c r="L38" s="38" t="s">
        <v>44</v>
      </c>
      <c r="M38" s="37"/>
      <c r="N38" s="39" t="n">
        <v>30739</v>
      </c>
      <c r="O38" s="41" t="s">
        <v>23</v>
      </c>
      <c r="P38" s="41" t="s">
        <v>105</v>
      </c>
      <c r="Q38" s="42"/>
      <c r="R38" s="41"/>
      <c r="S38" s="42"/>
      <c r="T38" s="41"/>
    </row>
    <row r="39" customFormat="false" ht="13.5" hidden="false" customHeight="true" outlineLevel="0" collapsed="false">
      <c r="A39" s="37" t="n">
        <v>36</v>
      </c>
      <c r="B39" s="37" t="n">
        <v>275</v>
      </c>
      <c r="C39" s="38" t="s">
        <v>265</v>
      </c>
      <c r="D39" s="37" t="s">
        <v>100</v>
      </c>
      <c r="E39" s="39" t="n">
        <v>21149</v>
      </c>
      <c r="F39" s="37" t="n">
        <f aca="true">IFERROR(DATEDIF(E39,TODAY(),"Y"),"")</f>
        <v>68</v>
      </c>
      <c r="G39" s="40" t="s">
        <v>266</v>
      </c>
      <c r="H39" s="40" t="s">
        <v>267</v>
      </c>
      <c r="I39" s="38" t="s">
        <v>268</v>
      </c>
      <c r="J39" s="38" t="s">
        <v>16</v>
      </c>
      <c r="K39" s="38" t="s">
        <v>269</v>
      </c>
      <c r="L39" s="38" t="s">
        <v>53</v>
      </c>
      <c r="M39" s="37" t="s">
        <v>104</v>
      </c>
      <c r="N39" s="39" t="n">
        <v>30709</v>
      </c>
      <c r="O39" s="41" t="s">
        <v>23</v>
      </c>
      <c r="P39" s="41" t="s">
        <v>105</v>
      </c>
      <c r="Q39" s="42"/>
      <c r="R39" s="41"/>
      <c r="S39" s="42"/>
      <c r="T39" s="41"/>
    </row>
    <row r="40" customFormat="false" ht="13.5" hidden="false" customHeight="true" outlineLevel="0" collapsed="false">
      <c r="A40" s="37" t="n">
        <v>37</v>
      </c>
      <c r="B40" s="37" t="n">
        <v>281</v>
      </c>
      <c r="C40" s="38" t="s">
        <v>270</v>
      </c>
      <c r="D40" s="37" t="s">
        <v>100</v>
      </c>
      <c r="E40" s="39" t="n">
        <v>20317</v>
      </c>
      <c r="F40" s="37" t="n">
        <f aca="true">IFERROR(DATEDIF(E40,TODAY(),"Y"),"")</f>
        <v>70</v>
      </c>
      <c r="G40" s="40" t="s">
        <v>271</v>
      </c>
      <c r="H40" s="40" t="s">
        <v>272</v>
      </c>
      <c r="I40" s="38" t="s">
        <v>273</v>
      </c>
      <c r="J40" s="38" t="s">
        <v>18</v>
      </c>
      <c r="K40" s="38" t="s">
        <v>274</v>
      </c>
      <c r="L40" s="38" t="s">
        <v>51</v>
      </c>
      <c r="M40" s="37" t="s">
        <v>120</v>
      </c>
      <c r="N40" s="39" t="n">
        <v>32567</v>
      </c>
      <c r="O40" s="41" t="s">
        <v>23</v>
      </c>
      <c r="P40" s="41" t="s">
        <v>105</v>
      </c>
      <c r="Q40" s="42"/>
      <c r="R40" s="41"/>
      <c r="S40" s="42"/>
      <c r="T40" s="41"/>
    </row>
    <row r="41" customFormat="false" ht="13.5" hidden="false" customHeight="true" outlineLevel="0" collapsed="false">
      <c r="A41" s="37" t="n">
        <v>38</v>
      </c>
      <c r="B41" s="37" t="n">
        <v>295</v>
      </c>
      <c r="C41" s="38" t="s">
        <v>275</v>
      </c>
      <c r="D41" s="37" t="s">
        <v>100</v>
      </c>
      <c r="E41" s="39" t="n">
        <v>18323</v>
      </c>
      <c r="F41" s="37" t="n">
        <f aca="true">IFERROR(DATEDIF(E41,TODAY(),"Y"),"")</f>
        <v>76</v>
      </c>
      <c r="G41" s="40" t="s">
        <v>276</v>
      </c>
      <c r="H41" s="40" t="s">
        <v>277</v>
      </c>
      <c r="I41" s="38" t="s">
        <v>278</v>
      </c>
      <c r="J41" s="38" t="s">
        <v>15</v>
      </c>
      <c r="K41" s="38" t="s">
        <v>279</v>
      </c>
      <c r="L41" s="38" t="s">
        <v>55</v>
      </c>
      <c r="M41" s="37" t="s">
        <v>120</v>
      </c>
      <c r="N41" s="39" t="n">
        <v>30685</v>
      </c>
      <c r="O41" s="41" t="s">
        <v>23</v>
      </c>
      <c r="P41" s="41" t="s">
        <v>105</v>
      </c>
      <c r="Q41" s="42"/>
      <c r="R41" s="41"/>
      <c r="S41" s="42"/>
      <c r="T41" s="41"/>
    </row>
    <row r="42" customFormat="false" ht="13.5" hidden="false" customHeight="true" outlineLevel="0" collapsed="false">
      <c r="A42" s="37" t="n">
        <v>39</v>
      </c>
      <c r="B42" s="37" t="n">
        <v>300</v>
      </c>
      <c r="C42" s="38" t="s">
        <v>280</v>
      </c>
      <c r="D42" s="37" t="s">
        <v>100</v>
      </c>
      <c r="E42" s="39" t="n">
        <v>19272</v>
      </c>
      <c r="F42" s="37" t="n">
        <f aca="true">IFERROR(DATEDIF(E42,TODAY(),"Y"),"")</f>
        <v>73</v>
      </c>
      <c r="G42" s="40" t="s">
        <v>281</v>
      </c>
      <c r="H42" s="40" t="s">
        <v>282</v>
      </c>
      <c r="I42" s="38" t="s">
        <v>283</v>
      </c>
      <c r="J42" s="38" t="s">
        <v>15</v>
      </c>
      <c r="K42" s="38" t="s">
        <v>284</v>
      </c>
      <c r="L42" s="38" t="s">
        <v>55</v>
      </c>
      <c r="M42" s="37" t="s">
        <v>104</v>
      </c>
      <c r="N42" s="39" t="n">
        <v>30707</v>
      </c>
      <c r="O42" s="41" t="s">
        <v>23</v>
      </c>
      <c r="P42" s="41" t="s">
        <v>105</v>
      </c>
      <c r="Q42" s="42"/>
      <c r="R42" s="41"/>
      <c r="S42" s="42"/>
      <c r="T42" s="41"/>
    </row>
    <row r="43" customFormat="false" ht="13.5" hidden="false" customHeight="true" outlineLevel="0" collapsed="false">
      <c r="A43" s="37" t="n">
        <v>40</v>
      </c>
      <c r="B43" s="37" t="n">
        <v>304</v>
      </c>
      <c r="C43" s="38" t="s">
        <v>285</v>
      </c>
      <c r="D43" s="37" t="s">
        <v>100</v>
      </c>
      <c r="E43" s="39" t="n">
        <v>21217</v>
      </c>
      <c r="F43" s="37" t="n">
        <f aca="true">IFERROR(DATEDIF(E43,TODAY(),"Y"),"")</f>
        <v>68</v>
      </c>
      <c r="G43" s="40" t="s">
        <v>286</v>
      </c>
      <c r="H43" s="40" t="s">
        <v>287</v>
      </c>
      <c r="I43" s="38" t="s">
        <v>288</v>
      </c>
      <c r="J43" s="38" t="s">
        <v>15</v>
      </c>
      <c r="K43" s="38" t="s">
        <v>220</v>
      </c>
      <c r="L43" s="38" t="s">
        <v>47</v>
      </c>
      <c r="M43" s="37" t="s">
        <v>104</v>
      </c>
      <c r="N43" s="39" t="n">
        <v>30707</v>
      </c>
      <c r="O43" s="41" t="s">
        <v>23</v>
      </c>
      <c r="P43" s="41" t="s">
        <v>105</v>
      </c>
      <c r="Q43" s="42"/>
      <c r="R43" s="41"/>
      <c r="S43" s="42"/>
      <c r="T43" s="41"/>
    </row>
    <row r="44" customFormat="false" ht="13.5" hidden="false" customHeight="true" outlineLevel="0" collapsed="false">
      <c r="A44" s="37" t="n">
        <v>41</v>
      </c>
      <c r="B44" s="37" t="n">
        <v>305</v>
      </c>
      <c r="C44" s="38" t="s">
        <v>289</v>
      </c>
      <c r="D44" s="37" t="s">
        <v>100</v>
      </c>
      <c r="E44" s="39" t="n">
        <v>22767</v>
      </c>
      <c r="F44" s="37" t="n">
        <f aca="true">IFERROR(DATEDIF(E44,TODAY(),"Y"),"")</f>
        <v>64</v>
      </c>
      <c r="G44" s="40"/>
      <c r="H44" s="40" t="s">
        <v>290</v>
      </c>
      <c r="I44" s="38" t="s">
        <v>291</v>
      </c>
      <c r="J44" s="38" t="s">
        <v>18</v>
      </c>
      <c r="K44" s="38" t="s">
        <v>292</v>
      </c>
      <c r="L44" s="38" t="s">
        <v>52</v>
      </c>
      <c r="M44" s="37" t="s">
        <v>104</v>
      </c>
      <c r="N44" s="39" t="n">
        <v>32557</v>
      </c>
      <c r="O44" s="41" t="s">
        <v>23</v>
      </c>
      <c r="P44" s="41" t="s">
        <v>105</v>
      </c>
      <c r="Q44" s="42"/>
      <c r="R44" s="41"/>
      <c r="S44" s="42"/>
      <c r="T44" s="41"/>
    </row>
    <row r="45" customFormat="false" ht="13.5" hidden="false" customHeight="true" outlineLevel="0" collapsed="false">
      <c r="A45" s="37" t="n">
        <v>42</v>
      </c>
      <c r="B45" s="37" t="n">
        <v>313</v>
      </c>
      <c r="C45" s="38" t="s">
        <v>293</v>
      </c>
      <c r="D45" s="37" t="s">
        <v>100</v>
      </c>
      <c r="E45" s="39" t="n">
        <v>20563</v>
      </c>
      <c r="F45" s="37" t="n">
        <f aca="true">IFERROR(DATEDIF(E45,TODAY(),"Y"),"")</f>
        <v>70</v>
      </c>
      <c r="G45" s="40" t="s">
        <v>294</v>
      </c>
      <c r="H45" s="40"/>
      <c r="I45" s="38"/>
      <c r="J45" s="38" t="s">
        <v>15</v>
      </c>
      <c r="K45" s="38" t="s">
        <v>295</v>
      </c>
      <c r="L45" s="38" t="s">
        <v>47</v>
      </c>
      <c r="M45" s="37"/>
      <c r="N45" s="39" t="n">
        <v>32557</v>
      </c>
      <c r="O45" s="41" t="s">
        <v>23</v>
      </c>
      <c r="P45" s="41" t="s">
        <v>105</v>
      </c>
      <c r="Q45" s="42"/>
      <c r="R45" s="41"/>
      <c r="S45" s="42"/>
      <c r="T45" s="41"/>
    </row>
    <row r="46" customFormat="false" ht="13.5" hidden="false" customHeight="true" outlineLevel="0" collapsed="false">
      <c r="A46" s="37" t="n">
        <v>43</v>
      </c>
      <c r="B46" s="37" t="n">
        <v>328</v>
      </c>
      <c r="C46" s="38" t="s">
        <v>296</v>
      </c>
      <c r="D46" s="37" t="s">
        <v>100</v>
      </c>
      <c r="E46" s="39" t="n">
        <v>20647</v>
      </c>
      <c r="F46" s="37" t="n">
        <f aca="true">IFERROR(DATEDIF(E46,TODAY(),"Y"),"")</f>
        <v>70</v>
      </c>
      <c r="G46" s="40" t="s">
        <v>297</v>
      </c>
      <c r="H46" s="40" t="s">
        <v>298</v>
      </c>
      <c r="I46" s="38" t="s">
        <v>299</v>
      </c>
      <c r="J46" s="38" t="s">
        <v>15</v>
      </c>
      <c r="K46" s="38" t="s">
        <v>300</v>
      </c>
      <c r="L46" s="38" t="s">
        <v>43</v>
      </c>
      <c r="M46" s="37" t="s">
        <v>177</v>
      </c>
      <c r="N46" s="39" t="n">
        <v>32551</v>
      </c>
      <c r="O46" s="41" t="s">
        <v>23</v>
      </c>
      <c r="P46" s="41" t="s">
        <v>105</v>
      </c>
      <c r="Q46" s="42"/>
      <c r="R46" s="41"/>
      <c r="S46" s="42"/>
      <c r="T46" s="41"/>
    </row>
    <row r="47" customFormat="false" ht="13.5" hidden="false" customHeight="true" outlineLevel="0" collapsed="false">
      <c r="A47" s="37" t="n">
        <v>44</v>
      </c>
      <c r="B47" s="37" t="n">
        <v>331</v>
      </c>
      <c r="C47" s="38" t="s">
        <v>301</v>
      </c>
      <c r="D47" s="37" t="s">
        <v>100</v>
      </c>
      <c r="E47" s="39" t="n">
        <v>20859</v>
      </c>
      <c r="F47" s="37" t="n">
        <f aca="true">IFERROR(DATEDIF(E47,TODAY(),"Y"),"")</f>
        <v>69</v>
      </c>
      <c r="G47" s="40" t="s">
        <v>302</v>
      </c>
      <c r="H47" s="40" t="s">
        <v>303</v>
      </c>
      <c r="I47" s="38" t="s">
        <v>304</v>
      </c>
      <c r="J47" s="38" t="s">
        <v>15</v>
      </c>
      <c r="K47" s="38" t="s">
        <v>305</v>
      </c>
      <c r="L47" s="43" t="s">
        <v>58</v>
      </c>
      <c r="M47" s="37" t="s">
        <v>104</v>
      </c>
      <c r="N47" s="39" t="n">
        <v>32554</v>
      </c>
      <c r="O47" s="41" t="s">
        <v>23</v>
      </c>
      <c r="P47" s="41" t="s">
        <v>105</v>
      </c>
      <c r="Q47" s="42"/>
      <c r="R47" s="41"/>
      <c r="S47" s="42"/>
      <c r="T47" s="41"/>
    </row>
    <row r="48" customFormat="false" ht="13.5" hidden="false" customHeight="true" outlineLevel="0" collapsed="false">
      <c r="A48" s="37" t="n">
        <v>45</v>
      </c>
      <c r="B48" s="37" t="n">
        <v>332</v>
      </c>
      <c r="C48" s="38" t="s">
        <v>306</v>
      </c>
      <c r="D48" s="37" t="s">
        <v>100</v>
      </c>
      <c r="E48" s="39" t="n">
        <v>19511</v>
      </c>
      <c r="F48" s="37" t="n">
        <f aca="true">IFERROR(DATEDIF(E48,TODAY(),"Y"),"")</f>
        <v>73</v>
      </c>
      <c r="G48" s="40" t="s">
        <v>307</v>
      </c>
      <c r="H48" s="40"/>
      <c r="I48" s="38" t="s">
        <v>308</v>
      </c>
      <c r="J48" s="38" t="s">
        <v>16</v>
      </c>
      <c r="K48" s="38" t="s">
        <v>309</v>
      </c>
      <c r="L48" s="38" t="s">
        <v>56</v>
      </c>
      <c r="M48" s="37" t="s">
        <v>120</v>
      </c>
      <c r="N48" s="39" t="n">
        <v>30702</v>
      </c>
      <c r="O48" s="41" t="s">
        <v>23</v>
      </c>
      <c r="P48" s="41" t="s">
        <v>105</v>
      </c>
      <c r="Q48" s="42"/>
      <c r="R48" s="41"/>
      <c r="S48" s="42"/>
      <c r="T48" s="41"/>
    </row>
    <row r="49" customFormat="false" ht="13.5" hidden="false" customHeight="true" outlineLevel="0" collapsed="false">
      <c r="A49" s="37" t="n">
        <v>46</v>
      </c>
      <c r="B49" s="37" t="n">
        <v>341</v>
      </c>
      <c r="C49" s="38" t="s">
        <v>310</v>
      </c>
      <c r="D49" s="37" t="s">
        <v>100</v>
      </c>
      <c r="E49" s="39" t="n">
        <v>18285</v>
      </c>
      <c r="F49" s="37" t="n">
        <f aca="true">IFERROR(DATEDIF(E49,TODAY(),"Y"),"")</f>
        <v>76</v>
      </c>
      <c r="G49" s="40" t="s">
        <v>311</v>
      </c>
      <c r="H49" s="40"/>
      <c r="I49" s="38" t="s">
        <v>312</v>
      </c>
      <c r="J49" s="38" t="s">
        <v>15</v>
      </c>
      <c r="K49" s="38" t="s">
        <v>313</v>
      </c>
      <c r="L49" s="38" t="s">
        <v>53</v>
      </c>
      <c r="M49" s="37" t="s">
        <v>120</v>
      </c>
      <c r="N49" s="39" t="n">
        <v>32551</v>
      </c>
      <c r="O49" s="41" t="s">
        <v>23</v>
      </c>
      <c r="P49" s="41" t="s">
        <v>105</v>
      </c>
      <c r="Q49" s="42"/>
      <c r="R49" s="41"/>
      <c r="S49" s="42"/>
      <c r="T49" s="41"/>
    </row>
    <row r="50" customFormat="false" ht="13.5" hidden="false" customHeight="true" outlineLevel="0" collapsed="false">
      <c r="A50" s="37" t="n">
        <v>47</v>
      </c>
      <c r="B50" s="37" t="n">
        <v>351</v>
      </c>
      <c r="C50" s="38" t="s">
        <v>314</v>
      </c>
      <c r="D50" s="37" t="s">
        <v>100</v>
      </c>
      <c r="E50" s="39" t="n">
        <v>20042</v>
      </c>
      <c r="F50" s="37" t="n">
        <f aca="true">IFERROR(DATEDIF(E50,TODAY(),"Y"),"")</f>
        <v>71</v>
      </c>
      <c r="G50" s="40" t="s">
        <v>315</v>
      </c>
      <c r="H50" s="40" t="s">
        <v>316</v>
      </c>
      <c r="I50" s="38" t="s">
        <v>317</v>
      </c>
      <c r="J50" s="38" t="s">
        <v>15</v>
      </c>
      <c r="K50" s="38" t="s">
        <v>318</v>
      </c>
      <c r="L50" s="38" t="s">
        <v>46</v>
      </c>
      <c r="M50" s="37" t="s">
        <v>120</v>
      </c>
      <c r="N50" s="39" t="n">
        <v>32553</v>
      </c>
      <c r="O50" s="41" t="s">
        <v>23</v>
      </c>
      <c r="P50" s="41" t="s">
        <v>105</v>
      </c>
      <c r="Q50" s="42"/>
      <c r="R50" s="41"/>
      <c r="S50" s="42"/>
      <c r="T50" s="41"/>
    </row>
    <row r="51" customFormat="false" ht="13.5" hidden="false" customHeight="true" outlineLevel="0" collapsed="false">
      <c r="A51" s="37" t="n">
        <v>48</v>
      </c>
      <c r="B51" s="37" t="n">
        <v>358</v>
      </c>
      <c r="C51" s="38" t="s">
        <v>319</v>
      </c>
      <c r="D51" s="37" t="s">
        <v>100</v>
      </c>
      <c r="E51" s="39" t="n">
        <v>21899</v>
      </c>
      <c r="F51" s="37" t="n">
        <f aca="true">IFERROR(DATEDIF(E51,TODAY(),"Y"),"")</f>
        <v>66</v>
      </c>
      <c r="G51" s="40" t="s">
        <v>320</v>
      </c>
      <c r="H51" s="40"/>
      <c r="I51" s="38"/>
      <c r="J51" s="38" t="s">
        <v>15</v>
      </c>
      <c r="K51" s="38" t="s">
        <v>321</v>
      </c>
      <c r="L51" s="38" t="s">
        <v>47</v>
      </c>
      <c r="M51" s="37"/>
      <c r="N51" s="39" t="n">
        <v>32557</v>
      </c>
      <c r="O51" s="41" t="s">
        <v>23</v>
      </c>
      <c r="P51" s="41" t="s">
        <v>105</v>
      </c>
      <c r="Q51" s="42"/>
      <c r="R51" s="41"/>
      <c r="S51" s="42"/>
      <c r="T51" s="41"/>
    </row>
    <row r="52" customFormat="false" ht="13.5" hidden="false" customHeight="true" outlineLevel="0" collapsed="false">
      <c r="A52" s="37" t="n">
        <v>49</v>
      </c>
      <c r="B52" s="37" t="n">
        <v>364</v>
      </c>
      <c r="C52" s="38" t="s">
        <v>322</v>
      </c>
      <c r="D52" s="37" t="s">
        <v>100</v>
      </c>
      <c r="E52" s="39" t="n">
        <v>20678</v>
      </c>
      <c r="F52" s="37" t="n">
        <f aca="true">IFERROR(DATEDIF(E52,TODAY(),"Y"),"")</f>
        <v>69</v>
      </c>
      <c r="G52" s="40" t="s">
        <v>323</v>
      </c>
      <c r="H52" s="40" t="s">
        <v>324</v>
      </c>
      <c r="I52" s="38" t="s">
        <v>325</v>
      </c>
      <c r="J52" s="38" t="s">
        <v>15</v>
      </c>
      <c r="K52" s="38" t="s">
        <v>326</v>
      </c>
      <c r="L52" s="38" t="s">
        <v>51</v>
      </c>
      <c r="M52" s="37" t="s">
        <v>231</v>
      </c>
      <c r="N52" s="39" t="n">
        <v>32554</v>
      </c>
      <c r="O52" s="41" t="s">
        <v>23</v>
      </c>
      <c r="P52" s="41" t="s">
        <v>105</v>
      </c>
      <c r="Q52" s="42"/>
      <c r="R52" s="41"/>
      <c r="S52" s="42"/>
      <c r="T52" s="41"/>
    </row>
    <row r="53" customFormat="false" ht="13.5" hidden="false" customHeight="true" outlineLevel="0" collapsed="false">
      <c r="A53" s="37" t="n">
        <v>50</v>
      </c>
      <c r="B53" s="37" t="n">
        <v>367</v>
      </c>
      <c r="C53" s="38" t="s">
        <v>327</v>
      </c>
      <c r="D53" s="37" t="s">
        <v>100</v>
      </c>
      <c r="E53" s="39" t="n">
        <v>21644</v>
      </c>
      <c r="F53" s="37" t="n">
        <f aca="true">IFERROR(DATEDIF(E53,TODAY(),"Y"),"")</f>
        <v>67</v>
      </c>
      <c r="G53" s="40" t="s">
        <v>328</v>
      </c>
      <c r="H53" s="40" t="s">
        <v>329</v>
      </c>
      <c r="I53" s="38" t="s">
        <v>330</v>
      </c>
      <c r="J53" s="38" t="s">
        <v>15</v>
      </c>
      <c r="K53" s="38" t="s">
        <v>331</v>
      </c>
      <c r="L53" s="38" t="s">
        <v>47</v>
      </c>
      <c r="M53" s="37" t="s">
        <v>120</v>
      </c>
      <c r="N53" s="39" t="n">
        <v>32551</v>
      </c>
      <c r="O53" s="41" t="s">
        <v>23</v>
      </c>
      <c r="P53" s="41" t="s">
        <v>105</v>
      </c>
      <c r="Q53" s="42"/>
      <c r="R53" s="41"/>
      <c r="S53" s="42"/>
      <c r="T53" s="41"/>
    </row>
    <row r="54" customFormat="false" ht="13.5" hidden="false" customHeight="true" outlineLevel="0" collapsed="false">
      <c r="A54" s="37" t="n">
        <v>51</v>
      </c>
      <c r="B54" s="37" t="n">
        <v>371</v>
      </c>
      <c r="C54" s="38" t="s">
        <v>332</v>
      </c>
      <c r="D54" s="37" t="s">
        <v>100</v>
      </c>
      <c r="E54" s="39" t="n">
        <v>18112</v>
      </c>
      <c r="F54" s="37" t="n">
        <f aca="true">IFERROR(DATEDIF(E54,TODAY(),"Y"),"")</f>
        <v>77</v>
      </c>
      <c r="G54" s="40" t="s">
        <v>333</v>
      </c>
      <c r="H54" s="40"/>
      <c r="I54" s="38" t="s">
        <v>334</v>
      </c>
      <c r="J54" s="38" t="s">
        <v>16</v>
      </c>
      <c r="K54" s="38" t="s">
        <v>335</v>
      </c>
      <c r="L54" s="38" t="s">
        <v>47</v>
      </c>
      <c r="M54" s="37"/>
      <c r="N54" s="39" t="n">
        <v>32567</v>
      </c>
      <c r="O54" s="41" t="s">
        <v>23</v>
      </c>
      <c r="P54" s="41" t="s">
        <v>105</v>
      </c>
      <c r="Q54" s="42"/>
      <c r="R54" s="41"/>
      <c r="S54" s="42"/>
      <c r="T54" s="41"/>
    </row>
    <row r="55" customFormat="false" ht="13.5" hidden="false" customHeight="true" outlineLevel="0" collapsed="false">
      <c r="A55" s="37" t="n">
        <v>52</v>
      </c>
      <c r="B55" s="37" t="n">
        <v>394</v>
      </c>
      <c r="C55" s="38" t="s">
        <v>336</v>
      </c>
      <c r="D55" s="37" t="s">
        <v>100</v>
      </c>
      <c r="E55" s="39" t="n">
        <v>18725</v>
      </c>
      <c r="F55" s="37" t="n">
        <f aca="true">IFERROR(DATEDIF(E55,TODAY(),"Y"),"")</f>
        <v>75</v>
      </c>
      <c r="G55" s="40" t="s">
        <v>337</v>
      </c>
      <c r="H55" s="40" t="s">
        <v>338</v>
      </c>
      <c r="I55" s="38" t="s">
        <v>339</v>
      </c>
      <c r="J55" s="38" t="s">
        <v>18</v>
      </c>
      <c r="K55" s="38" t="s">
        <v>340</v>
      </c>
      <c r="L55" s="38" t="s">
        <v>44</v>
      </c>
      <c r="M55" s="37"/>
      <c r="N55" s="39" t="n">
        <v>31349</v>
      </c>
      <c r="O55" s="41" t="s">
        <v>23</v>
      </c>
      <c r="P55" s="41" t="s">
        <v>105</v>
      </c>
      <c r="Q55" s="42"/>
      <c r="R55" s="41"/>
      <c r="S55" s="42"/>
      <c r="T55" s="41"/>
    </row>
    <row r="56" customFormat="false" ht="13.5" hidden="false" customHeight="true" outlineLevel="0" collapsed="false">
      <c r="A56" s="37" t="n">
        <v>53</v>
      </c>
      <c r="B56" s="37" t="n">
        <v>397</v>
      </c>
      <c r="C56" s="38" t="s">
        <v>341</v>
      </c>
      <c r="D56" s="37" t="s">
        <v>100</v>
      </c>
      <c r="E56" s="39" t="n">
        <v>16900</v>
      </c>
      <c r="F56" s="37" t="n">
        <f aca="true">IFERROR(DATEDIF(E56,TODAY(),"Y"),"")</f>
        <v>80</v>
      </c>
      <c r="G56" s="40" t="s">
        <v>342</v>
      </c>
      <c r="H56" s="40" t="s">
        <v>343</v>
      </c>
      <c r="I56" s="38" t="s">
        <v>344</v>
      </c>
      <c r="J56" s="38" t="s">
        <v>15</v>
      </c>
      <c r="K56" s="38" t="s">
        <v>345</v>
      </c>
      <c r="L56" s="38" t="s">
        <v>55</v>
      </c>
      <c r="M56" s="37" t="s">
        <v>120</v>
      </c>
      <c r="N56" s="39" t="n">
        <v>32557</v>
      </c>
      <c r="O56" s="41" t="s">
        <v>23</v>
      </c>
      <c r="P56" s="41" t="s">
        <v>105</v>
      </c>
      <c r="Q56" s="42"/>
      <c r="R56" s="41"/>
      <c r="S56" s="42"/>
      <c r="T56" s="41"/>
    </row>
    <row r="57" customFormat="false" ht="13.5" hidden="false" customHeight="true" outlineLevel="0" collapsed="false">
      <c r="A57" s="37" t="n">
        <v>54</v>
      </c>
      <c r="B57" s="37" t="n">
        <v>402</v>
      </c>
      <c r="C57" s="38" t="s">
        <v>346</v>
      </c>
      <c r="D57" s="37" t="s">
        <v>100</v>
      </c>
      <c r="E57" s="39" t="n">
        <v>18597</v>
      </c>
      <c r="F57" s="37" t="n">
        <f aca="true">IFERROR(DATEDIF(E57,TODAY(),"Y"),"")</f>
        <v>75</v>
      </c>
      <c r="G57" s="40" t="s">
        <v>347</v>
      </c>
      <c r="H57" s="40" t="s">
        <v>348</v>
      </c>
      <c r="I57" s="38" t="s">
        <v>349</v>
      </c>
      <c r="J57" s="38" t="s">
        <v>24</v>
      </c>
      <c r="K57" s="38" t="s">
        <v>350</v>
      </c>
      <c r="L57" s="38" t="s">
        <v>54</v>
      </c>
      <c r="M57" s="37" t="s">
        <v>104</v>
      </c>
      <c r="N57" s="39" t="n">
        <v>32551</v>
      </c>
      <c r="O57" s="41" t="s">
        <v>23</v>
      </c>
      <c r="P57" s="41" t="s">
        <v>105</v>
      </c>
      <c r="Q57" s="42"/>
      <c r="R57" s="41"/>
      <c r="S57" s="42"/>
      <c r="T57" s="41"/>
    </row>
    <row r="58" customFormat="false" ht="13.5" hidden="false" customHeight="true" outlineLevel="0" collapsed="false">
      <c r="A58" s="37" t="n">
        <v>55</v>
      </c>
      <c r="B58" s="37" t="n">
        <v>404</v>
      </c>
      <c r="C58" s="38" t="s">
        <v>351</v>
      </c>
      <c r="D58" s="37" t="s">
        <v>100</v>
      </c>
      <c r="E58" s="39" t="n">
        <v>18378</v>
      </c>
      <c r="F58" s="37" t="n">
        <f aca="true">IFERROR(DATEDIF(E58,TODAY(),"Y"),"")</f>
        <v>76</v>
      </c>
      <c r="G58" s="40" t="s">
        <v>352</v>
      </c>
      <c r="H58" s="40"/>
      <c r="I58" s="38" t="s">
        <v>353</v>
      </c>
      <c r="J58" s="38" t="s">
        <v>15</v>
      </c>
      <c r="K58" s="38" t="s">
        <v>354</v>
      </c>
      <c r="L58" s="38" t="s">
        <v>55</v>
      </c>
      <c r="M58" s="37"/>
      <c r="N58" s="39" t="n">
        <v>30696</v>
      </c>
      <c r="O58" s="41" t="s">
        <v>23</v>
      </c>
      <c r="P58" s="41" t="s">
        <v>105</v>
      </c>
      <c r="Q58" s="42"/>
      <c r="R58" s="41"/>
      <c r="S58" s="42"/>
      <c r="T58" s="41"/>
    </row>
    <row r="59" customFormat="false" ht="13.5" hidden="false" customHeight="true" outlineLevel="0" collapsed="false">
      <c r="A59" s="37" t="n">
        <v>56</v>
      </c>
      <c r="B59" s="37" t="n">
        <v>408</v>
      </c>
      <c r="C59" s="38" t="s">
        <v>355</v>
      </c>
      <c r="D59" s="37" t="s">
        <v>100</v>
      </c>
      <c r="E59" s="39" t="n">
        <v>19909</v>
      </c>
      <c r="F59" s="37" t="n">
        <f aca="true">IFERROR(DATEDIF(E59,TODAY(),"Y"),"")</f>
        <v>72</v>
      </c>
      <c r="G59" s="40" t="s">
        <v>356</v>
      </c>
      <c r="H59" s="40" t="s">
        <v>357</v>
      </c>
      <c r="I59" s="38" t="s">
        <v>358</v>
      </c>
      <c r="J59" s="38" t="s">
        <v>15</v>
      </c>
      <c r="K59" s="38" t="s">
        <v>359</v>
      </c>
      <c r="L59" s="38" t="s">
        <v>55</v>
      </c>
      <c r="M59" s="37" t="s">
        <v>104</v>
      </c>
      <c r="N59" s="39" t="n">
        <v>30721</v>
      </c>
      <c r="O59" s="41" t="s">
        <v>23</v>
      </c>
      <c r="P59" s="41" t="s">
        <v>105</v>
      </c>
      <c r="Q59" s="42"/>
      <c r="R59" s="41"/>
      <c r="S59" s="42"/>
      <c r="T59" s="41"/>
    </row>
    <row r="60" customFormat="false" ht="13.5" hidden="false" customHeight="true" outlineLevel="0" collapsed="false">
      <c r="A60" s="37" t="n">
        <v>57</v>
      </c>
      <c r="B60" s="37" t="n">
        <v>428</v>
      </c>
      <c r="C60" s="38" t="s">
        <v>360</v>
      </c>
      <c r="D60" s="37" t="s">
        <v>100</v>
      </c>
      <c r="E60" s="39" t="n">
        <v>19908</v>
      </c>
      <c r="F60" s="37" t="n">
        <f aca="true">IFERROR(DATEDIF(E60,TODAY(),"Y"),"")</f>
        <v>72</v>
      </c>
      <c r="G60" s="40" t="s">
        <v>361</v>
      </c>
      <c r="H60" s="40" t="s">
        <v>362</v>
      </c>
      <c r="I60" s="38" t="s">
        <v>363</v>
      </c>
      <c r="J60" s="38" t="s">
        <v>15</v>
      </c>
      <c r="K60" s="38" t="s">
        <v>364</v>
      </c>
      <c r="L60" s="38" t="s">
        <v>55</v>
      </c>
      <c r="M60" s="37" t="s">
        <v>177</v>
      </c>
      <c r="N60" s="39" t="n">
        <v>31381</v>
      </c>
      <c r="O60" s="41" t="s">
        <v>23</v>
      </c>
      <c r="P60" s="41" t="s">
        <v>105</v>
      </c>
      <c r="Q60" s="42"/>
      <c r="R60" s="41"/>
      <c r="S60" s="42"/>
      <c r="T60" s="41"/>
    </row>
    <row r="61" customFormat="false" ht="13.5" hidden="false" customHeight="true" outlineLevel="0" collapsed="false">
      <c r="A61" s="37" t="n">
        <v>58</v>
      </c>
      <c r="B61" s="37" t="n">
        <v>429</v>
      </c>
      <c r="C61" s="38" t="s">
        <v>365</v>
      </c>
      <c r="D61" s="37" t="s">
        <v>100</v>
      </c>
      <c r="E61" s="39" t="n">
        <v>21957</v>
      </c>
      <c r="F61" s="37" t="n">
        <f aca="true">IFERROR(DATEDIF(E61,TODAY(),"Y"),"")</f>
        <v>66</v>
      </c>
      <c r="G61" s="40" t="s">
        <v>366</v>
      </c>
      <c r="H61" s="40" t="s">
        <v>367</v>
      </c>
      <c r="I61" s="38" t="s">
        <v>368</v>
      </c>
      <c r="J61" s="38" t="s">
        <v>15</v>
      </c>
      <c r="K61" s="38" t="s">
        <v>369</v>
      </c>
      <c r="L61" s="38" t="s">
        <v>55</v>
      </c>
      <c r="M61" s="37" t="s">
        <v>120</v>
      </c>
      <c r="N61" s="39" t="n">
        <v>32554</v>
      </c>
      <c r="O61" s="41" t="s">
        <v>23</v>
      </c>
      <c r="P61" s="41" t="s">
        <v>105</v>
      </c>
      <c r="Q61" s="42"/>
      <c r="R61" s="41"/>
      <c r="S61" s="42"/>
      <c r="T61" s="41"/>
    </row>
    <row r="62" customFormat="false" ht="13.5" hidden="false" customHeight="true" outlineLevel="0" collapsed="false">
      <c r="A62" s="37" t="n">
        <v>59</v>
      </c>
      <c r="B62" s="37" t="n">
        <v>433</v>
      </c>
      <c r="C62" s="38" t="s">
        <v>370</v>
      </c>
      <c r="D62" s="37" t="s">
        <v>100</v>
      </c>
      <c r="E62" s="39" t="n">
        <v>21335</v>
      </c>
      <c r="F62" s="37" t="n">
        <f aca="true">IFERROR(DATEDIF(E62,TODAY(),"Y"),"")</f>
        <v>68</v>
      </c>
      <c r="G62" s="40" t="s">
        <v>371</v>
      </c>
      <c r="H62" s="40" t="s">
        <v>362</v>
      </c>
      <c r="I62" s="38" t="s">
        <v>363</v>
      </c>
      <c r="J62" s="38" t="s">
        <v>15</v>
      </c>
      <c r="K62" s="38" t="s">
        <v>372</v>
      </c>
      <c r="L62" s="38" t="s">
        <v>55</v>
      </c>
      <c r="M62" s="37" t="s">
        <v>120</v>
      </c>
      <c r="N62" s="39" t="n">
        <v>32555</v>
      </c>
      <c r="O62" s="41" t="s">
        <v>23</v>
      </c>
      <c r="P62" s="41" t="s">
        <v>105</v>
      </c>
      <c r="Q62" s="42"/>
      <c r="R62" s="41"/>
      <c r="S62" s="42"/>
      <c r="T62" s="41"/>
    </row>
    <row r="63" customFormat="false" ht="13.5" hidden="false" customHeight="true" outlineLevel="0" collapsed="false">
      <c r="A63" s="37" t="n">
        <v>60</v>
      </c>
      <c r="B63" s="37" t="n">
        <v>434</v>
      </c>
      <c r="C63" s="38" t="s">
        <v>373</v>
      </c>
      <c r="D63" s="37" t="s">
        <v>100</v>
      </c>
      <c r="E63" s="39" t="n">
        <v>19153</v>
      </c>
      <c r="F63" s="37" t="n">
        <f aca="true">IFERROR(DATEDIF(E63,TODAY(),"Y"),"")</f>
        <v>74</v>
      </c>
      <c r="G63" s="40" t="s">
        <v>374</v>
      </c>
      <c r="H63" s="40" t="s">
        <v>375</v>
      </c>
      <c r="I63" s="38"/>
      <c r="J63" s="38" t="s">
        <v>15</v>
      </c>
      <c r="K63" s="38" t="s">
        <v>364</v>
      </c>
      <c r="L63" s="38" t="s">
        <v>55</v>
      </c>
      <c r="M63" s="37" t="s">
        <v>231</v>
      </c>
      <c r="N63" s="39" t="n">
        <v>32559</v>
      </c>
      <c r="O63" s="41" t="s">
        <v>23</v>
      </c>
      <c r="P63" s="41" t="s">
        <v>105</v>
      </c>
      <c r="Q63" s="42"/>
      <c r="R63" s="41"/>
      <c r="S63" s="42"/>
      <c r="T63" s="41"/>
    </row>
    <row r="64" customFormat="false" ht="13.5" hidden="false" customHeight="true" outlineLevel="0" collapsed="false">
      <c r="A64" s="37" t="n">
        <v>61</v>
      </c>
      <c r="B64" s="37" t="n">
        <v>436</v>
      </c>
      <c r="C64" s="38" t="s">
        <v>376</v>
      </c>
      <c r="D64" s="37" t="s">
        <v>100</v>
      </c>
      <c r="E64" s="39" t="n">
        <v>19013</v>
      </c>
      <c r="F64" s="37" t="n">
        <f aca="true">IFERROR(DATEDIF(E64,TODAY(),"Y"),"")</f>
        <v>74</v>
      </c>
      <c r="G64" s="40" t="s">
        <v>377</v>
      </c>
      <c r="H64" s="40"/>
      <c r="I64" s="38" t="s">
        <v>378</v>
      </c>
      <c r="J64" s="38" t="s">
        <v>15</v>
      </c>
      <c r="K64" s="38" t="s">
        <v>379</v>
      </c>
      <c r="L64" s="38" t="s">
        <v>55</v>
      </c>
      <c r="M64" s="37" t="s">
        <v>120</v>
      </c>
      <c r="N64" s="39" t="n">
        <v>32564</v>
      </c>
      <c r="O64" s="41" t="s">
        <v>23</v>
      </c>
      <c r="P64" s="41" t="s">
        <v>105</v>
      </c>
      <c r="Q64" s="42"/>
      <c r="R64" s="41"/>
      <c r="S64" s="42"/>
      <c r="T64" s="41"/>
    </row>
    <row r="65" customFormat="false" ht="13.5" hidden="false" customHeight="true" outlineLevel="0" collapsed="false">
      <c r="A65" s="37" t="n">
        <v>62</v>
      </c>
      <c r="B65" s="37" t="n">
        <v>439</v>
      </c>
      <c r="C65" s="38" t="s">
        <v>380</v>
      </c>
      <c r="D65" s="37" t="s">
        <v>100</v>
      </c>
      <c r="E65" s="39" t="n">
        <v>18342</v>
      </c>
      <c r="F65" s="37" t="n">
        <f aca="true">IFERROR(DATEDIF(E65,TODAY(),"Y"),"")</f>
        <v>76</v>
      </c>
      <c r="G65" s="40" t="s">
        <v>381</v>
      </c>
      <c r="H65" s="40"/>
      <c r="I65" s="38"/>
      <c r="J65" s="38" t="s">
        <v>15</v>
      </c>
      <c r="K65" s="38" t="s">
        <v>382</v>
      </c>
      <c r="L65" s="38" t="s">
        <v>46</v>
      </c>
      <c r="M65" s="37" t="s">
        <v>104</v>
      </c>
      <c r="N65" s="39" t="n">
        <v>31386</v>
      </c>
      <c r="O65" s="41" t="s">
        <v>23</v>
      </c>
      <c r="P65" s="41" t="s">
        <v>105</v>
      </c>
      <c r="Q65" s="42"/>
      <c r="R65" s="41"/>
      <c r="S65" s="42"/>
      <c r="T65" s="41"/>
    </row>
    <row r="66" customFormat="false" ht="13.5" hidden="false" customHeight="true" outlineLevel="0" collapsed="false">
      <c r="A66" s="37" t="n">
        <v>63</v>
      </c>
      <c r="B66" s="37" t="n">
        <v>440</v>
      </c>
      <c r="C66" s="38" t="s">
        <v>383</v>
      </c>
      <c r="D66" s="37" t="s">
        <v>100</v>
      </c>
      <c r="E66" s="39" t="n">
        <v>20780</v>
      </c>
      <c r="F66" s="37" t="n">
        <f aca="true">IFERROR(DATEDIF(E66,TODAY(),"Y"),"")</f>
        <v>69</v>
      </c>
      <c r="G66" s="40" t="s">
        <v>384</v>
      </c>
      <c r="H66" s="40" t="s">
        <v>385</v>
      </c>
      <c r="I66" s="38" t="s">
        <v>386</v>
      </c>
      <c r="J66" s="38" t="s">
        <v>15</v>
      </c>
      <c r="K66" s="38" t="s">
        <v>387</v>
      </c>
      <c r="L66" s="38" t="s">
        <v>55</v>
      </c>
      <c r="M66" s="37" t="s">
        <v>231</v>
      </c>
      <c r="N66" s="39" t="n">
        <v>32559</v>
      </c>
      <c r="O66" s="41" t="s">
        <v>23</v>
      </c>
      <c r="P66" s="41" t="s">
        <v>105</v>
      </c>
      <c r="Q66" s="42"/>
      <c r="R66" s="41"/>
      <c r="S66" s="42"/>
      <c r="T66" s="41"/>
    </row>
    <row r="67" customFormat="false" ht="13.5" hidden="false" customHeight="true" outlineLevel="0" collapsed="false">
      <c r="A67" s="37" t="n">
        <v>64</v>
      </c>
      <c r="B67" s="37" t="n">
        <v>442</v>
      </c>
      <c r="C67" s="38" t="s">
        <v>388</v>
      </c>
      <c r="D67" s="37" t="s">
        <v>100</v>
      </c>
      <c r="E67" s="39" t="n">
        <v>20606</v>
      </c>
      <c r="F67" s="37" t="n">
        <f aca="true">IFERROR(DATEDIF(E67,TODAY(),"Y"),"")</f>
        <v>70</v>
      </c>
      <c r="G67" s="40" t="s">
        <v>389</v>
      </c>
      <c r="H67" s="40" t="s">
        <v>390</v>
      </c>
      <c r="I67" s="38" t="s">
        <v>391</v>
      </c>
      <c r="J67" s="38" t="s">
        <v>15</v>
      </c>
      <c r="K67" s="38" t="s">
        <v>392</v>
      </c>
      <c r="L67" s="38" t="s">
        <v>53</v>
      </c>
      <c r="M67" s="37" t="s">
        <v>120</v>
      </c>
      <c r="N67" s="39" t="n">
        <v>32555</v>
      </c>
      <c r="O67" s="41" t="s">
        <v>23</v>
      </c>
      <c r="P67" s="41" t="s">
        <v>105</v>
      </c>
      <c r="Q67" s="42"/>
      <c r="R67" s="41"/>
      <c r="S67" s="42"/>
      <c r="T67" s="41"/>
    </row>
    <row r="68" customFormat="false" ht="13.5" hidden="false" customHeight="true" outlineLevel="0" collapsed="false">
      <c r="A68" s="37" t="n">
        <v>65</v>
      </c>
      <c r="B68" s="37" t="n">
        <v>444</v>
      </c>
      <c r="C68" s="38" t="s">
        <v>393</v>
      </c>
      <c r="D68" s="37" t="s">
        <v>100</v>
      </c>
      <c r="E68" s="39" t="n">
        <v>17823</v>
      </c>
      <c r="F68" s="37" t="n">
        <f aca="true">IFERROR(DATEDIF(E68,TODAY(),"Y"),"")</f>
        <v>77</v>
      </c>
      <c r="G68" s="40" t="s">
        <v>394</v>
      </c>
      <c r="H68" s="40"/>
      <c r="I68" s="38"/>
      <c r="J68" s="38" t="s">
        <v>15</v>
      </c>
      <c r="K68" s="38" t="s">
        <v>395</v>
      </c>
      <c r="L68" s="38" t="s">
        <v>49</v>
      </c>
      <c r="M68" s="37" t="s">
        <v>120</v>
      </c>
      <c r="N68" s="39" t="n">
        <v>32551</v>
      </c>
      <c r="O68" s="41" t="s">
        <v>23</v>
      </c>
      <c r="P68" s="41" t="s">
        <v>105</v>
      </c>
      <c r="Q68" s="42"/>
      <c r="R68" s="41"/>
      <c r="S68" s="42"/>
      <c r="T68" s="41"/>
    </row>
    <row r="69" customFormat="false" ht="13.5" hidden="false" customHeight="true" outlineLevel="0" collapsed="false">
      <c r="A69" s="37" t="n">
        <v>66</v>
      </c>
      <c r="B69" s="37" t="n">
        <v>445</v>
      </c>
      <c r="C69" s="38" t="s">
        <v>396</v>
      </c>
      <c r="D69" s="37" t="s">
        <v>100</v>
      </c>
      <c r="E69" s="39" t="n">
        <v>20058</v>
      </c>
      <c r="F69" s="37" t="n">
        <f aca="true">IFERROR(DATEDIF(E69,TODAY(),"Y"),"")</f>
        <v>71</v>
      </c>
      <c r="G69" s="40" t="s">
        <v>397</v>
      </c>
      <c r="H69" s="40"/>
      <c r="I69" s="38" t="s">
        <v>398</v>
      </c>
      <c r="J69" s="38" t="s">
        <v>15</v>
      </c>
      <c r="K69" s="38" t="s">
        <v>399</v>
      </c>
      <c r="L69" s="38" t="s">
        <v>55</v>
      </c>
      <c r="M69" s="37" t="s">
        <v>104</v>
      </c>
      <c r="N69" s="39" t="n">
        <v>30705</v>
      </c>
      <c r="O69" s="41" t="s">
        <v>23</v>
      </c>
      <c r="P69" s="41" t="s">
        <v>105</v>
      </c>
      <c r="Q69" s="42"/>
      <c r="R69" s="41"/>
      <c r="S69" s="42"/>
      <c r="T69" s="41"/>
    </row>
    <row r="70" customFormat="false" ht="13.5" hidden="false" customHeight="true" outlineLevel="0" collapsed="false">
      <c r="A70" s="37" t="n">
        <v>67</v>
      </c>
      <c r="B70" s="37" t="n">
        <v>452</v>
      </c>
      <c r="C70" s="38" t="s">
        <v>400</v>
      </c>
      <c r="D70" s="37" t="s">
        <v>100</v>
      </c>
      <c r="E70" s="39" t="n">
        <v>18979</v>
      </c>
      <c r="F70" s="37" t="n">
        <f aca="true">IFERROR(DATEDIF(E70,TODAY(),"Y"),"")</f>
        <v>74</v>
      </c>
      <c r="G70" s="40" t="s">
        <v>401</v>
      </c>
      <c r="H70" s="40" t="s">
        <v>402</v>
      </c>
      <c r="I70" s="38" t="s">
        <v>403</v>
      </c>
      <c r="J70" s="38" t="s">
        <v>15</v>
      </c>
      <c r="K70" s="38" t="s">
        <v>404</v>
      </c>
      <c r="L70" s="38" t="s">
        <v>55</v>
      </c>
      <c r="M70" s="37" t="s">
        <v>177</v>
      </c>
      <c r="N70" s="39" t="n">
        <v>31385</v>
      </c>
      <c r="O70" s="41" t="s">
        <v>23</v>
      </c>
      <c r="P70" s="41" t="s">
        <v>105</v>
      </c>
      <c r="Q70" s="42"/>
      <c r="R70" s="41"/>
      <c r="S70" s="42"/>
      <c r="T70" s="41"/>
    </row>
    <row r="71" customFormat="false" ht="13.5" hidden="false" customHeight="true" outlineLevel="0" collapsed="false">
      <c r="A71" s="37" t="n">
        <v>68</v>
      </c>
      <c r="B71" s="37" t="n">
        <v>471</v>
      </c>
      <c r="C71" s="38" t="s">
        <v>405</v>
      </c>
      <c r="D71" s="37" t="s">
        <v>100</v>
      </c>
      <c r="E71" s="39" t="n">
        <v>21708</v>
      </c>
      <c r="F71" s="37" t="n">
        <f aca="true">IFERROR(DATEDIF(E71,TODAY(),"Y"),"")</f>
        <v>67</v>
      </c>
      <c r="G71" s="40" t="s">
        <v>406</v>
      </c>
      <c r="H71" s="40" t="s">
        <v>407</v>
      </c>
      <c r="I71" s="38" t="s">
        <v>408</v>
      </c>
      <c r="J71" s="38" t="s">
        <v>15</v>
      </c>
      <c r="K71" s="38" t="s">
        <v>409</v>
      </c>
      <c r="L71" s="38" t="s">
        <v>47</v>
      </c>
      <c r="M71" s="37" t="s">
        <v>104</v>
      </c>
      <c r="N71" s="39" t="n">
        <v>30705</v>
      </c>
      <c r="O71" s="41" t="s">
        <v>23</v>
      </c>
      <c r="P71" s="41" t="s">
        <v>105</v>
      </c>
      <c r="Q71" s="42"/>
      <c r="R71" s="41"/>
      <c r="S71" s="42"/>
      <c r="T71" s="41"/>
    </row>
    <row r="72" customFormat="false" ht="13.5" hidden="false" customHeight="true" outlineLevel="0" collapsed="false">
      <c r="A72" s="37" t="n">
        <v>69</v>
      </c>
      <c r="B72" s="37" t="n">
        <v>473</v>
      </c>
      <c r="C72" s="38" t="s">
        <v>410</v>
      </c>
      <c r="D72" s="37" t="s">
        <v>100</v>
      </c>
      <c r="E72" s="39" t="n">
        <v>17668</v>
      </c>
      <c r="F72" s="37" t="n">
        <f aca="true">IFERROR(DATEDIF(E72,TODAY(),"Y"),"")</f>
        <v>78</v>
      </c>
      <c r="G72" s="40" t="s">
        <v>411</v>
      </c>
      <c r="H72" s="40" t="s">
        <v>412</v>
      </c>
      <c r="I72" s="38" t="s">
        <v>413</v>
      </c>
      <c r="J72" s="38" t="s">
        <v>15</v>
      </c>
      <c r="K72" s="38" t="s">
        <v>414</v>
      </c>
      <c r="L72" s="38" t="s">
        <v>48</v>
      </c>
      <c r="M72" s="37" t="s">
        <v>120</v>
      </c>
      <c r="N72" s="39" t="n">
        <v>30730</v>
      </c>
      <c r="O72" s="41" t="s">
        <v>23</v>
      </c>
      <c r="P72" s="41" t="s">
        <v>105</v>
      </c>
      <c r="Q72" s="42"/>
      <c r="R72" s="41"/>
      <c r="S72" s="42"/>
      <c r="T72" s="41"/>
    </row>
    <row r="73" customFormat="false" ht="13.5" hidden="false" customHeight="true" outlineLevel="0" collapsed="false">
      <c r="A73" s="37" t="n">
        <v>70</v>
      </c>
      <c r="B73" s="37" t="n">
        <v>487</v>
      </c>
      <c r="C73" s="38" t="s">
        <v>415</v>
      </c>
      <c r="D73" s="37" t="s">
        <v>100</v>
      </c>
      <c r="E73" s="39" t="n">
        <v>20069</v>
      </c>
      <c r="F73" s="37" t="n">
        <f aca="true">IFERROR(DATEDIF(E73,TODAY(),"Y"),"")</f>
        <v>71</v>
      </c>
      <c r="G73" s="40" t="s">
        <v>416</v>
      </c>
      <c r="H73" s="40" t="s">
        <v>417</v>
      </c>
      <c r="I73" s="38"/>
      <c r="J73" s="38" t="s">
        <v>15</v>
      </c>
      <c r="K73" s="38" t="s">
        <v>418</v>
      </c>
      <c r="L73" s="38" t="s">
        <v>47</v>
      </c>
      <c r="M73" s="37"/>
      <c r="N73" s="39" t="n">
        <v>31383</v>
      </c>
      <c r="O73" s="41" t="s">
        <v>23</v>
      </c>
      <c r="P73" s="41" t="s">
        <v>105</v>
      </c>
      <c r="Q73" s="42"/>
      <c r="R73" s="41"/>
      <c r="S73" s="42"/>
      <c r="T73" s="41"/>
    </row>
    <row r="74" customFormat="false" ht="13.5" hidden="false" customHeight="true" outlineLevel="0" collapsed="false">
      <c r="A74" s="37" t="n">
        <v>71</v>
      </c>
      <c r="B74" s="37" t="n">
        <v>488</v>
      </c>
      <c r="C74" s="38" t="s">
        <v>419</v>
      </c>
      <c r="D74" s="37" t="s">
        <v>100</v>
      </c>
      <c r="E74" s="39" t="n">
        <v>17784</v>
      </c>
      <c r="F74" s="37" t="n">
        <f aca="true">IFERROR(DATEDIF(E74,TODAY(),"Y"),"")</f>
        <v>77</v>
      </c>
      <c r="G74" s="40" t="s">
        <v>420</v>
      </c>
      <c r="H74" s="40" t="s">
        <v>362</v>
      </c>
      <c r="I74" s="38"/>
      <c r="J74" s="38" t="s">
        <v>15</v>
      </c>
      <c r="K74" s="38" t="s">
        <v>364</v>
      </c>
      <c r="L74" s="38" t="s">
        <v>55</v>
      </c>
      <c r="M74" s="37" t="s">
        <v>104</v>
      </c>
      <c r="N74" s="39" t="n">
        <v>30726</v>
      </c>
      <c r="O74" s="41" t="s">
        <v>23</v>
      </c>
      <c r="P74" s="41" t="s">
        <v>105</v>
      </c>
      <c r="Q74" s="42"/>
      <c r="R74" s="41"/>
      <c r="S74" s="42"/>
      <c r="T74" s="41"/>
    </row>
    <row r="75" customFormat="false" ht="13.5" hidden="false" customHeight="true" outlineLevel="0" collapsed="false">
      <c r="A75" s="37" t="n">
        <v>72</v>
      </c>
      <c r="B75" s="37" t="n">
        <v>517</v>
      </c>
      <c r="C75" s="38" t="s">
        <v>421</v>
      </c>
      <c r="D75" s="37" t="s">
        <v>100</v>
      </c>
      <c r="E75" s="39" t="n">
        <v>20464</v>
      </c>
      <c r="F75" s="37" t="n">
        <f aca="true">IFERROR(DATEDIF(E75,TODAY(),"Y"),"")</f>
        <v>70</v>
      </c>
      <c r="G75" s="40" t="s">
        <v>422</v>
      </c>
      <c r="H75" s="40" t="s">
        <v>423</v>
      </c>
      <c r="I75" s="38" t="s">
        <v>424</v>
      </c>
      <c r="J75" s="38" t="s">
        <v>15</v>
      </c>
      <c r="K75" s="38" t="s">
        <v>425</v>
      </c>
      <c r="L75" s="38" t="s">
        <v>55</v>
      </c>
      <c r="M75" s="37" t="s">
        <v>177</v>
      </c>
      <c r="N75" s="39" t="n">
        <v>32551</v>
      </c>
      <c r="O75" s="41" t="s">
        <v>23</v>
      </c>
      <c r="P75" s="41" t="s">
        <v>105</v>
      </c>
      <c r="Q75" s="42"/>
      <c r="R75" s="41"/>
      <c r="S75" s="42"/>
      <c r="T75" s="41"/>
    </row>
    <row r="76" customFormat="false" ht="13.5" hidden="false" customHeight="true" outlineLevel="0" collapsed="false">
      <c r="A76" s="37" t="n">
        <v>73</v>
      </c>
      <c r="B76" s="37" t="n">
        <v>518</v>
      </c>
      <c r="C76" s="38" t="s">
        <v>426</v>
      </c>
      <c r="D76" s="37" t="s">
        <v>100</v>
      </c>
      <c r="E76" s="39" t="n">
        <v>19329</v>
      </c>
      <c r="F76" s="37" t="n">
        <f aca="true">IFERROR(DATEDIF(E76,TODAY(),"Y"),"")</f>
        <v>73</v>
      </c>
      <c r="G76" s="40" t="s">
        <v>427</v>
      </c>
      <c r="H76" s="40" t="s">
        <v>428</v>
      </c>
      <c r="I76" s="38" t="s">
        <v>429</v>
      </c>
      <c r="J76" s="38" t="s">
        <v>15</v>
      </c>
      <c r="K76" s="38" t="s">
        <v>430</v>
      </c>
      <c r="L76" s="38" t="s">
        <v>55</v>
      </c>
      <c r="M76" s="37" t="s">
        <v>177</v>
      </c>
      <c r="N76" s="39" t="n">
        <v>32567</v>
      </c>
      <c r="O76" s="41" t="s">
        <v>23</v>
      </c>
      <c r="P76" s="41" t="s">
        <v>105</v>
      </c>
      <c r="Q76" s="42"/>
      <c r="R76" s="41"/>
      <c r="S76" s="42"/>
      <c r="T76" s="41"/>
    </row>
    <row r="77" customFormat="false" ht="13.5" hidden="false" customHeight="true" outlineLevel="0" collapsed="false">
      <c r="A77" s="37" t="n">
        <v>74</v>
      </c>
      <c r="B77" s="37" t="n">
        <v>544</v>
      </c>
      <c r="C77" s="38" t="s">
        <v>431</v>
      </c>
      <c r="D77" s="37" t="s">
        <v>100</v>
      </c>
      <c r="E77" s="39" t="n">
        <v>21045</v>
      </c>
      <c r="F77" s="37" t="n">
        <f aca="true">IFERROR(DATEDIF(E77,TODAY(),"Y"),"")</f>
        <v>68</v>
      </c>
      <c r="G77" s="40" t="s">
        <v>432</v>
      </c>
      <c r="H77" s="40"/>
      <c r="I77" s="38"/>
      <c r="J77" s="38" t="s">
        <v>15</v>
      </c>
      <c r="K77" s="38" t="s">
        <v>433</v>
      </c>
      <c r="L77" s="38" t="s">
        <v>46</v>
      </c>
      <c r="M77" s="37"/>
      <c r="N77" s="39" t="n">
        <v>32556</v>
      </c>
      <c r="O77" s="41" t="s">
        <v>23</v>
      </c>
      <c r="P77" s="41" t="s">
        <v>105</v>
      </c>
      <c r="Q77" s="42"/>
      <c r="R77" s="41"/>
      <c r="S77" s="42"/>
      <c r="T77" s="41"/>
    </row>
    <row r="78" customFormat="false" ht="13.5" hidden="false" customHeight="true" outlineLevel="0" collapsed="false">
      <c r="A78" s="37" t="n">
        <v>75</v>
      </c>
      <c r="B78" s="37" t="n">
        <v>560</v>
      </c>
      <c r="C78" s="38" t="s">
        <v>434</v>
      </c>
      <c r="D78" s="37" t="s">
        <v>100</v>
      </c>
      <c r="E78" s="39" t="n">
        <v>23528</v>
      </c>
      <c r="F78" s="37" t="n">
        <f aca="true">IFERROR(DATEDIF(E78,TODAY(),"Y"),"")</f>
        <v>62</v>
      </c>
      <c r="G78" s="40" t="s">
        <v>435</v>
      </c>
      <c r="H78" s="40" t="s">
        <v>436</v>
      </c>
      <c r="I78" s="38" t="s">
        <v>437</v>
      </c>
      <c r="J78" s="38"/>
      <c r="K78" s="38" t="s">
        <v>438</v>
      </c>
      <c r="L78" s="38" t="s">
        <v>53</v>
      </c>
      <c r="M78" s="37" t="s">
        <v>120</v>
      </c>
      <c r="N78" s="39" t="n">
        <v>32555</v>
      </c>
      <c r="O78" s="41" t="s">
        <v>23</v>
      </c>
      <c r="P78" s="41" t="s">
        <v>105</v>
      </c>
      <c r="Q78" s="42"/>
      <c r="R78" s="41"/>
      <c r="S78" s="42"/>
      <c r="T78" s="41"/>
    </row>
    <row r="79" customFormat="false" ht="13.5" hidden="false" customHeight="true" outlineLevel="0" collapsed="false">
      <c r="A79" s="37" t="n">
        <v>76</v>
      </c>
      <c r="B79" s="37" t="n">
        <v>562</v>
      </c>
      <c r="C79" s="38" t="s">
        <v>439</v>
      </c>
      <c r="D79" s="37" t="s">
        <v>100</v>
      </c>
      <c r="E79" s="39" t="n">
        <v>20703</v>
      </c>
      <c r="F79" s="37" t="n">
        <f aca="true">IFERROR(DATEDIF(E79,TODAY(),"Y"),"")</f>
        <v>69</v>
      </c>
      <c r="G79" s="40" t="s">
        <v>440</v>
      </c>
      <c r="H79" s="40" t="s">
        <v>441</v>
      </c>
      <c r="I79" s="38" t="s">
        <v>442</v>
      </c>
      <c r="J79" s="38" t="s">
        <v>15</v>
      </c>
      <c r="K79" s="38" t="s">
        <v>443</v>
      </c>
      <c r="L79" s="38" t="s">
        <v>55</v>
      </c>
      <c r="M79" s="37" t="s">
        <v>231</v>
      </c>
      <c r="N79" s="39" t="n">
        <v>30709</v>
      </c>
      <c r="O79" s="41" t="s">
        <v>23</v>
      </c>
      <c r="P79" s="41" t="s">
        <v>105</v>
      </c>
      <c r="Q79" s="42"/>
      <c r="R79" s="41"/>
      <c r="S79" s="42"/>
      <c r="T79" s="41"/>
    </row>
    <row r="80" customFormat="false" ht="13.5" hidden="false" customHeight="true" outlineLevel="0" collapsed="false">
      <c r="A80" s="37" t="n">
        <v>77</v>
      </c>
      <c r="B80" s="37" t="n">
        <v>574</v>
      </c>
      <c r="C80" s="38" t="s">
        <v>444</v>
      </c>
      <c r="D80" s="37" t="s">
        <v>100</v>
      </c>
      <c r="E80" s="39" t="n">
        <v>20255</v>
      </c>
      <c r="F80" s="37" t="n">
        <f aca="true">IFERROR(DATEDIF(E80,TODAY(),"Y"),"")</f>
        <v>71</v>
      </c>
      <c r="G80" s="40" t="s">
        <v>445</v>
      </c>
      <c r="H80" s="40" t="s">
        <v>446</v>
      </c>
      <c r="I80" s="38" t="s">
        <v>447</v>
      </c>
      <c r="J80" s="38" t="s">
        <v>15</v>
      </c>
      <c r="K80" s="38" t="s">
        <v>448</v>
      </c>
      <c r="L80" s="38" t="s">
        <v>47</v>
      </c>
      <c r="M80" s="37" t="s">
        <v>120</v>
      </c>
      <c r="N80" s="39" t="n">
        <v>30848</v>
      </c>
      <c r="O80" s="41" t="s">
        <v>23</v>
      </c>
      <c r="P80" s="41" t="s">
        <v>105</v>
      </c>
      <c r="Q80" s="42"/>
      <c r="R80" s="41"/>
      <c r="S80" s="42"/>
      <c r="T80" s="41"/>
    </row>
    <row r="81" customFormat="false" ht="13.5" hidden="false" customHeight="true" outlineLevel="0" collapsed="false">
      <c r="A81" s="37" t="n">
        <v>78</v>
      </c>
      <c r="B81" s="37" t="n">
        <v>581</v>
      </c>
      <c r="C81" s="38" t="s">
        <v>449</v>
      </c>
      <c r="D81" s="37" t="s">
        <v>100</v>
      </c>
      <c r="E81" s="39" t="n">
        <v>21209</v>
      </c>
      <c r="F81" s="37" t="n">
        <f aca="true">IFERROR(DATEDIF(E81,TODAY(),"Y"),"")</f>
        <v>68</v>
      </c>
      <c r="G81" s="40" t="s">
        <v>450</v>
      </c>
      <c r="H81" s="40" t="s">
        <v>451</v>
      </c>
      <c r="I81" s="38" t="s">
        <v>452</v>
      </c>
      <c r="J81" s="38" t="s">
        <v>15</v>
      </c>
      <c r="K81" s="38" t="s">
        <v>453</v>
      </c>
      <c r="L81" s="38" t="s">
        <v>44</v>
      </c>
      <c r="M81" s="37" t="s">
        <v>231</v>
      </c>
      <c r="N81" s="39" t="n">
        <v>32562</v>
      </c>
      <c r="O81" s="41" t="s">
        <v>23</v>
      </c>
      <c r="P81" s="41" t="s">
        <v>105</v>
      </c>
      <c r="Q81" s="42"/>
      <c r="R81" s="41"/>
      <c r="S81" s="42"/>
      <c r="T81" s="41"/>
    </row>
    <row r="82" customFormat="false" ht="13.5" hidden="false" customHeight="true" outlineLevel="0" collapsed="false">
      <c r="A82" s="37" t="n">
        <v>79</v>
      </c>
      <c r="B82" s="37" t="n">
        <v>586</v>
      </c>
      <c r="C82" s="38" t="s">
        <v>454</v>
      </c>
      <c r="D82" s="37" t="s">
        <v>100</v>
      </c>
      <c r="E82" s="39" t="n">
        <v>22825</v>
      </c>
      <c r="F82" s="37" t="n">
        <f aca="true">IFERROR(DATEDIF(E82,TODAY(),"Y"),"")</f>
        <v>64</v>
      </c>
      <c r="G82" s="40" t="s">
        <v>159</v>
      </c>
      <c r="H82" s="40" t="s">
        <v>455</v>
      </c>
      <c r="I82" s="38" t="s">
        <v>456</v>
      </c>
      <c r="J82" s="38" t="s">
        <v>15</v>
      </c>
      <c r="K82" s="38" t="s">
        <v>457</v>
      </c>
      <c r="L82" s="38" t="s">
        <v>55</v>
      </c>
      <c r="M82" s="37"/>
      <c r="N82" s="39" t="n">
        <v>32555</v>
      </c>
      <c r="O82" s="41" t="s">
        <v>23</v>
      </c>
      <c r="P82" s="41" t="s">
        <v>105</v>
      </c>
      <c r="Q82" s="42"/>
      <c r="R82" s="41"/>
      <c r="S82" s="42"/>
      <c r="T82" s="41"/>
    </row>
    <row r="83" customFormat="false" ht="13.5" hidden="false" customHeight="true" outlineLevel="0" collapsed="false">
      <c r="A83" s="37" t="n">
        <v>80</v>
      </c>
      <c r="B83" s="37" t="n">
        <v>592</v>
      </c>
      <c r="C83" s="38" t="s">
        <v>458</v>
      </c>
      <c r="D83" s="37" t="s">
        <v>100</v>
      </c>
      <c r="E83" s="39" t="n">
        <v>18184</v>
      </c>
      <c r="F83" s="37" t="n">
        <f aca="true">IFERROR(DATEDIF(E83,TODAY(),"Y"),"")</f>
        <v>76</v>
      </c>
      <c r="G83" s="40" t="s">
        <v>459</v>
      </c>
      <c r="H83" s="40"/>
      <c r="I83" s="38"/>
      <c r="J83" s="38" t="s">
        <v>18</v>
      </c>
      <c r="K83" s="38" t="s">
        <v>460</v>
      </c>
      <c r="L83" s="38" t="s">
        <v>55</v>
      </c>
      <c r="M83" s="37" t="s">
        <v>120</v>
      </c>
      <c r="N83" s="39" t="n">
        <v>32567</v>
      </c>
      <c r="O83" s="41" t="s">
        <v>23</v>
      </c>
      <c r="P83" s="41" t="s">
        <v>105</v>
      </c>
      <c r="Q83" s="42"/>
      <c r="R83" s="41"/>
      <c r="S83" s="42"/>
      <c r="T83" s="41"/>
    </row>
    <row r="84" customFormat="false" ht="13.5" hidden="false" customHeight="true" outlineLevel="0" collapsed="false">
      <c r="A84" s="37" t="n">
        <v>81</v>
      </c>
      <c r="B84" s="37" t="n">
        <v>606</v>
      </c>
      <c r="C84" s="38" t="s">
        <v>461</v>
      </c>
      <c r="D84" s="37" t="s">
        <v>100</v>
      </c>
      <c r="E84" s="39" t="n">
        <v>20739</v>
      </c>
      <c r="F84" s="37" t="n">
        <f aca="true">IFERROR(DATEDIF(E84,TODAY(),"Y"),"")</f>
        <v>69</v>
      </c>
      <c r="G84" s="40" t="s">
        <v>462</v>
      </c>
      <c r="H84" s="40" t="s">
        <v>463</v>
      </c>
      <c r="I84" s="38" t="s">
        <v>464</v>
      </c>
      <c r="J84" s="38" t="s">
        <v>16</v>
      </c>
      <c r="K84" s="38" t="s">
        <v>465</v>
      </c>
      <c r="L84" s="38" t="s">
        <v>43</v>
      </c>
      <c r="M84" s="37" t="s">
        <v>120</v>
      </c>
      <c r="N84" s="39" t="n">
        <v>32562</v>
      </c>
      <c r="O84" s="41" t="s">
        <v>23</v>
      </c>
      <c r="P84" s="41" t="s">
        <v>105</v>
      </c>
      <c r="Q84" s="42"/>
      <c r="R84" s="41"/>
      <c r="S84" s="42"/>
      <c r="T84" s="41"/>
    </row>
    <row r="85" customFormat="false" ht="13.5" hidden="false" customHeight="true" outlineLevel="0" collapsed="false">
      <c r="A85" s="37" t="n">
        <v>82</v>
      </c>
      <c r="B85" s="37" t="n">
        <v>628</v>
      </c>
      <c r="C85" s="38" t="s">
        <v>466</v>
      </c>
      <c r="D85" s="37" t="s">
        <v>100</v>
      </c>
      <c r="E85" s="39" t="n">
        <v>19301</v>
      </c>
      <c r="F85" s="37" t="n">
        <f aca="true">IFERROR(DATEDIF(E85,TODAY(),"Y"),"")</f>
        <v>73</v>
      </c>
      <c r="G85" s="40" t="s">
        <v>467</v>
      </c>
      <c r="H85" s="40" t="s">
        <v>468</v>
      </c>
      <c r="I85" s="38" t="s">
        <v>469</v>
      </c>
      <c r="J85" s="38" t="s">
        <v>15</v>
      </c>
      <c r="K85" s="38" t="s">
        <v>470</v>
      </c>
      <c r="L85" s="38" t="s">
        <v>53</v>
      </c>
      <c r="M85" s="37" t="s">
        <v>120</v>
      </c>
      <c r="N85" s="39" t="n">
        <v>32551</v>
      </c>
      <c r="O85" s="41" t="s">
        <v>23</v>
      </c>
      <c r="P85" s="41" t="s">
        <v>105</v>
      </c>
      <c r="Q85" s="42"/>
      <c r="R85" s="41"/>
      <c r="S85" s="42"/>
      <c r="T85" s="41"/>
    </row>
    <row r="86" customFormat="false" ht="13.5" hidden="false" customHeight="true" outlineLevel="0" collapsed="false">
      <c r="A86" s="37" t="n">
        <v>83</v>
      </c>
      <c r="B86" s="37" t="n">
        <v>639</v>
      </c>
      <c r="C86" s="38" t="s">
        <v>471</v>
      </c>
      <c r="D86" s="37" t="s">
        <v>100</v>
      </c>
      <c r="E86" s="39" t="n">
        <v>23881</v>
      </c>
      <c r="F86" s="37" t="n">
        <f aca="true">IFERROR(DATEDIF(E86,TODAY(),"Y"),"")</f>
        <v>61</v>
      </c>
      <c r="G86" s="40" t="s">
        <v>472</v>
      </c>
      <c r="H86" s="40" t="s">
        <v>473</v>
      </c>
      <c r="I86" s="38" t="s">
        <v>474</v>
      </c>
      <c r="J86" s="38" t="s">
        <v>15</v>
      </c>
      <c r="K86" s="38" t="s">
        <v>475</v>
      </c>
      <c r="L86" s="38" t="s">
        <v>47</v>
      </c>
      <c r="M86" s="37" t="s">
        <v>120</v>
      </c>
      <c r="N86" s="39" t="n">
        <v>32559</v>
      </c>
      <c r="O86" s="41" t="s">
        <v>23</v>
      </c>
      <c r="P86" s="41" t="s">
        <v>105</v>
      </c>
      <c r="Q86" s="42"/>
      <c r="R86" s="41"/>
      <c r="S86" s="42"/>
      <c r="T86" s="41"/>
    </row>
    <row r="87" customFormat="false" ht="13.5" hidden="false" customHeight="true" outlineLevel="0" collapsed="false">
      <c r="A87" s="37" t="n">
        <v>84</v>
      </c>
      <c r="B87" s="37" t="n">
        <v>644</v>
      </c>
      <c r="C87" s="38" t="s">
        <v>476</v>
      </c>
      <c r="D87" s="37" t="s">
        <v>100</v>
      </c>
      <c r="E87" s="39" t="n">
        <v>21699</v>
      </c>
      <c r="F87" s="37" t="n">
        <f aca="true">IFERROR(DATEDIF(E87,TODAY(),"Y"),"")</f>
        <v>67</v>
      </c>
      <c r="G87" s="40" t="s">
        <v>477</v>
      </c>
      <c r="H87" s="40"/>
      <c r="I87" s="38" t="s">
        <v>478</v>
      </c>
      <c r="J87" s="38" t="s">
        <v>15</v>
      </c>
      <c r="K87" s="38" t="s">
        <v>479</v>
      </c>
      <c r="L87" s="38" t="s">
        <v>48</v>
      </c>
      <c r="M87" s="37"/>
      <c r="N87" s="39" t="n">
        <v>32555</v>
      </c>
      <c r="O87" s="41" t="s">
        <v>23</v>
      </c>
      <c r="P87" s="41" t="s">
        <v>105</v>
      </c>
      <c r="Q87" s="42"/>
      <c r="R87" s="41"/>
      <c r="S87" s="42"/>
      <c r="T87" s="41"/>
    </row>
    <row r="88" customFormat="false" ht="13.5" hidden="false" customHeight="true" outlineLevel="0" collapsed="false">
      <c r="A88" s="37" t="n">
        <v>85</v>
      </c>
      <c r="B88" s="37" t="n">
        <v>650</v>
      </c>
      <c r="C88" s="38" t="s">
        <v>480</v>
      </c>
      <c r="D88" s="37" t="s">
        <v>100</v>
      </c>
      <c r="E88" s="39" t="n">
        <v>18208</v>
      </c>
      <c r="F88" s="37" t="n">
        <f aca="true">IFERROR(DATEDIF(E88,TODAY(),"Y"),"")</f>
        <v>76</v>
      </c>
      <c r="G88" s="40" t="s">
        <v>481</v>
      </c>
      <c r="H88" s="40"/>
      <c r="I88" s="38" t="s">
        <v>482</v>
      </c>
      <c r="J88" s="38" t="s">
        <v>16</v>
      </c>
      <c r="K88" s="38" t="s">
        <v>483</v>
      </c>
      <c r="L88" s="38" t="s">
        <v>53</v>
      </c>
      <c r="M88" s="37"/>
      <c r="N88" s="39" t="n">
        <v>32554</v>
      </c>
      <c r="O88" s="41" t="s">
        <v>23</v>
      </c>
      <c r="P88" s="41" t="s">
        <v>105</v>
      </c>
      <c r="Q88" s="42"/>
      <c r="R88" s="41"/>
      <c r="S88" s="42"/>
      <c r="T88" s="41"/>
    </row>
    <row r="89" customFormat="false" ht="13.5" hidden="false" customHeight="true" outlineLevel="0" collapsed="false">
      <c r="A89" s="37" t="n">
        <v>86</v>
      </c>
      <c r="B89" s="37" t="n">
        <v>652</v>
      </c>
      <c r="C89" s="38" t="s">
        <v>484</v>
      </c>
      <c r="D89" s="37" t="s">
        <v>100</v>
      </c>
      <c r="E89" s="39" t="n">
        <v>21364</v>
      </c>
      <c r="F89" s="37" t="n">
        <f aca="true">IFERROR(DATEDIF(E89,TODAY(),"Y"),"")</f>
        <v>68</v>
      </c>
      <c r="G89" s="40" t="s">
        <v>485</v>
      </c>
      <c r="H89" s="40" t="s">
        <v>486</v>
      </c>
      <c r="I89" s="38"/>
      <c r="J89" s="38" t="s">
        <v>15</v>
      </c>
      <c r="K89" s="38" t="s">
        <v>487</v>
      </c>
      <c r="L89" s="38" t="s">
        <v>46</v>
      </c>
      <c r="M89" s="37" t="s">
        <v>120</v>
      </c>
      <c r="N89" s="39" t="n">
        <v>32557</v>
      </c>
      <c r="O89" s="41" t="s">
        <v>23</v>
      </c>
      <c r="P89" s="41" t="s">
        <v>105</v>
      </c>
      <c r="Q89" s="42"/>
      <c r="R89" s="41"/>
      <c r="S89" s="42"/>
      <c r="T89" s="41"/>
    </row>
    <row r="90" customFormat="false" ht="13.5" hidden="false" customHeight="true" outlineLevel="0" collapsed="false">
      <c r="A90" s="37" t="n">
        <v>87</v>
      </c>
      <c r="B90" s="37" t="n">
        <v>653</v>
      </c>
      <c r="C90" s="38" t="s">
        <v>488</v>
      </c>
      <c r="D90" s="37" t="s">
        <v>100</v>
      </c>
      <c r="E90" s="39" t="n">
        <v>19664</v>
      </c>
      <c r="F90" s="37" t="n">
        <f aca="true">IFERROR(DATEDIF(E90,TODAY(),"Y"),"")</f>
        <v>72</v>
      </c>
      <c r="G90" s="40" t="s">
        <v>489</v>
      </c>
      <c r="H90" s="40" t="s">
        <v>490</v>
      </c>
      <c r="I90" s="38" t="s">
        <v>491</v>
      </c>
      <c r="J90" s="38" t="s">
        <v>15</v>
      </c>
      <c r="K90" s="38" t="s">
        <v>492</v>
      </c>
      <c r="L90" s="43" t="s">
        <v>58</v>
      </c>
      <c r="M90" s="37" t="s">
        <v>493</v>
      </c>
      <c r="N90" s="39" t="n">
        <v>32562</v>
      </c>
      <c r="O90" s="41" t="s">
        <v>23</v>
      </c>
      <c r="P90" s="41" t="s">
        <v>105</v>
      </c>
      <c r="Q90" s="42"/>
      <c r="R90" s="41"/>
      <c r="S90" s="42"/>
      <c r="T90" s="41"/>
    </row>
    <row r="91" customFormat="false" ht="13.5" hidden="false" customHeight="true" outlineLevel="0" collapsed="false">
      <c r="A91" s="37" t="n">
        <v>88</v>
      </c>
      <c r="B91" s="37" t="n">
        <v>655</v>
      </c>
      <c r="C91" s="38" t="s">
        <v>494</v>
      </c>
      <c r="D91" s="37" t="s">
        <v>100</v>
      </c>
      <c r="E91" s="39" t="n">
        <v>19117</v>
      </c>
      <c r="F91" s="37" t="n">
        <f aca="true">IFERROR(DATEDIF(E91,TODAY(),"Y"),"")</f>
        <v>74</v>
      </c>
      <c r="G91" s="40" t="s">
        <v>495</v>
      </c>
      <c r="H91" s="40" t="s">
        <v>496</v>
      </c>
      <c r="I91" s="38" t="s">
        <v>497</v>
      </c>
      <c r="J91" s="38" t="s">
        <v>15</v>
      </c>
      <c r="K91" s="38" t="s">
        <v>498</v>
      </c>
      <c r="L91" s="38" t="s">
        <v>48</v>
      </c>
      <c r="M91" s="37" t="s">
        <v>177</v>
      </c>
      <c r="N91" s="39" t="n">
        <v>31048</v>
      </c>
      <c r="O91" s="41" t="s">
        <v>23</v>
      </c>
      <c r="P91" s="41" t="s">
        <v>105</v>
      </c>
      <c r="Q91" s="42"/>
      <c r="R91" s="41"/>
      <c r="S91" s="42"/>
      <c r="T91" s="41"/>
    </row>
    <row r="92" customFormat="false" ht="13.5" hidden="false" customHeight="true" outlineLevel="0" collapsed="false">
      <c r="A92" s="37" t="n">
        <v>89</v>
      </c>
      <c r="B92" s="37" t="n">
        <v>664</v>
      </c>
      <c r="C92" s="38" t="s">
        <v>499</v>
      </c>
      <c r="D92" s="37" t="s">
        <v>100</v>
      </c>
      <c r="E92" s="39" t="n">
        <v>22380</v>
      </c>
      <c r="F92" s="37" t="n">
        <f aca="true">IFERROR(DATEDIF(E92,TODAY(),"Y"),"")</f>
        <v>65</v>
      </c>
      <c r="G92" s="40" t="s">
        <v>500</v>
      </c>
      <c r="H92" s="40" t="s">
        <v>501</v>
      </c>
      <c r="I92" s="38" t="s">
        <v>253</v>
      </c>
      <c r="J92" s="38" t="s">
        <v>15</v>
      </c>
      <c r="K92" s="38" t="s">
        <v>502</v>
      </c>
      <c r="L92" s="38" t="s">
        <v>47</v>
      </c>
      <c r="M92" s="37"/>
      <c r="N92" s="39" t="n">
        <v>31384</v>
      </c>
      <c r="O92" s="41" t="s">
        <v>23</v>
      </c>
      <c r="P92" s="41" t="s">
        <v>105</v>
      </c>
      <c r="Q92" s="42"/>
      <c r="R92" s="41"/>
      <c r="S92" s="42"/>
      <c r="T92" s="41"/>
    </row>
    <row r="93" customFormat="false" ht="13.5" hidden="false" customHeight="true" outlineLevel="0" collapsed="false">
      <c r="A93" s="37" t="n">
        <v>90</v>
      </c>
      <c r="B93" s="37" t="n">
        <v>668</v>
      </c>
      <c r="C93" s="38" t="s">
        <v>503</v>
      </c>
      <c r="D93" s="37" t="s">
        <v>100</v>
      </c>
      <c r="E93" s="39" t="n">
        <v>21016</v>
      </c>
      <c r="F93" s="37" t="n">
        <f aca="true">IFERROR(DATEDIF(E93,TODAY(),"Y"),"")</f>
        <v>69</v>
      </c>
      <c r="G93" s="40" t="s">
        <v>504</v>
      </c>
      <c r="H93" s="40" t="s">
        <v>505</v>
      </c>
      <c r="I93" s="38"/>
      <c r="J93" s="38" t="s">
        <v>15</v>
      </c>
      <c r="K93" s="38" t="s">
        <v>506</v>
      </c>
      <c r="L93" s="38" t="s">
        <v>47</v>
      </c>
      <c r="M93" s="37"/>
      <c r="N93" s="39" t="n">
        <v>30684</v>
      </c>
      <c r="O93" s="41" t="s">
        <v>23</v>
      </c>
      <c r="P93" s="41" t="s">
        <v>105</v>
      </c>
      <c r="Q93" s="42"/>
      <c r="R93" s="41"/>
      <c r="S93" s="42"/>
      <c r="T93" s="41"/>
    </row>
    <row r="94" customFormat="false" ht="13.5" hidden="false" customHeight="true" outlineLevel="0" collapsed="false">
      <c r="A94" s="37" t="n">
        <v>91</v>
      </c>
      <c r="B94" s="37" t="n">
        <v>675</v>
      </c>
      <c r="C94" s="38" t="s">
        <v>507</v>
      </c>
      <c r="D94" s="37" t="s">
        <v>100</v>
      </c>
      <c r="E94" s="39" t="n">
        <v>22448</v>
      </c>
      <c r="F94" s="37" t="n">
        <f aca="true">IFERROR(DATEDIF(E94,TODAY(),"Y"),"")</f>
        <v>65</v>
      </c>
      <c r="G94" s="40" t="s">
        <v>508</v>
      </c>
      <c r="H94" s="40"/>
      <c r="I94" s="38" t="s">
        <v>509</v>
      </c>
      <c r="J94" s="38" t="s">
        <v>15</v>
      </c>
      <c r="K94" s="38" t="s">
        <v>510</v>
      </c>
      <c r="L94" s="38" t="s">
        <v>47</v>
      </c>
      <c r="M94" s="37"/>
      <c r="N94" s="39" t="n">
        <v>32561</v>
      </c>
      <c r="O94" s="41" t="s">
        <v>23</v>
      </c>
      <c r="P94" s="41" t="s">
        <v>105</v>
      </c>
      <c r="Q94" s="42"/>
      <c r="R94" s="41"/>
      <c r="S94" s="42"/>
      <c r="T94" s="41"/>
    </row>
    <row r="95" customFormat="false" ht="13.5" hidden="false" customHeight="true" outlineLevel="0" collapsed="false">
      <c r="A95" s="37" t="n">
        <v>92</v>
      </c>
      <c r="B95" s="37" t="n">
        <v>680</v>
      </c>
      <c r="C95" s="38" t="s">
        <v>511</v>
      </c>
      <c r="D95" s="37" t="s">
        <v>100</v>
      </c>
      <c r="E95" s="39" t="n">
        <v>20059</v>
      </c>
      <c r="F95" s="37" t="n">
        <f aca="true">IFERROR(DATEDIF(E95,TODAY(),"Y"),"")</f>
        <v>71</v>
      </c>
      <c r="G95" s="40" t="s">
        <v>512</v>
      </c>
      <c r="H95" s="40"/>
      <c r="I95" s="38" t="s">
        <v>513</v>
      </c>
      <c r="J95" s="38" t="s">
        <v>15</v>
      </c>
      <c r="K95" s="38" t="s">
        <v>514</v>
      </c>
      <c r="L95" s="38" t="s">
        <v>53</v>
      </c>
      <c r="M95" s="37" t="s">
        <v>177</v>
      </c>
      <c r="N95" s="39" t="n">
        <v>32556</v>
      </c>
      <c r="O95" s="41" t="s">
        <v>23</v>
      </c>
      <c r="P95" s="41" t="s">
        <v>105</v>
      </c>
      <c r="Q95" s="42"/>
      <c r="R95" s="41"/>
      <c r="S95" s="42"/>
      <c r="T95" s="41"/>
    </row>
    <row r="96" customFormat="false" ht="13.5" hidden="false" customHeight="true" outlineLevel="0" collapsed="false">
      <c r="A96" s="37" t="n">
        <v>93</v>
      </c>
      <c r="B96" s="37" t="n">
        <v>696</v>
      </c>
      <c r="C96" s="38" t="s">
        <v>515</v>
      </c>
      <c r="D96" s="37" t="s">
        <v>100</v>
      </c>
      <c r="E96" s="39" t="n">
        <v>20787</v>
      </c>
      <c r="F96" s="37" t="n">
        <f aca="true">IFERROR(DATEDIF(E96,TODAY(),"Y"),"")</f>
        <v>69</v>
      </c>
      <c r="G96" s="40" t="s">
        <v>516</v>
      </c>
      <c r="H96" s="40"/>
      <c r="I96" s="38" t="s">
        <v>517</v>
      </c>
      <c r="J96" s="38" t="s">
        <v>16</v>
      </c>
      <c r="K96" s="38" t="s">
        <v>518</v>
      </c>
      <c r="L96" s="38" t="s">
        <v>48</v>
      </c>
      <c r="M96" s="37"/>
      <c r="N96" s="39" t="n">
        <v>30739</v>
      </c>
      <c r="O96" s="41" t="s">
        <v>23</v>
      </c>
      <c r="P96" s="41" t="s">
        <v>105</v>
      </c>
      <c r="Q96" s="42"/>
      <c r="R96" s="41"/>
      <c r="S96" s="42"/>
      <c r="T96" s="41"/>
    </row>
    <row r="97" customFormat="false" ht="13.5" hidden="false" customHeight="true" outlineLevel="0" collapsed="false">
      <c r="A97" s="37" t="n">
        <v>94</v>
      </c>
      <c r="B97" s="37" t="n">
        <v>699</v>
      </c>
      <c r="C97" s="38" t="s">
        <v>519</v>
      </c>
      <c r="D97" s="37" t="s">
        <v>100</v>
      </c>
      <c r="E97" s="39" t="n">
        <v>22697</v>
      </c>
      <c r="F97" s="37" t="n">
        <f aca="true">IFERROR(DATEDIF(E97,TODAY(),"Y"),"")</f>
        <v>64</v>
      </c>
      <c r="G97" s="40" t="s">
        <v>520</v>
      </c>
      <c r="H97" s="40" t="s">
        <v>521</v>
      </c>
      <c r="I97" s="38" t="s">
        <v>522</v>
      </c>
      <c r="J97" s="38" t="s">
        <v>16</v>
      </c>
      <c r="K97" s="38" t="s">
        <v>523</v>
      </c>
      <c r="L97" s="43" t="s">
        <v>58</v>
      </c>
      <c r="M97" s="37" t="s">
        <v>177</v>
      </c>
      <c r="N97" s="39" t="n">
        <v>32540</v>
      </c>
      <c r="O97" s="41" t="s">
        <v>23</v>
      </c>
      <c r="P97" s="41" t="s">
        <v>105</v>
      </c>
      <c r="Q97" s="42"/>
      <c r="R97" s="41"/>
      <c r="S97" s="42"/>
      <c r="T97" s="41"/>
    </row>
    <row r="98" customFormat="false" ht="13.5" hidden="false" customHeight="true" outlineLevel="0" collapsed="false">
      <c r="A98" s="37" t="n">
        <v>95</v>
      </c>
      <c r="B98" s="37" t="n">
        <v>705</v>
      </c>
      <c r="C98" s="38" t="s">
        <v>524</v>
      </c>
      <c r="D98" s="37" t="s">
        <v>100</v>
      </c>
      <c r="E98" s="39" t="n">
        <v>21328</v>
      </c>
      <c r="F98" s="37" t="n">
        <f aca="true">IFERROR(DATEDIF(E98,TODAY(),"Y"),"")</f>
        <v>68</v>
      </c>
      <c r="G98" s="40" t="s">
        <v>525</v>
      </c>
      <c r="H98" s="40" t="s">
        <v>526</v>
      </c>
      <c r="I98" s="38" t="s">
        <v>527</v>
      </c>
      <c r="J98" s="38" t="s">
        <v>15</v>
      </c>
      <c r="K98" s="38" t="s">
        <v>528</v>
      </c>
      <c r="L98" s="38" t="s">
        <v>47</v>
      </c>
      <c r="M98" s="37" t="s">
        <v>104</v>
      </c>
      <c r="N98" s="39" t="n">
        <v>31364</v>
      </c>
      <c r="O98" s="41" t="s">
        <v>23</v>
      </c>
      <c r="P98" s="41" t="s">
        <v>105</v>
      </c>
      <c r="Q98" s="42"/>
      <c r="R98" s="41"/>
      <c r="S98" s="42"/>
      <c r="T98" s="41"/>
    </row>
    <row r="99" customFormat="false" ht="13.5" hidden="false" customHeight="true" outlineLevel="0" collapsed="false">
      <c r="A99" s="37" t="n">
        <v>96</v>
      </c>
      <c r="B99" s="37" t="n">
        <v>711</v>
      </c>
      <c r="C99" s="38" t="s">
        <v>529</v>
      </c>
      <c r="D99" s="37" t="s">
        <v>100</v>
      </c>
      <c r="E99" s="39" t="n">
        <v>20611</v>
      </c>
      <c r="F99" s="37" t="n">
        <f aca="true">IFERROR(DATEDIF(E99,TODAY(),"Y"),"")</f>
        <v>70</v>
      </c>
      <c r="G99" s="40" t="s">
        <v>530</v>
      </c>
      <c r="H99" s="40" t="s">
        <v>531</v>
      </c>
      <c r="I99" s="38"/>
      <c r="J99" s="38"/>
      <c r="K99" s="38" t="s">
        <v>532</v>
      </c>
      <c r="L99" s="43" t="s">
        <v>58</v>
      </c>
      <c r="M99" s="37" t="s">
        <v>120</v>
      </c>
      <c r="N99" s="39" t="n">
        <v>30932</v>
      </c>
      <c r="O99" s="41" t="s">
        <v>23</v>
      </c>
      <c r="P99" s="41" t="s">
        <v>105</v>
      </c>
      <c r="Q99" s="42"/>
      <c r="R99" s="41"/>
      <c r="S99" s="42"/>
      <c r="T99" s="41"/>
    </row>
    <row r="100" customFormat="false" ht="13.5" hidden="false" customHeight="true" outlineLevel="0" collapsed="false">
      <c r="A100" s="37" t="n">
        <v>97</v>
      </c>
      <c r="B100" s="37" t="n">
        <v>713</v>
      </c>
      <c r="C100" s="38" t="s">
        <v>533</v>
      </c>
      <c r="D100" s="37" t="s">
        <v>100</v>
      </c>
      <c r="E100" s="39" t="n">
        <v>22061</v>
      </c>
      <c r="F100" s="37" t="n">
        <f aca="true">IFERROR(DATEDIF(E100,TODAY(),"Y"),"")</f>
        <v>66</v>
      </c>
      <c r="G100" s="40" t="s">
        <v>534</v>
      </c>
      <c r="H100" s="40" t="s">
        <v>535</v>
      </c>
      <c r="I100" s="38" t="s">
        <v>536</v>
      </c>
      <c r="J100" s="38" t="s">
        <v>15</v>
      </c>
      <c r="K100" s="38" t="s">
        <v>537</v>
      </c>
      <c r="L100" s="43" t="s">
        <v>58</v>
      </c>
      <c r="M100" s="37" t="s">
        <v>120</v>
      </c>
      <c r="N100" s="39" t="n">
        <v>32509</v>
      </c>
      <c r="O100" s="41" t="s">
        <v>23</v>
      </c>
      <c r="P100" s="41" t="s">
        <v>105</v>
      </c>
      <c r="Q100" s="42"/>
      <c r="R100" s="41"/>
      <c r="S100" s="42"/>
      <c r="T100" s="41"/>
    </row>
    <row r="101" customFormat="false" ht="13.5" hidden="false" customHeight="true" outlineLevel="0" collapsed="false">
      <c r="A101" s="37" t="n">
        <v>98</v>
      </c>
      <c r="B101" s="37" t="n">
        <v>717</v>
      </c>
      <c r="C101" s="38" t="s">
        <v>538</v>
      </c>
      <c r="D101" s="37" t="s">
        <v>100</v>
      </c>
      <c r="E101" s="39" t="n">
        <v>17951</v>
      </c>
      <c r="F101" s="37" t="n">
        <f aca="true">IFERROR(DATEDIF(E101,TODAY(),"Y"),"")</f>
        <v>77</v>
      </c>
      <c r="G101" s="40" t="s">
        <v>539</v>
      </c>
      <c r="H101" s="40"/>
      <c r="I101" s="38" t="s">
        <v>540</v>
      </c>
      <c r="J101" s="38" t="s">
        <v>15</v>
      </c>
      <c r="K101" s="38" t="s">
        <v>541</v>
      </c>
      <c r="L101" s="38" t="s">
        <v>44</v>
      </c>
      <c r="M101" s="37"/>
      <c r="N101" s="39" t="n">
        <v>32557</v>
      </c>
      <c r="O101" s="41" t="s">
        <v>23</v>
      </c>
      <c r="P101" s="41" t="s">
        <v>105</v>
      </c>
      <c r="Q101" s="42"/>
      <c r="R101" s="41"/>
      <c r="S101" s="42"/>
      <c r="T101" s="41"/>
    </row>
    <row r="102" customFormat="false" ht="13.5" hidden="false" customHeight="true" outlineLevel="0" collapsed="false">
      <c r="A102" s="37" t="n">
        <v>99</v>
      </c>
      <c r="B102" s="37" t="n">
        <v>744</v>
      </c>
      <c r="C102" s="38" t="s">
        <v>542</v>
      </c>
      <c r="D102" s="37" t="s">
        <v>100</v>
      </c>
      <c r="E102" s="39" t="n">
        <v>19064</v>
      </c>
      <c r="F102" s="37" t="n">
        <f aca="true">IFERROR(DATEDIF(E102,TODAY(),"Y"),"")</f>
        <v>74</v>
      </c>
      <c r="G102" s="40" t="s">
        <v>543</v>
      </c>
      <c r="H102" s="40" t="s">
        <v>544</v>
      </c>
      <c r="I102" s="38" t="s">
        <v>545</v>
      </c>
      <c r="J102" s="38" t="s">
        <v>15</v>
      </c>
      <c r="K102" s="38" t="s">
        <v>546</v>
      </c>
      <c r="L102" s="38" t="s">
        <v>44</v>
      </c>
      <c r="M102" s="37" t="s">
        <v>104</v>
      </c>
      <c r="N102" s="39" t="n">
        <v>30853</v>
      </c>
      <c r="O102" s="41" t="s">
        <v>23</v>
      </c>
      <c r="P102" s="41" t="s">
        <v>105</v>
      </c>
      <c r="Q102" s="42"/>
      <c r="R102" s="41"/>
      <c r="S102" s="42"/>
      <c r="T102" s="41"/>
    </row>
    <row r="103" customFormat="false" ht="13.5" hidden="false" customHeight="true" outlineLevel="0" collapsed="false">
      <c r="A103" s="37" t="n">
        <v>100</v>
      </c>
      <c r="B103" s="37" t="n">
        <v>746</v>
      </c>
      <c r="C103" s="38" t="s">
        <v>547</v>
      </c>
      <c r="D103" s="37" t="s">
        <v>100</v>
      </c>
      <c r="E103" s="39" t="n">
        <v>19997</v>
      </c>
      <c r="F103" s="37" t="n">
        <f aca="true">IFERROR(DATEDIF(E103,TODAY(),"Y"),"")</f>
        <v>71</v>
      </c>
      <c r="G103" s="40" t="s">
        <v>548</v>
      </c>
      <c r="H103" s="40" t="s">
        <v>549</v>
      </c>
      <c r="I103" s="38" t="s">
        <v>550</v>
      </c>
      <c r="J103" s="38" t="s">
        <v>15</v>
      </c>
      <c r="K103" s="38" t="s">
        <v>551</v>
      </c>
      <c r="L103" s="38" t="s">
        <v>54</v>
      </c>
      <c r="M103" s="37" t="s">
        <v>104</v>
      </c>
      <c r="N103" s="39" t="n">
        <v>32551</v>
      </c>
      <c r="O103" s="41" t="s">
        <v>23</v>
      </c>
      <c r="P103" s="41" t="s">
        <v>105</v>
      </c>
      <c r="Q103" s="42"/>
      <c r="R103" s="41"/>
      <c r="S103" s="42"/>
      <c r="T103" s="41"/>
    </row>
    <row r="104" customFormat="false" ht="13.5" hidden="false" customHeight="true" outlineLevel="0" collapsed="false">
      <c r="A104" s="37" t="n">
        <v>101</v>
      </c>
      <c r="B104" s="37" t="n">
        <v>749</v>
      </c>
      <c r="C104" s="38" t="s">
        <v>552</v>
      </c>
      <c r="D104" s="37" t="s">
        <v>100</v>
      </c>
      <c r="E104" s="39" t="n">
        <v>24482</v>
      </c>
      <c r="F104" s="37" t="n">
        <f aca="true">IFERROR(DATEDIF(E104,TODAY(),"Y"),"")</f>
        <v>59</v>
      </c>
      <c r="G104" s="40" t="s">
        <v>553</v>
      </c>
      <c r="H104" s="40" t="s">
        <v>554</v>
      </c>
      <c r="I104" s="38" t="s">
        <v>555</v>
      </c>
      <c r="J104" s="38" t="s">
        <v>16</v>
      </c>
      <c r="K104" s="38" t="s">
        <v>556</v>
      </c>
      <c r="L104" s="38" t="s">
        <v>51</v>
      </c>
      <c r="M104" s="37" t="s">
        <v>177</v>
      </c>
      <c r="N104" s="39" t="n">
        <v>32551</v>
      </c>
      <c r="O104" s="41" t="s">
        <v>23</v>
      </c>
      <c r="P104" s="41" t="s">
        <v>105</v>
      </c>
      <c r="Q104" s="42"/>
      <c r="R104" s="41"/>
      <c r="S104" s="42"/>
      <c r="T104" s="41"/>
    </row>
    <row r="105" customFormat="false" ht="13.5" hidden="false" customHeight="true" outlineLevel="0" collapsed="false">
      <c r="A105" s="37" t="n">
        <v>102</v>
      </c>
      <c r="B105" s="37" t="n">
        <v>753</v>
      </c>
      <c r="C105" s="38" t="s">
        <v>557</v>
      </c>
      <c r="D105" s="37" t="s">
        <v>100</v>
      </c>
      <c r="E105" s="39" t="n">
        <v>21604</v>
      </c>
      <c r="F105" s="37" t="n">
        <f aca="true">IFERROR(DATEDIF(E105,TODAY(),"Y"),"")</f>
        <v>67</v>
      </c>
      <c r="G105" s="40" t="s">
        <v>558</v>
      </c>
      <c r="H105" s="40" t="s">
        <v>559</v>
      </c>
      <c r="I105" s="38" t="s">
        <v>560</v>
      </c>
      <c r="J105" s="38" t="s">
        <v>15</v>
      </c>
      <c r="K105" s="38" t="s">
        <v>561</v>
      </c>
      <c r="L105" s="38" t="s">
        <v>50</v>
      </c>
      <c r="M105" s="37"/>
      <c r="N105" s="39" t="n">
        <v>32553</v>
      </c>
      <c r="O105" s="41" t="s">
        <v>23</v>
      </c>
      <c r="P105" s="41" t="s">
        <v>105</v>
      </c>
      <c r="Q105" s="42"/>
      <c r="R105" s="41"/>
      <c r="S105" s="42"/>
      <c r="T105" s="41"/>
    </row>
    <row r="106" customFormat="false" ht="13.5" hidden="false" customHeight="true" outlineLevel="0" collapsed="false">
      <c r="A106" s="37" t="n">
        <v>103</v>
      </c>
      <c r="B106" s="37" t="n">
        <v>773</v>
      </c>
      <c r="C106" s="38" t="s">
        <v>562</v>
      </c>
      <c r="D106" s="37" t="s">
        <v>100</v>
      </c>
      <c r="E106" s="39" t="n">
        <v>20316</v>
      </c>
      <c r="F106" s="37" t="n">
        <f aca="true">IFERROR(DATEDIF(E106,TODAY(),"Y"),"")</f>
        <v>70</v>
      </c>
      <c r="G106" s="40" t="s">
        <v>563</v>
      </c>
      <c r="H106" s="40"/>
      <c r="I106" s="38" t="s">
        <v>564</v>
      </c>
      <c r="J106" s="38" t="s">
        <v>16</v>
      </c>
      <c r="K106" s="38" t="s">
        <v>565</v>
      </c>
      <c r="L106" s="38" t="s">
        <v>46</v>
      </c>
      <c r="M106" s="37" t="s">
        <v>241</v>
      </c>
      <c r="N106" s="39" t="n">
        <v>32558</v>
      </c>
      <c r="O106" s="41" t="s">
        <v>23</v>
      </c>
      <c r="P106" s="41" t="s">
        <v>105</v>
      </c>
      <c r="Q106" s="42"/>
      <c r="R106" s="41"/>
      <c r="S106" s="42"/>
      <c r="T106" s="41"/>
    </row>
    <row r="107" customFormat="false" ht="13.5" hidden="false" customHeight="true" outlineLevel="0" collapsed="false">
      <c r="A107" s="37" t="n">
        <v>104</v>
      </c>
      <c r="B107" s="37" t="n">
        <v>781</v>
      </c>
      <c r="C107" s="38" t="s">
        <v>566</v>
      </c>
      <c r="D107" s="37" t="s">
        <v>100</v>
      </c>
      <c r="E107" s="39" t="n">
        <v>20739</v>
      </c>
      <c r="F107" s="37" t="n">
        <f aca="true">IFERROR(DATEDIF(E107,TODAY(),"Y"),"")</f>
        <v>69</v>
      </c>
      <c r="G107" s="40" t="s">
        <v>567</v>
      </c>
      <c r="H107" s="40" t="s">
        <v>568</v>
      </c>
      <c r="I107" s="38" t="s">
        <v>569</v>
      </c>
      <c r="J107" s="38" t="s">
        <v>15</v>
      </c>
      <c r="K107" s="38" t="s">
        <v>570</v>
      </c>
      <c r="L107" s="38" t="s">
        <v>53</v>
      </c>
      <c r="M107" s="37" t="s">
        <v>231</v>
      </c>
      <c r="N107" s="39" t="n">
        <v>32555</v>
      </c>
      <c r="O107" s="41" t="s">
        <v>23</v>
      </c>
      <c r="P107" s="41" t="s">
        <v>105</v>
      </c>
      <c r="Q107" s="42"/>
      <c r="R107" s="41"/>
      <c r="S107" s="42"/>
      <c r="T107" s="41"/>
    </row>
    <row r="108" customFormat="false" ht="13.5" hidden="false" customHeight="true" outlineLevel="0" collapsed="false">
      <c r="A108" s="37" t="n">
        <v>105</v>
      </c>
      <c r="B108" s="37" t="n">
        <v>794</v>
      </c>
      <c r="C108" s="38" t="s">
        <v>571</v>
      </c>
      <c r="D108" s="37" t="s">
        <v>100</v>
      </c>
      <c r="E108" s="39" t="n">
        <v>21912</v>
      </c>
      <c r="F108" s="37" t="n">
        <f aca="true">IFERROR(DATEDIF(E108,TODAY(),"Y"),"")</f>
        <v>66</v>
      </c>
      <c r="G108" s="40" t="s">
        <v>572</v>
      </c>
      <c r="H108" s="40" t="s">
        <v>573</v>
      </c>
      <c r="I108" s="38" t="s">
        <v>574</v>
      </c>
      <c r="J108" s="38" t="s">
        <v>16</v>
      </c>
      <c r="K108" s="38" t="s">
        <v>575</v>
      </c>
      <c r="L108" s="38" t="s">
        <v>51</v>
      </c>
      <c r="M108" s="37" t="s">
        <v>104</v>
      </c>
      <c r="N108" s="39" t="n">
        <v>32559</v>
      </c>
      <c r="O108" s="41" t="s">
        <v>23</v>
      </c>
      <c r="P108" s="41" t="s">
        <v>105</v>
      </c>
      <c r="Q108" s="42"/>
      <c r="R108" s="41"/>
      <c r="S108" s="42"/>
      <c r="T108" s="41"/>
    </row>
    <row r="109" customFormat="false" ht="13.5" hidden="false" customHeight="true" outlineLevel="0" collapsed="false">
      <c r="A109" s="37" t="n">
        <v>106</v>
      </c>
      <c r="B109" s="37" t="n">
        <v>799</v>
      </c>
      <c r="C109" s="38" t="s">
        <v>576</v>
      </c>
      <c r="D109" s="37" t="s">
        <v>100</v>
      </c>
      <c r="E109" s="39" t="n">
        <v>19881</v>
      </c>
      <c r="F109" s="37" t="n">
        <f aca="true">IFERROR(DATEDIF(E109,TODAY(),"Y"),"")</f>
        <v>72</v>
      </c>
      <c r="G109" s="40" t="s">
        <v>577</v>
      </c>
      <c r="H109" s="40" t="s">
        <v>578</v>
      </c>
      <c r="I109" s="38" t="s">
        <v>579</v>
      </c>
      <c r="J109" s="38" t="s">
        <v>16</v>
      </c>
      <c r="K109" s="38" t="s">
        <v>580</v>
      </c>
      <c r="L109" s="38" t="s">
        <v>54</v>
      </c>
      <c r="M109" s="37" t="s">
        <v>120</v>
      </c>
      <c r="N109" s="39" t="n">
        <v>30709</v>
      </c>
      <c r="O109" s="41" t="s">
        <v>23</v>
      </c>
      <c r="P109" s="41" t="s">
        <v>105</v>
      </c>
      <c r="Q109" s="42"/>
      <c r="R109" s="41"/>
      <c r="S109" s="42"/>
      <c r="T109" s="41"/>
    </row>
    <row r="110" customFormat="false" ht="13.5" hidden="false" customHeight="true" outlineLevel="0" collapsed="false">
      <c r="A110" s="37" t="n">
        <v>107</v>
      </c>
      <c r="B110" s="37" t="n">
        <v>801</v>
      </c>
      <c r="C110" s="38" t="s">
        <v>581</v>
      </c>
      <c r="D110" s="37" t="s">
        <v>100</v>
      </c>
      <c r="E110" s="39" t="n">
        <v>20584</v>
      </c>
      <c r="F110" s="37" t="n">
        <f aca="true">IFERROR(DATEDIF(E110,TODAY(),"Y"),"")</f>
        <v>70</v>
      </c>
      <c r="G110" s="40" t="s">
        <v>582</v>
      </c>
      <c r="H110" s="40" t="s">
        <v>583</v>
      </c>
      <c r="I110" s="38" t="s">
        <v>584</v>
      </c>
      <c r="J110" s="38" t="s">
        <v>15</v>
      </c>
      <c r="K110" s="38" t="s">
        <v>585</v>
      </c>
      <c r="L110" s="38" t="s">
        <v>53</v>
      </c>
      <c r="M110" s="37" t="s">
        <v>120</v>
      </c>
      <c r="N110" s="39" t="n">
        <v>32554</v>
      </c>
      <c r="O110" s="41" t="s">
        <v>23</v>
      </c>
      <c r="P110" s="41" t="s">
        <v>105</v>
      </c>
      <c r="Q110" s="42"/>
      <c r="R110" s="41"/>
      <c r="S110" s="42"/>
      <c r="T110" s="41"/>
    </row>
    <row r="111" customFormat="false" ht="13.5" hidden="false" customHeight="true" outlineLevel="0" collapsed="false">
      <c r="A111" s="37" t="n">
        <v>108</v>
      </c>
      <c r="B111" s="37" t="n">
        <v>808</v>
      </c>
      <c r="C111" s="38" t="s">
        <v>586</v>
      </c>
      <c r="D111" s="37" t="s">
        <v>100</v>
      </c>
      <c r="E111" s="39" t="n">
        <v>17599</v>
      </c>
      <c r="F111" s="37" t="n">
        <f aca="true">IFERROR(DATEDIF(E111,TODAY(),"Y"),"")</f>
        <v>78</v>
      </c>
      <c r="G111" s="40" t="s">
        <v>587</v>
      </c>
      <c r="H111" s="40" t="s">
        <v>588</v>
      </c>
      <c r="I111" s="38" t="s">
        <v>589</v>
      </c>
      <c r="J111" s="38" t="s">
        <v>15</v>
      </c>
      <c r="K111" s="38" t="s">
        <v>590</v>
      </c>
      <c r="L111" s="38" t="s">
        <v>55</v>
      </c>
      <c r="M111" s="37"/>
      <c r="N111" s="39" t="n">
        <v>32557</v>
      </c>
      <c r="O111" s="41" t="s">
        <v>23</v>
      </c>
      <c r="P111" s="41" t="s">
        <v>105</v>
      </c>
      <c r="Q111" s="42"/>
      <c r="R111" s="41"/>
      <c r="S111" s="42"/>
      <c r="T111" s="41"/>
    </row>
    <row r="112" customFormat="false" ht="13.5" hidden="false" customHeight="true" outlineLevel="0" collapsed="false">
      <c r="A112" s="37" t="n">
        <v>109</v>
      </c>
      <c r="B112" s="37" t="n">
        <v>816</v>
      </c>
      <c r="C112" s="38" t="s">
        <v>591</v>
      </c>
      <c r="D112" s="37" t="s">
        <v>100</v>
      </c>
      <c r="E112" s="39" t="n">
        <v>17168</v>
      </c>
      <c r="F112" s="37" t="n">
        <f aca="true">IFERROR(DATEDIF(E112,TODAY(),"Y"),"")</f>
        <v>79</v>
      </c>
      <c r="G112" s="40" t="s">
        <v>592</v>
      </c>
      <c r="H112" s="40" t="s">
        <v>593</v>
      </c>
      <c r="I112" s="38" t="s">
        <v>594</v>
      </c>
      <c r="J112" s="38" t="s">
        <v>15</v>
      </c>
      <c r="K112" s="38" t="s">
        <v>595</v>
      </c>
      <c r="L112" s="38" t="s">
        <v>46</v>
      </c>
      <c r="M112" s="37" t="s">
        <v>120</v>
      </c>
      <c r="N112" s="39" t="n">
        <v>32557</v>
      </c>
      <c r="O112" s="41" t="s">
        <v>23</v>
      </c>
      <c r="P112" s="41" t="s">
        <v>105</v>
      </c>
      <c r="Q112" s="42"/>
      <c r="R112" s="41"/>
      <c r="S112" s="42"/>
      <c r="T112" s="41"/>
    </row>
    <row r="113" customFormat="false" ht="13.5" hidden="false" customHeight="true" outlineLevel="0" collapsed="false">
      <c r="A113" s="37" t="n">
        <v>110</v>
      </c>
      <c r="B113" s="37" t="n">
        <v>819</v>
      </c>
      <c r="C113" s="38" t="s">
        <v>596</v>
      </c>
      <c r="D113" s="37" t="s">
        <v>100</v>
      </c>
      <c r="E113" s="39" t="n">
        <v>23196</v>
      </c>
      <c r="F113" s="37" t="n">
        <f aca="true">IFERROR(DATEDIF(E113,TODAY(),"Y"),"")</f>
        <v>63</v>
      </c>
      <c r="G113" s="40" t="s">
        <v>597</v>
      </c>
      <c r="H113" s="40"/>
      <c r="I113" s="38" t="s">
        <v>598</v>
      </c>
      <c r="J113" s="38" t="s">
        <v>24</v>
      </c>
      <c r="K113" s="38" t="s">
        <v>599</v>
      </c>
      <c r="L113" s="43" t="s">
        <v>58</v>
      </c>
      <c r="M113" s="37" t="s">
        <v>104</v>
      </c>
      <c r="N113" s="39" t="n">
        <v>29221</v>
      </c>
      <c r="O113" s="41" t="s">
        <v>23</v>
      </c>
      <c r="P113" s="41" t="s">
        <v>105</v>
      </c>
      <c r="Q113" s="42"/>
      <c r="R113" s="41"/>
      <c r="S113" s="42"/>
      <c r="T113" s="41"/>
    </row>
    <row r="114" customFormat="false" ht="13.5" hidden="false" customHeight="true" outlineLevel="0" collapsed="false">
      <c r="A114" s="37" t="n">
        <v>111</v>
      </c>
      <c r="B114" s="37" t="n">
        <v>834</v>
      </c>
      <c r="C114" s="38" t="s">
        <v>600</v>
      </c>
      <c r="D114" s="37" t="s">
        <v>100</v>
      </c>
      <c r="E114" s="39" t="n">
        <v>16291</v>
      </c>
      <c r="F114" s="37" t="n">
        <f aca="true">IFERROR(DATEDIF(E114,TODAY(),"Y"),"")</f>
        <v>82</v>
      </c>
      <c r="G114" s="40" t="s">
        <v>601</v>
      </c>
      <c r="H114" s="40" t="s">
        <v>602</v>
      </c>
      <c r="I114" s="38" t="s">
        <v>603</v>
      </c>
      <c r="J114" s="38" t="s">
        <v>15</v>
      </c>
      <c r="K114" s="38" t="s">
        <v>604</v>
      </c>
      <c r="L114" s="38" t="s">
        <v>53</v>
      </c>
      <c r="M114" s="37" t="s">
        <v>231</v>
      </c>
      <c r="N114" s="39" t="n">
        <v>29221</v>
      </c>
      <c r="O114" s="41" t="s">
        <v>23</v>
      </c>
      <c r="P114" s="41" t="s">
        <v>105</v>
      </c>
      <c r="Q114" s="42"/>
      <c r="R114" s="41"/>
      <c r="S114" s="42"/>
      <c r="T114" s="41"/>
    </row>
    <row r="115" customFormat="false" ht="13.5" hidden="false" customHeight="true" outlineLevel="0" collapsed="false">
      <c r="A115" s="37" t="n">
        <v>112</v>
      </c>
      <c r="B115" s="37" t="n">
        <v>837</v>
      </c>
      <c r="C115" s="38" t="s">
        <v>605</v>
      </c>
      <c r="D115" s="37" t="s">
        <v>100</v>
      </c>
      <c r="E115" s="39" t="n">
        <v>19694</v>
      </c>
      <c r="F115" s="37" t="n">
        <f aca="true">IFERROR(DATEDIF(E115,TODAY(),"Y"),"")</f>
        <v>72</v>
      </c>
      <c r="G115" s="40" t="s">
        <v>606</v>
      </c>
      <c r="H115" s="40" t="s">
        <v>607</v>
      </c>
      <c r="I115" s="38" t="s">
        <v>608</v>
      </c>
      <c r="J115" s="38" t="s">
        <v>16</v>
      </c>
      <c r="K115" s="38" t="s">
        <v>609</v>
      </c>
      <c r="L115" s="38" t="s">
        <v>55</v>
      </c>
      <c r="M115" s="37"/>
      <c r="N115" s="39" t="n">
        <v>32564</v>
      </c>
      <c r="O115" s="41" t="s">
        <v>23</v>
      </c>
      <c r="P115" s="41" t="s">
        <v>105</v>
      </c>
      <c r="Q115" s="42"/>
      <c r="R115" s="41"/>
      <c r="S115" s="42"/>
      <c r="T115" s="41"/>
    </row>
    <row r="116" customFormat="false" ht="13.5" hidden="false" customHeight="true" outlineLevel="0" collapsed="false">
      <c r="A116" s="37" t="n">
        <v>113</v>
      </c>
      <c r="B116" s="37" t="n">
        <v>839</v>
      </c>
      <c r="C116" s="38" t="s">
        <v>610</v>
      </c>
      <c r="D116" s="37" t="s">
        <v>100</v>
      </c>
      <c r="E116" s="39" t="n">
        <v>20316</v>
      </c>
      <c r="F116" s="37" t="n">
        <f aca="true">IFERROR(DATEDIF(E116,TODAY(),"Y"),"")</f>
        <v>70</v>
      </c>
      <c r="G116" s="40" t="s">
        <v>611</v>
      </c>
      <c r="H116" s="40" t="s">
        <v>612</v>
      </c>
      <c r="I116" s="38" t="s">
        <v>613</v>
      </c>
      <c r="J116" s="38" t="s">
        <v>15</v>
      </c>
      <c r="K116" s="38" t="s">
        <v>614</v>
      </c>
      <c r="L116" s="38" t="s">
        <v>55</v>
      </c>
      <c r="M116" s="37"/>
      <c r="N116" s="39" t="n">
        <v>31349</v>
      </c>
      <c r="O116" s="41" t="s">
        <v>23</v>
      </c>
      <c r="P116" s="41" t="s">
        <v>105</v>
      </c>
      <c r="Q116" s="42"/>
      <c r="R116" s="41"/>
      <c r="S116" s="42"/>
      <c r="T116" s="41"/>
    </row>
    <row r="117" customFormat="false" ht="13.5" hidden="false" customHeight="true" outlineLevel="0" collapsed="false">
      <c r="A117" s="37" t="n">
        <v>114</v>
      </c>
      <c r="B117" s="37" t="n">
        <v>840</v>
      </c>
      <c r="C117" s="38" t="s">
        <v>615</v>
      </c>
      <c r="D117" s="37" t="s">
        <v>100</v>
      </c>
      <c r="E117" s="39" t="n">
        <v>21158</v>
      </c>
      <c r="F117" s="37" t="n">
        <f aca="true">IFERROR(DATEDIF(E117,TODAY(),"Y"),"")</f>
        <v>68</v>
      </c>
      <c r="G117" s="40" t="s">
        <v>616</v>
      </c>
      <c r="H117" s="40" t="s">
        <v>617</v>
      </c>
      <c r="I117" s="38" t="s">
        <v>618</v>
      </c>
      <c r="J117" s="38" t="s">
        <v>15</v>
      </c>
      <c r="K117" s="38" t="s">
        <v>619</v>
      </c>
      <c r="L117" s="38" t="s">
        <v>47</v>
      </c>
      <c r="M117" s="37" t="s">
        <v>104</v>
      </c>
      <c r="N117" s="39" t="n">
        <v>31466</v>
      </c>
      <c r="O117" s="41" t="s">
        <v>23</v>
      </c>
      <c r="P117" s="41" t="s">
        <v>105</v>
      </c>
      <c r="Q117" s="42"/>
      <c r="R117" s="41"/>
      <c r="S117" s="42"/>
      <c r="T117" s="41"/>
    </row>
    <row r="118" customFormat="false" ht="13.5" hidden="false" customHeight="true" outlineLevel="0" collapsed="false">
      <c r="A118" s="37" t="n">
        <v>115</v>
      </c>
      <c r="B118" s="37" t="n">
        <v>850</v>
      </c>
      <c r="C118" s="38" t="s">
        <v>620</v>
      </c>
      <c r="D118" s="37" t="s">
        <v>100</v>
      </c>
      <c r="E118" s="39" t="n">
        <v>21732</v>
      </c>
      <c r="F118" s="37" t="n">
        <f aca="true">IFERROR(DATEDIF(E118,TODAY(),"Y"),"")</f>
        <v>67</v>
      </c>
      <c r="G118" s="40" t="s">
        <v>621</v>
      </c>
      <c r="H118" s="40" t="s">
        <v>622</v>
      </c>
      <c r="I118" s="38" t="s">
        <v>623</v>
      </c>
      <c r="J118" s="38" t="s">
        <v>15</v>
      </c>
      <c r="K118" s="38" t="s">
        <v>624</v>
      </c>
      <c r="L118" s="43" t="s">
        <v>58</v>
      </c>
      <c r="M118" s="37" t="s">
        <v>104</v>
      </c>
      <c r="N118" s="39" t="n">
        <v>32553</v>
      </c>
      <c r="O118" s="41" t="s">
        <v>23</v>
      </c>
      <c r="P118" s="41" t="s">
        <v>105</v>
      </c>
      <c r="Q118" s="42"/>
      <c r="R118" s="41"/>
      <c r="S118" s="42"/>
      <c r="T118" s="41"/>
    </row>
    <row r="119" customFormat="false" ht="13.5" hidden="false" customHeight="true" outlineLevel="0" collapsed="false">
      <c r="A119" s="37" t="n">
        <v>116</v>
      </c>
      <c r="B119" s="37" t="n">
        <v>864</v>
      </c>
      <c r="C119" s="38" t="s">
        <v>625</v>
      </c>
      <c r="D119" s="37" t="s">
        <v>100</v>
      </c>
      <c r="E119" s="39" t="n">
        <v>18451</v>
      </c>
      <c r="F119" s="37" t="n">
        <f aca="true">IFERROR(DATEDIF(E119,TODAY(),"Y"),"")</f>
        <v>76</v>
      </c>
      <c r="G119" s="40" t="s">
        <v>626</v>
      </c>
      <c r="H119" s="40"/>
      <c r="I119" s="38" t="s">
        <v>627</v>
      </c>
      <c r="J119" s="38" t="s">
        <v>24</v>
      </c>
      <c r="K119" s="38" t="s">
        <v>628</v>
      </c>
      <c r="L119" s="43" t="s">
        <v>58</v>
      </c>
      <c r="M119" s="37" t="s">
        <v>177</v>
      </c>
      <c r="N119" s="39" t="n">
        <v>32551</v>
      </c>
      <c r="O119" s="41" t="s">
        <v>23</v>
      </c>
      <c r="P119" s="41" t="s">
        <v>105</v>
      </c>
      <c r="Q119" s="42"/>
      <c r="R119" s="41"/>
      <c r="S119" s="42"/>
      <c r="T119" s="41"/>
    </row>
    <row r="120" customFormat="false" ht="13.5" hidden="false" customHeight="true" outlineLevel="0" collapsed="false">
      <c r="A120" s="37" t="n">
        <v>117</v>
      </c>
      <c r="B120" s="37" t="n">
        <v>871</v>
      </c>
      <c r="C120" s="38" t="s">
        <v>629</v>
      </c>
      <c r="D120" s="37" t="s">
        <v>100</v>
      </c>
      <c r="E120" s="39" t="n">
        <v>18679</v>
      </c>
      <c r="F120" s="37" t="n">
        <f aca="true">IFERROR(DATEDIF(E120,TODAY(),"Y"),"")</f>
        <v>75</v>
      </c>
      <c r="G120" s="40" t="s">
        <v>630</v>
      </c>
      <c r="H120" s="40" t="s">
        <v>631</v>
      </c>
      <c r="I120" s="38" t="s">
        <v>632</v>
      </c>
      <c r="J120" s="38" t="s">
        <v>15</v>
      </c>
      <c r="K120" s="38" t="s">
        <v>633</v>
      </c>
      <c r="L120" s="43" t="s">
        <v>58</v>
      </c>
      <c r="M120" s="37" t="s">
        <v>120</v>
      </c>
      <c r="N120" s="39" t="n">
        <v>32551</v>
      </c>
      <c r="O120" s="41" t="s">
        <v>23</v>
      </c>
      <c r="P120" s="41" t="s">
        <v>105</v>
      </c>
      <c r="Q120" s="42"/>
      <c r="R120" s="41"/>
      <c r="S120" s="42"/>
      <c r="T120" s="41"/>
    </row>
    <row r="121" customFormat="false" ht="13.5" hidden="false" customHeight="true" outlineLevel="0" collapsed="false">
      <c r="A121" s="37" t="n">
        <v>118</v>
      </c>
      <c r="B121" s="37" t="n">
        <v>887</v>
      </c>
      <c r="C121" s="38" t="s">
        <v>634</v>
      </c>
      <c r="D121" s="37" t="s">
        <v>100</v>
      </c>
      <c r="E121" s="39" t="n">
        <v>19949</v>
      </c>
      <c r="F121" s="37" t="n">
        <f aca="true">IFERROR(DATEDIF(E121,TODAY(),"Y"),"")</f>
        <v>71</v>
      </c>
      <c r="G121" s="40" t="s">
        <v>635</v>
      </c>
      <c r="H121" s="40" t="s">
        <v>636</v>
      </c>
      <c r="I121" s="38" t="s">
        <v>637</v>
      </c>
      <c r="J121" s="38" t="s">
        <v>15</v>
      </c>
      <c r="K121" s="38" t="s">
        <v>638</v>
      </c>
      <c r="L121" s="38" t="s">
        <v>46</v>
      </c>
      <c r="M121" s="37" t="s">
        <v>120</v>
      </c>
      <c r="N121" s="39" t="n">
        <v>30700</v>
      </c>
      <c r="O121" s="41" t="s">
        <v>23</v>
      </c>
      <c r="P121" s="41" t="s">
        <v>105</v>
      </c>
      <c r="Q121" s="42"/>
      <c r="R121" s="41"/>
      <c r="S121" s="42"/>
      <c r="T121" s="41"/>
    </row>
    <row r="122" customFormat="false" ht="13.5" hidden="false" customHeight="true" outlineLevel="0" collapsed="false">
      <c r="A122" s="37" t="n">
        <v>119</v>
      </c>
      <c r="B122" s="37" t="n">
        <v>889</v>
      </c>
      <c r="C122" s="38" t="s">
        <v>639</v>
      </c>
      <c r="D122" s="37" t="s">
        <v>100</v>
      </c>
      <c r="E122" s="39" t="n">
        <v>20861</v>
      </c>
      <c r="F122" s="37" t="n">
        <f aca="true">IFERROR(DATEDIF(E122,TODAY(),"Y"),"")</f>
        <v>69</v>
      </c>
      <c r="G122" s="40" t="s">
        <v>640</v>
      </c>
      <c r="H122" s="40"/>
      <c r="I122" s="38" t="s">
        <v>641</v>
      </c>
      <c r="J122" s="38" t="s">
        <v>15</v>
      </c>
      <c r="K122" s="38" t="s">
        <v>642</v>
      </c>
      <c r="L122" s="38" t="s">
        <v>51</v>
      </c>
      <c r="M122" s="37" t="s">
        <v>120</v>
      </c>
      <c r="N122" s="39" t="n">
        <v>30740</v>
      </c>
      <c r="O122" s="41" t="s">
        <v>23</v>
      </c>
      <c r="P122" s="41" t="s">
        <v>105</v>
      </c>
      <c r="Q122" s="42"/>
      <c r="R122" s="41"/>
      <c r="S122" s="42"/>
      <c r="T122" s="41"/>
    </row>
    <row r="123" customFormat="false" ht="13.5" hidden="false" customHeight="true" outlineLevel="0" collapsed="false">
      <c r="A123" s="37" t="n">
        <v>120</v>
      </c>
      <c r="B123" s="37" t="n">
        <v>893</v>
      </c>
      <c r="C123" s="38" t="s">
        <v>643</v>
      </c>
      <c r="D123" s="37" t="s">
        <v>100</v>
      </c>
      <c r="E123" s="39" t="n">
        <v>21381</v>
      </c>
      <c r="F123" s="37" t="n">
        <f aca="true">IFERROR(DATEDIF(E123,TODAY(),"Y"),"")</f>
        <v>68</v>
      </c>
      <c r="G123" s="40" t="s">
        <v>644</v>
      </c>
      <c r="H123" s="40" t="s">
        <v>645</v>
      </c>
      <c r="I123" s="38" t="s">
        <v>646</v>
      </c>
      <c r="J123" s="38" t="s">
        <v>15</v>
      </c>
      <c r="K123" s="38" t="s">
        <v>647</v>
      </c>
      <c r="L123" s="38" t="s">
        <v>54</v>
      </c>
      <c r="M123" s="37" t="s">
        <v>120</v>
      </c>
      <c r="N123" s="39" t="n">
        <v>32558</v>
      </c>
      <c r="O123" s="41" t="s">
        <v>23</v>
      </c>
      <c r="P123" s="41" t="s">
        <v>105</v>
      </c>
      <c r="Q123" s="42"/>
      <c r="R123" s="41"/>
      <c r="S123" s="42"/>
      <c r="T123" s="41"/>
    </row>
    <row r="124" customFormat="false" ht="13.5" hidden="false" customHeight="true" outlineLevel="0" collapsed="false">
      <c r="A124" s="37" t="n">
        <v>121</v>
      </c>
      <c r="B124" s="37" t="n">
        <v>906</v>
      </c>
      <c r="C124" s="38" t="s">
        <v>648</v>
      </c>
      <c r="D124" s="37" t="s">
        <v>100</v>
      </c>
      <c r="E124" s="39" t="n">
        <v>24972</v>
      </c>
      <c r="F124" s="37" t="n">
        <f aca="true">IFERROR(DATEDIF(E124,TODAY(),"Y"),"")</f>
        <v>58</v>
      </c>
      <c r="G124" s="40" t="s">
        <v>649</v>
      </c>
      <c r="H124" s="40" t="s">
        <v>650</v>
      </c>
      <c r="I124" s="38" t="s">
        <v>651</v>
      </c>
      <c r="J124" s="38" t="s">
        <v>16</v>
      </c>
      <c r="K124" s="38" t="s">
        <v>652</v>
      </c>
      <c r="L124" s="38" t="s">
        <v>47</v>
      </c>
      <c r="M124" s="37" t="s">
        <v>104</v>
      </c>
      <c r="N124" s="39" t="n">
        <v>32557</v>
      </c>
      <c r="O124" s="41" t="s">
        <v>23</v>
      </c>
      <c r="P124" s="41" t="s">
        <v>105</v>
      </c>
      <c r="Q124" s="42"/>
      <c r="R124" s="41"/>
      <c r="S124" s="42"/>
      <c r="T124" s="41"/>
    </row>
    <row r="125" customFormat="false" ht="13.5" hidden="false" customHeight="true" outlineLevel="0" collapsed="false">
      <c r="A125" s="37" t="n">
        <v>122</v>
      </c>
      <c r="B125" s="37" t="n">
        <v>911</v>
      </c>
      <c r="C125" s="38" t="s">
        <v>653</v>
      </c>
      <c r="D125" s="37" t="s">
        <v>100</v>
      </c>
      <c r="E125" s="39" t="n">
        <v>20883</v>
      </c>
      <c r="F125" s="37" t="n">
        <f aca="true">IFERROR(DATEDIF(E125,TODAY(),"Y"),"")</f>
        <v>69</v>
      </c>
      <c r="G125" s="40" t="s">
        <v>654</v>
      </c>
      <c r="H125" s="40" t="s">
        <v>655</v>
      </c>
      <c r="I125" s="38" t="s">
        <v>656</v>
      </c>
      <c r="J125" s="38" t="s">
        <v>15</v>
      </c>
      <c r="K125" s="38" t="s">
        <v>657</v>
      </c>
      <c r="L125" s="38" t="s">
        <v>50</v>
      </c>
      <c r="M125" s="37" t="s">
        <v>120</v>
      </c>
      <c r="N125" s="39" t="n">
        <v>32189</v>
      </c>
      <c r="O125" s="41" t="s">
        <v>23</v>
      </c>
      <c r="P125" s="41" t="s">
        <v>105</v>
      </c>
      <c r="Q125" s="42"/>
      <c r="R125" s="41"/>
      <c r="S125" s="42"/>
      <c r="T125" s="41"/>
    </row>
    <row r="126" customFormat="false" ht="13.5" hidden="false" customHeight="true" outlineLevel="0" collapsed="false">
      <c r="A126" s="37" t="n">
        <v>123</v>
      </c>
      <c r="B126" s="37" t="n">
        <v>923</v>
      </c>
      <c r="C126" s="38" t="s">
        <v>658</v>
      </c>
      <c r="D126" s="37" t="s">
        <v>100</v>
      </c>
      <c r="E126" s="39" t="n">
        <v>24230</v>
      </c>
      <c r="F126" s="37" t="n">
        <f aca="true">IFERROR(DATEDIF(E126,TODAY(),"Y"),"")</f>
        <v>60</v>
      </c>
      <c r="G126" s="40" t="s">
        <v>659</v>
      </c>
      <c r="H126" s="40" t="s">
        <v>660</v>
      </c>
      <c r="I126" s="38" t="s">
        <v>661</v>
      </c>
      <c r="J126" s="38" t="s">
        <v>15</v>
      </c>
      <c r="K126" s="38" t="s">
        <v>662</v>
      </c>
      <c r="L126" s="38" t="s">
        <v>55</v>
      </c>
      <c r="M126" s="37" t="s">
        <v>177</v>
      </c>
      <c r="N126" s="39" t="n">
        <v>29221</v>
      </c>
      <c r="O126" s="41" t="s">
        <v>23</v>
      </c>
      <c r="P126" s="41" t="s">
        <v>105</v>
      </c>
      <c r="Q126" s="42"/>
      <c r="R126" s="41"/>
      <c r="S126" s="42"/>
      <c r="T126" s="41"/>
    </row>
    <row r="127" customFormat="false" ht="13.5" hidden="false" customHeight="true" outlineLevel="0" collapsed="false">
      <c r="A127" s="37" t="n">
        <v>124</v>
      </c>
      <c r="B127" s="37" t="n">
        <v>925</v>
      </c>
      <c r="C127" s="38" t="s">
        <v>663</v>
      </c>
      <c r="D127" s="37" t="s">
        <v>100</v>
      </c>
      <c r="E127" s="39" t="n">
        <v>16803</v>
      </c>
      <c r="F127" s="37" t="n">
        <f aca="true">IFERROR(DATEDIF(E127,TODAY(),"Y"),"")</f>
        <v>80</v>
      </c>
      <c r="G127" s="40" t="s">
        <v>664</v>
      </c>
      <c r="H127" s="40" t="s">
        <v>665</v>
      </c>
      <c r="I127" s="38"/>
      <c r="J127" s="38" t="s">
        <v>16</v>
      </c>
      <c r="K127" s="38" t="s">
        <v>666</v>
      </c>
      <c r="L127" s="43" t="s">
        <v>58</v>
      </c>
      <c r="M127" s="37" t="s">
        <v>177</v>
      </c>
      <c r="N127" s="39" t="n">
        <v>32551</v>
      </c>
      <c r="O127" s="41" t="s">
        <v>23</v>
      </c>
      <c r="P127" s="41" t="s">
        <v>105</v>
      </c>
      <c r="Q127" s="42"/>
      <c r="R127" s="41"/>
      <c r="S127" s="42"/>
      <c r="T127" s="41"/>
    </row>
    <row r="128" customFormat="false" ht="13.5" hidden="false" customHeight="true" outlineLevel="0" collapsed="false">
      <c r="A128" s="37" t="n">
        <v>125</v>
      </c>
      <c r="B128" s="37" t="n">
        <v>926</v>
      </c>
      <c r="C128" s="38" t="s">
        <v>667</v>
      </c>
      <c r="D128" s="37" t="s">
        <v>100</v>
      </c>
      <c r="E128" s="39" t="n">
        <v>24219</v>
      </c>
      <c r="F128" s="37" t="n">
        <f aca="true">IFERROR(DATEDIF(E128,TODAY(),"Y"),"")</f>
        <v>60</v>
      </c>
      <c r="G128" s="40" t="s">
        <v>668</v>
      </c>
      <c r="H128" s="40" t="s">
        <v>669</v>
      </c>
      <c r="I128" s="38" t="s">
        <v>670</v>
      </c>
      <c r="J128" s="38" t="s">
        <v>15</v>
      </c>
      <c r="K128" s="38" t="s">
        <v>671</v>
      </c>
      <c r="L128" s="38" t="s">
        <v>47</v>
      </c>
      <c r="M128" s="37" t="s">
        <v>177</v>
      </c>
      <c r="N128" s="39" t="n">
        <v>31347</v>
      </c>
      <c r="O128" s="41" t="s">
        <v>23</v>
      </c>
      <c r="P128" s="41" t="s">
        <v>105</v>
      </c>
      <c r="Q128" s="42"/>
      <c r="R128" s="41"/>
      <c r="S128" s="42"/>
      <c r="T128" s="41"/>
    </row>
    <row r="129" customFormat="false" ht="13.5" hidden="false" customHeight="true" outlineLevel="0" collapsed="false">
      <c r="A129" s="37" t="n">
        <v>126</v>
      </c>
      <c r="B129" s="37" t="n">
        <v>933</v>
      </c>
      <c r="C129" s="38" t="s">
        <v>672</v>
      </c>
      <c r="D129" s="37" t="s">
        <v>100</v>
      </c>
      <c r="E129" s="39" t="n">
        <v>17795</v>
      </c>
      <c r="F129" s="37" t="n">
        <f aca="true">IFERROR(DATEDIF(E129,TODAY(),"Y"),"")</f>
        <v>77</v>
      </c>
      <c r="G129" s="40" t="s">
        <v>673</v>
      </c>
      <c r="H129" s="40" t="s">
        <v>674</v>
      </c>
      <c r="I129" s="38" t="s">
        <v>675</v>
      </c>
      <c r="J129" s="38" t="s">
        <v>15</v>
      </c>
      <c r="K129" s="38" t="s">
        <v>676</v>
      </c>
      <c r="L129" s="38" t="s">
        <v>53</v>
      </c>
      <c r="M129" s="37" t="s">
        <v>177</v>
      </c>
      <c r="N129" s="39" t="n">
        <v>32558</v>
      </c>
      <c r="O129" s="41" t="s">
        <v>23</v>
      </c>
      <c r="P129" s="41" t="s">
        <v>105</v>
      </c>
      <c r="Q129" s="42"/>
      <c r="R129" s="41"/>
      <c r="S129" s="42"/>
      <c r="T129" s="41"/>
    </row>
    <row r="130" customFormat="false" ht="13.5" hidden="false" customHeight="true" outlineLevel="0" collapsed="false">
      <c r="A130" s="37" t="n">
        <v>127</v>
      </c>
      <c r="B130" s="37" t="n">
        <v>939</v>
      </c>
      <c r="C130" s="38" t="s">
        <v>677</v>
      </c>
      <c r="D130" s="37" t="s">
        <v>100</v>
      </c>
      <c r="E130" s="39" t="n">
        <v>20723</v>
      </c>
      <c r="F130" s="37" t="n">
        <f aca="true">IFERROR(DATEDIF(E130,TODAY(),"Y"),"")</f>
        <v>69</v>
      </c>
      <c r="G130" s="40" t="s">
        <v>678</v>
      </c>
      <c r="H130" s="40" t="s">
        <v>679</v>
      </c>
      <c r="I130" s="38" t="s">
        <v>680</v>
      </c>
      <c r="J130" s="38" t="s">
        <v>15</v>
      </c>
      <c r="K130" s="38" t="s">
        <v>681</v>
      </c>
      <c r="L130" s="38" t="s">
        <v>55</v>
      </c>
      <c r="M130" s="37" t="s">
        <v>120</v>
      </c>
      <c r="N130" s="39" t="n">
        <v>31361</v>
      </c>
      <c r="O130" s="41" t="s">
        <v>23</v>
      </c>
      <c r="P130" s="41" t="s">
        <v>105</v>
      </c>
      <c r="Q130" s="42"/>
      <c r="R130" s="41"/>
      <c r="S130" s="42"/>
      <c r="T130" s="41"/>
    </row>
    <row r="131" customFormat="false" ht="13.5" hidden="false" customHeight="true" outlineLevel="0" collapsed="false">
      <c r="A131" s="37" t="n">
        <v>128</v>
      </c>
      <c r="B131" s="37" t="n">
        <v>946</v>
      </c>
      <c r="C131" s="38" t="s">
        <v>682</v>
      </c>
      <c r="D131" s="37" t="s">
        <v>100</v>
      </c>
      <c r="E131" s="39" t="n">
        <v>18749</v>
      </c>
      <c r="F131" s="37" t="n">
        <f aca="true">IFERROR(DATEDIF(E131,TODAY(),"Y"),"")</f>
        <v>75</v>
      </c>
      <c r="G131" s="40" t="s">
        <v>683</v>
      </c>
      <c r="H131" s="40"/>
      <c r="I131" s="38" t="s">
        <v>684</v>
      </c>
      <c r="J131" s="38" t="s">
        <v>15</v>
      </c>
      <c r="K131" s="38" t="s">
        <v>685</v>
      </c>
      <c r="L131" s="43" t="s">
        <v>58</v>
      </c>
      <c r="M131" s="37"/>
      <c r="N131" s="39" t="n">
        <v>31361</v>
      </c>
      <c r="O131" s="41" t="s">
        <v>23</v>
      </c>
      <c r="P131" s="41" t="s">
        <v>105</v>
      </c>
      <c r="Q131" s="42"/>
      <c r="R131" s="41"/>
      <c r="S131" s="42"/>
      <c r="T131" s="41"/>
    </row>
    <row r="132" customFormat="false" ht="13.5" hidden="false" customHeight="true" outlineLevel="0" collapsed="false">
      <c r="A132" s="37" t="n">
        <v>129</v>
      </c>
      <c r="B132" s="37" t="n">
        <v>956</v>
      </c>
      <c r="C132" s="38" t="s">
        <v>686</v>
      </c>
      <c r="D132" s="37" t="s">
        <v>100</v>
      </c>
      <c r="E132" s="39" t="n">
        <v>20739</v>
      </c>
      <c r="F132" s="37" t="n">
        <f aca="true">IFERROR(DATEDIF(E132,TODAY(),"Y"),"")</f>
        <v>69</v>
      </c>
      <c r="G132" s="40" t="s">
        <v>687</v>
      </c>
      <c r="H132" s="40" t="s">
        <v>688</v>
      </c>
      <c r="I132" s="38" t="s">
        <v>689</v>
      </c>
      <c r="J132" s="38" t="s">
        <v>15</v>
      </c>
      <c r="K132" s="38" t="s">
        <v>690</v>
      </c>
      <c r="L132" s="38" t="s">
        <v>49</v>
      </c>
      <c r="M132" s="37" t="s">
        <v>177</v>
      </c>
      <c r="N132" s="39" t="n">
        <v>32550</v>
      </c>
      <c r="O132" s="41" t="s">
        <v>23</v>
      </c>
      <c r="P132" s="41" t="s">
        <v>105</v>
      </c>
      <c r="Q132" s="42"/>
      <c r="R132" s="41"/>
      <c r="S132" s="42"/>
      <c r="T132" s="41"/>
    </row>
    <row r="133" customFormat="false" ht="13.5" hidden="false" customHeight="true" outlineLevel="0" collapsed="false">
      <c r="A133" s="37" t="n">
        <v>130</v>
      </c>
      <c r="B133" s="37" t="n">
        <v>964</v>
      </c>
      <c r="C133" s="38" t="s">
        <v>691</v>
      </c>
      <c r="D133" s="37" t="s">
        <v>100</v>
      </c>
      <c r="E133" s="39" t="n">
        <v>23507</v>
      </c>
      <c r="F133" s="37" t="n">
        <f aca="true">IFERROR(DATEDIF(E133,TODAY(),"Y"),"")</f>
        <v>62</v>
      </c>
      <c r="G133" s="40" t="s">
        <v>692</v>
      </c>
      <c r="H133" s="40" t="s">
        <v>693</v>
      </c>
      <c r="I133" s="38" t="s">
        <v>694</v>
      </c>
      <c r="J133" s="38" t="s">
        <v>15</v>
      </c>
      <c r="K133" s="38" t="s">
        <v>695</v>
      </c>
      <c r="L133" s="38" t="s">
        <v>55</v>
      </c>
      <c r="M133" s="37" t="s">
        <v>104</v>
      </c>
      <c r="N133" s="39" t="n">
        <v>32550</v>
      </c>
      <c r="O133" s="41" t="s">
        <v>23</v>
      </c>
      <c r="P133" s="41" t="s">
        <v>105</v>
      </c>
      <c r="Q133" s="42"/>
      <c r="R133" s="41"/>
      <c r="S133" s="42"/>
      <c r="T133" s="41"/>
    </row>
    <row r="134" customFormat="false" ht="13.5" hidden="false" customHeight="true" outlineLevel="0" collapsed="false">
      <c r="A134" s="37" t="n">
        <v>131</v>
      </c>
      <c r="B134" s="37" t="n">
        <v>970</v>
      </c>
      <c r="C134" s="38" t="s">
        <v>696</v>
      </c>
      <c r="D134" s="37" t="s">
        <v>100</v>
      </c>
      <c r="E134" s="39" t="n">
        <v>18646</v>
      </c>
      <c r="F134" s="37" t="n">
        <f aca="true">IFERROR(DATEDIF(E134,TODAY(),"Y"),"")</f>
        <v>75</v>
      </c>
      <c r="G134" s="40" t="s">
        <v>697</v>
      </c>
      <c r="H134" s="40" t="s">
        <v>698</v>
      </c>
      <c r="I134" s="38" t="s">
        <v>699</v>
      </c>
      <c r="J134" s="38" t="s">
        <v>15</v>
      </c>
      <c r="K134" s="38" t="s">
        <v>700</v>
      </c>
      <c r="L134" s="38" t="s">
        <v>46</v>
      </c>
      <c r="M134" s="37"/>
      <c r="N134" s="39" t="n">
        <v>32564</v>
      </c>
      <c r="O134" s="41" t="s">
        <v>23</v>
      </c>
      <c r="P134" s="41" t="s">
        <v>105</v>
      </c>
      <c r="Q134" s="42"/>
      <c r="R134" s="41"/>
      <c r="S134" s="42"/>
      <c r="T134" s="41"/>
    </row>
    <row r="135" customFormat="false" ht="13.5" hidden="false" customHeight="true" outlineLevel="0" collapsed="false">
      <c r="A135" s="37" t="n">
        <v>132</v>
      </c>
      <c r="B135" s="37" t="n">
        <v>971</v>
      </c>
      <c r="C135" s="38" t="s">
        <v>701</v>
      </c>
      <c r="D135" s="37" t="s">
        <v>100</v>
      </c>
      <c r="E135" s="39" t="n">
        <v>20059</v>
      </c>
      <c r="F135" s="37" t="n">
        <f aca="true">IFERROR(DATEDIF(E135,TODAY(),"Y"),"")</f>
        <v>71</v>
      </c>
      <c r="G135" s="40" t="s">
        <v>702</v>
      </c>
      <c r="H135" s="40" t="s">
        <v>703</v>
      </c>
      <c r="I135" s="38" t="s">
        <v>704</v>
      </c>
      <c r="J135" s="38" t="s">
        <v>15</v>
      </c>
      <c r="K135" s="38" t="s">
        <v>705</v>
      </c>
      <c r="L135" s="38" t="s">
        <v>55</v>
      </c>
      <c r="M135" s="37" t="s">
        <v>177</v>
      </c>
      <c r="N135" s="39" t="n">
        <v>29221</v>
      </c>
      <c r="O135" s="41" t="s">
        <v>23</v>
      </c>
      <c r="P135" s="41" t="s">
        <v>105</v>
      </c>
      <c r="Q135" s="42"/>
      <c r="R135" s="41"/>
      <c r="S135" s="42"/>
      <c r="T135" s="41"/>
    </row>
    <row r="136" customFormat="false" ht="13.5" hidden="false" customHeight="true" outlineLevel="0" collapsed="false">
      <c r="A136" s="37" t="n">
        <v>133</v>
      </c>
      <c r="B136" s="37" t="n">
        <v>982</v>
      </c>
      <c r="C136" s="38" t="s">
        <v>706</v>
      </c>
      <c r="D136" s="37" t="s">
        <v>100</v>
      </c>
      <c r="E136" s="39" t="n">
        <v>20928</v>
      </c>
      <c r="F136" s="37" t="n">
        <f aca="true">IFERROR(DATEDIF(E136,TODAY(),"Y"),"")</f>
        <v>69</v>
      </c>
      <c r="G136" s="40" t="s">
        <v>707</v>
      </c>
      <c r="H136" s="40" t="s">
        <v>708</v>
      </c>
      <c r="I136" s="38"/>
      <c r="J136" s="38" t="s">
        <v>15</v>
      </c>
      <c r="K136" s="38" t="s">
        <v>709</v>
      </c>
      <c r="L136" s="38" t="s">
        <v>47</v>
      </c>
      <c r="M136" s="37"/>
      <c r="N136" s="39" t="n">
        <v>32566</v>
      </c>
      <c r="O136" s="41" t="s">
        <v>23</v>
      </c>
      <c r="P136" s="41" t="s">
        <v>105</v>
      </c>
      <c r="Q136" s="42"/>
      <c r="R136" s="41"/>
      <c r="S136" s="42"/>
      <c r="T136" s="41"/>
    </row>
    <row r="137" customFormat="false" ht="13.5" hidden="false" customHeight="true" outlineLevel="0" collapsed="false">
      <c r="A137" s="37" t="n">
        <v>134</v>
      </c>
      <c r="B137" s="37" t="n">
        <v>987</v>
      </c>
      <c r="C137" s="38" t="s">
        <v>710</v>
      </c>
      <c r="D137" s="37" t="s">
        <v>100</v>
      </c>
      <c r="E137" s="39" t="n">
        <v>20738</v>
      </c>
      <c r="F137" s="37" t="n">
        <f aca="true">IFERROR(DATEDIF(E137,TODAY(),"Y"),"")</f>
        <v>69</v>
      </c>
      <c r="G137" s="40" t="s">
        <v>711</v>
      </c>
      <c r="H137" s="40" t="s">
        <v>712</v>
      </c>
      <c r="I137" s="38" t="s">
        <v>713</v>
      </c>
      <c r="J137" s="38" t="s">
        <v>18</v>
      </c>
      <c r="K137" s="38" t="s">
        <v>714</v>
      </c>
      <c r="L137" s="38" t="s">
        <v>48</v>
      </c>
      <c r="M137" s="37" t="s">
        <v>120</v>
      </c>
      <c r="N137" s="39" t="n">
        <v>32562</v>
      </c>
      <c r="O137" s="41" t="s">
        <v>23</v>
      </c>
      <c r="P137" s="41" t="s">
        <v>105</v>
      </c>
      <c r="Q137" s="42"/>
      <c r="R137" s="41"/>
      <c r="S137" s="42"/>
      <c r="T137" s="41"/>
    </row>
    <row r="138" customFormat="false" ht="13.5" hidden="false" customHeight="true" outlineLevel="0" collapsed="false">
      <c r="A138" s="37" t="n">
        <v>135</v>
      </c>
      <c r="B138" s="37" t="n">
        <v>988</v>
      </c>
      <c r="C138" s="38" t="s">
        <v>715</v>
      </c>
      <c r="D138" s="37" t="s">
        <v>100</v>
      </c>
      <c r="E138" s="39" t="n">
        <v>19423</v>
      </c>
      <c r="F138" s="37" t="n">
        <f aca="true">IFERROR(DATEDIF(E138,TODAY(),"Y"),"")</f>
        <v>73</v>
      </c>
      <c r="G138" s="40" t="s">
        <v>716</v>
      </c>
      <c r="H138" s="40" t="s">
        <v>717</v>
      </c>
      <c r="I138" s="38" t="s">
        <v>718</v>
      </c>
      <c r="J138" s="38" t="s">
        <v>24</v>
      </c>
      <c r="K138" s="38" t="s">
        <v>719</v>
      </c>
      <c r="L138" s="38" t="s">
        <v>54</v>
      </c>
      <c r="M138" s="37" t="s">
        <v>120</v>
      </c>
      <c r="N138" s="39" t="n">
        <v>32554</v>
      </c>
      <c r="O138" s="41" t="s">
        <v>23</v>
      </c>
      <c r="P138" s="41" t="s">
        <v>105</v>
      </c>
      <c r="Q138" s="42"/>
      <c r="R138" s="41"/>
      <c r="S138" s="42"/>
      <c r="T138" s="41"/>
    </row>
    <row r="139" customFormat="false" ht="13.5" hidden="false" customHeight="true" outlineLevel="0" collapsed="false">
      <c r="A139" s="37" t="n">
        <v>136</v>
      </c>
      <c r="B139" s="37" t="n">
        <v>996</v>
      </c>
      <c r="C139" s="38" t="s">
        <v>720</v>
      </c>
      <c r="D139" s="37" t="s">
        <v>100</v>
      </c>
      <c r="E139" s="39" t="n">
        <v>21711</v>
      </c>
      <c r="F139" s="37" t="n">
        <f aca="true">IFERROR(DATEDIF(E139,TODAY(),"Y"),"")</f>
        <v>67</v>
      </c>
      <c r="G139" s="40" t="s">
        <v>721</v>
      </c>
      <c r="H139" s="40"/>
      <c r="I139" s="38"/>
      <c r="J139" s="38" t="s">
        <v>15</v>
      </c>
      <c r="K139" s="38" t="s">
        <v>722</v>
      </c>
      <c r="L139" s="38" t="s">
        <v>55</v>
      </c>
      <c r="M139" s="37" t="s">
        <v>120</v>
      </c>
      <c r="N139" s="39" t="n">
        <v>31384</v>
      </c>
      <c r="O139" s="41" t="s">
        <v>23</v>
      </c>
      <c r="P139" s="41" t="s">
        <v>105</v>
      </c>
      <c r="Q139" s="42"/>
      <c r="R139" s="41"/>
      <c r="S139" s="42"/>
      <c r="T139" s="41"/>
    </row>
    <row r="140" customFormat="false" ht="13.5" hidden="false" customHeight="true" outlineLevel="0" collapsed="false">
      <c r="A140" s="37" t="n">
        <v>137</v>
      </c>
      <c r="B140" s="37" t="n">
        <v>1002</v>
      </c>
      <c r="C140" s="38" t="s">
        <v>723</v>
      </c>
      <c r="D140" s="37" t="s">
        <v>100</v>
      </c>
      <c r="E140" s="39" t="n">
        <v>24620</v>
      </c>
      <c r="F140" s="37" t="n">
        <f aca="true">IFERROR(DATEDIF(E140,TODAY(),"Y"),"")</f>
        <v>59</v>
      </c>
      <c r="G140" s="40" t="s">
        <v>724</v>
      </c>
      <c r="H140" s="40"/>
      <c r="I140" s="38"/>
      <c r="J140" s="38" t="s">
        <v>15</v>
      </c>
      <c r="K140" s="38" t="s">
        <v>725</v>
      </c>
      <c r="L140" s="38" t="s">
        <v>47</v>
      </c>
      <c r="M140" s="37"/>
      <c r="N140" s="39" t="n">
        <v>32565</v>
      </c>
      <c r="O140" s="41" t="s">
        <v>23</v>
      </c>
      <c r="P140" s="41" t="s">
        <v>105</v>
      </c>
      <c r="Q140" s="42"/>
      <c r="R140" s="41"/>
      <c r="S140" s="42"/>
      <c r="T140" s="41"/>
    </row>
    <row r="141" customFormat="false" ht="13.5" hidden="false" customHeight="true" outlineLevel="0" collapsed="false">
      <c r="A141" s="37" t="n">
        <v>138</v>
      </c>
      <c r="B141" s="37" t="n">
        <v>1019</v>
      </c>
      <c r="C141" s="38" t="s">
        <v>726</v>
      </c>
      <c r="D141" s="37" t="s">
        <v>100</v>
      </c>
      <c r="E141" s="39" t="n">
        <v>22112</v>
      </c>
      <c r="F141" s="37" t="n">
        <f aca="true">IFERROR(DATEDIF(E141,TODAY(),"Y"),"")</f>
        <v>66</v>
      </c>
      <c r="G141" s="40" t="s">
        <v>727</v>
      </c>
      <c r="H141" s="40" t="s">
        <v>728</v>
      </c>
      <c r="I141" s="38" t="s">
        <v>729</v>
      </c>
      <c r="J141" s="38" t="s">
        <v>15</v>
      </c>
      <c r="K141" s="38" t="s">
        <v>730</v>
      </c>
      <c r="L141" s="43" t="s">
        <v>58</v>
      </c>
      <c r="M141" s="37" t="s">
        <v>731</v>
      </c>
      <c r="N141" s="39" t="n">
        <v>32557</v>
      </c>
      <c r="O141" s="41" t="s">
        <v>23</v>
      </c>
      <c r="P141" s="41" t="s">
        <v>105</v>
      </c>
      <c r="Q141" s="42"/>
      <c r="R141" s="41"/>
      <c r="S141" s="42"/>
      <c r="T141" s="41"/>
    </row>
    <row r="142" customFormat="false" ht="13.5" hidden="false" customHeight="true" outlineLevel="0" collapsed="false">
      <c r="A142" s="37" t="n">
        <v>139</v>
      </c>
      <c r="B142" s="37" t="n">
        <v>1034</v>
      </c>
      <c r="C142" s="38" t="s">
        <v>732</v>
      </c>
      <c r="D142" s="37" t="s">
        <v>100</v>
      </c>
      <c r="E142" s="39" t="n">
        <v>18159</v>
      </c>
      <c r="F142" s="37" t="n">
        <f aca="true">IFERROR(DATEDIF(E142,TODAY(),"Y"),"")</f>
        <v>76</v>
      </c>
      <c r="G142" s="40" t="s">
        <v>733</v>
      </c>
      <c r="H142" s="40"/>
      <c r="I142" s="38" t="s">
        <v>734</v>
      </c>
      <c r="J142" s="38" t="s">
        <v>15</v>
      </c>
      <c r="K142" s="38" t="s">
        <v>735</v>
      </c>
      <c r="L142" s="38" t="s">
        <v>49</v>
      </c>
      <c r="M142" s="37" t="s">
        <v>177</v>
      </c>
      <c r="N142" s="39" t="n">
        <v>31365</v>
      </c>
      <c r="O142" s="41" t="s">
        <v>23</v>
      </c>
      <c r="P142" s="41" t="s">
        <v>105</v>
      </c>
      <c r="Q142" s="42"/>
      <c r="R142" s="41"/>
      <c r="S142" s="42"/>
      <c r="T142" s="41"/>
    </row>
    <row r="143" customFormat="false" ht="13.5" hidden="false" customHeight="true" outlineLevel="0" collapsed="false">
      <c r="A143" s="37" t="n">
        <v>140</v>
      </c>
      <c r="B143" s="37" t="n">
        <v>1035</v>
      </c>
      <c r="C143" s="38" t="s">
        <v>736</v>
      </c>
      <c r="D143" s="37" t="s">
        <v>100</v>
      </c>
      <c r="E143" s="39" t="n">
        <v>19679</v>
      </c>
      <c r="F143" s="37" t="n">
        <f aca="true">IFERROR(DATEDIF(E143,TODAY(),"Y"),"")</f>
        <v>72</v>
      </c>
      <c r="G143" s="40" t="s">
        <v>737</v>
      </c>
      <c r="H143" s="40"/>
      <c r="I143" s="38" t="s">
        <v>738</v>
      </c>
      <c r="J143" s="38" t="s">
        <v>15</v>
      </c>
      <c r="K143" s="38" t="s">
        <v>739</v>
      </c>
      <c r="L143" s="38" t="s">
        <v>49</v>
      </c>
      <c r="M143" s="37" t="s">
        <v>104</v>
      </c>
      <c r="N143" s="39" t="n">
        <v>32567</v>
      </c>
      <c r="O143" s="41" t="s">
        <v>23</v>
      </c>
      <c r="P143" s="41" t="s">
        <v>105</v>
      </c>
      <c r="Q143" s="42"/>
      <c r="R143" s="41"/>
      <c r="S143" s="42"/>
      <c r="T143" s="41"/>
    </row>
    <row r="144" customFormat="false" ht="13.5" hidden="false" customHeight="true" outlineLevel="0" collapsed="false">
      <c r="A144" s="37" t="n">
        <v>141</v>
      </c>
      <c r="B144" s="37" t="n">
        <v>1053</v>
      </c>
      <c r="C144" s="38" t="s">
        <v>740</v>
      </c>
      <c r="D144" s="37" t="s">
        <v>100</v>
      </c>
      <c r="E144" s="39" t="n">
        <v>18293</v>
      </c>
      <c r="F144" s="37" t="n">
        <f aca="true">IFERROR(DATEDIF(E144,TODAY(),"Y"),"")</f>
        <v>76</v>
      </c>
      <c r="G144" s="40" t="s">
        <v>741</v>
      </c>
      <c r="H144" s="40" t="s">
        <v>742</v>
      </c>
      <c r="I144" s="38" t="s">
        <v>743</v>
      </c>
      <c r="J144" s="38" t="s">
        <v>16</v>
      </c>
      <c r="K144" s="38" t="s">
        <v>744</v>
      </c>
      <c r="L144" s="43" t="s">
        <v>58</v>
      </c>
      <c r="M144" s="37" t="s">
        <v>745</v>
      </c>
      <c r="N144" s="39" t="n">
        <v>30704</v>
      </c>
      <c r="O144" s="41" t="s">
        <v>23</v>
      </c>
      <c r="P144" s="41" t="s">
        <v>105</v>
      </c>
      <c r="Q144" s="42"/>
      <c r="R144" s="41"/>
      <c r="S144" s="42"/>
      <c r="T144" s="41"/>
    </row>
    <row r="145" customFormat="false" ht="13.5" hidden="false" customHeight="true" outlineLevel="0" collapsed="false">
      <c r="A145" s="37" t="n">
        <v>142</v>
      </c>
      <c r="B145" s="37" t="n">
        <v>1056</v>
      </c>
      <c r="C145" s="38" t="s">
        <v>746</v>
      </c>
      <c r="D145" s="37" t="s">
        <v>100</v>
      </c>
      <c r="E145" s="39" t="n">
        <v>22474</v>
      </c>
      <c r="F145" s="37" t="n">
        <f aca="true">IFERROR(DATEDIF(E145,TODAY(),"Y"),"")</f>
        <v>65</v>
      </c>
      <c r="G145" s="40" t="s">
        <v>747</v>
      </c>
      <c r="H145" s="40" t="s">
        <v>748</v>
      </c>
      <c r="I145" s="38" t="s">
        <v>749</v>
      </c>
      <c r="J145" s="38" t="s">
        <v>15</v>
      </c>
      <c r="K145" s="38" t="s">
        <v>750</v>
      </c>
      <c r="L145" s="38" t="s">
        <v>57</v>
      </c>
      <c r="M145" s="37" t="s">
        <v>120</v>
      </c>
      <c r="N145" s="39" t="n">
        <v>32557</v>
      </c>
      <c r="O145" s="41" t="s">
        <v>23</v>
      </c>
      <c r="P145" s="41" t="s">
        <v>105</v>
      </c>
      <c r="Q145" s="42"/>
      <c r="R145" s="41"/>
      <c r="S145" s="42"/>
      <c r="T145" s="41"/>
    </row>
    <row r="146" customFormat="false" ht="13.5" hidden="false" customHeight="true" outlineLevel="0" collapsed="false">
      <c r="A146" s="37" t="n">
        <v>143</v>
      </c>
      <c r="B146" s="37" t="n">
        <v>1065</v>
      </c>
      <c r="C146" s="38" t="s">
        <v>751</v>
      </c>
      <c r="D146" s="37" t="s">
        <v>100</v>
      </c>
      <c r="E146" s="39" t="n">
        <v>20048</v>
      </c>
      <c r="F146" s="37" t="n">
        <f aca="true">IFERROR(DATEDIF(E146,TODAY(),"Y"),"")</f>
        <v>71</v>
      </c>
      <c r="G146" s="40" t="s">
        <v>752</v>
      </c>
      <c r="H146" s="40"/>
      <c r="I146" s="38" t="s">
        <v>753</v>
      </c>
      <c r="J146" s="38" t="s">
        <v>16</v>
      </c>
      <c r="K146" s="38" t="s">
        <v>754</v>
      </c>
      <c r="L146" s="38" t="s">
        <v>54</v>
      </c>
      <c r="M146" s="37"/>
      <c r="N146" s="39" t="n">
        <v>32558</v>
      </c>
      <c r="O146" s="41" t="s">
        <v>23</v>
      </c>
      <c r="P146" s="41" t="s">
        <v>105</v>
      </c>
      <c r="Q146" s="42"/>
      <c r="R146" s="41"/>
      <c r="S146" s="42"/>
      <c r="T146" s="41"/>
    </row>
    <row r="147" customFormat="false" ht="13.5" hidden="false" customHeight="true" outlineLevel="0" collapsed="false">
      <c r="A147" s="37" t="n">
        <v>144</v>
      </c>
      <c r="B147" s="37" t="n">
        <v>1077</v>
      </c>
      <c r="C147" s="38" t="s">
        <v>755</v>
      </c>
      <c r="D147" s="37" t="s">
        <v>100</v>
      </c>
      <c r="E147" s="39" t="n">
        <v>23821</v>
      </c>
      <c r="F147" s="37" t="n">
        <f aca="true">IFERROR(DATEDIF(E147,TODAY(),"Y"),"")</f>
        <v>61</v>
      </c>
      <c r="G147" s="40" t="s">
        <v>756</v>
      </c>
      <c r="H147" s="40" t="s">
        <v>757</v>
      </c>
      <c r="I147" s="38" t="s">
        <v>758</v>
      </c>
      <c r="J147" s="38" t="s">
        <v>15</v>
      </c>
      <c r="K147" s="38" t="s">
        <v>759</v>
      </c>
      <c r="L147" s="38" t="s">
        <v>54</v>
      </c>
      <c r="M147" s="37"/>
      <c r="N147" s="39" t="n">
        <v>32552</v>
      </c>
      <c r="O147" s="41" t="s">
        <v>23</v>
      </c>
      <c r="P147" s="41" t="s">
        <v>105</v>
      </c>
      <c r="Q147" s="42"/>
      <c r="R147" s="41"/>
      <c r="S147" s="42"/>
      <c r="T147" s="41"/>
    </row>
    <row r="148" customFormat="false" ht="13.5" hidden="false" customHeight="true" outlineLevel="0" collapsed="false">
      <c r="A148" s="37" t="n">
        <v>145</v>
      </c>
      <c r="B148" s="37" t="n">
        <v>1079</v>
      </c>
      <c r="C148" s="38" t="s">
        <v>760</v>
      </c>
      <c r="D148" s="37" t="s">
        <v>100</v>
      </c>
      <c r="E148" s="39" t="n">
        <v>23504</v>
      </c>
      <c r="F148" s="37" t="n">
        <f aca="true">IFERROR(DATEDIF(E148,TODAY(),"Y"),"")</f>
        <v>62</v>
      </c>
      <c r="G148" s="40" t="s">
        <v>761</v>
      </c>
      <c r="H148" s="40" t="s">
        <v>762</v>
      </c>
      <c r="I148" s="38" t="s">
        <v>763</v>
      </c>
      <c r="J148" s="38" t="s">
        <v>15</v>
      </c>
      <c r="K148" s="38" t="s">
        <v>764</v>
      </c>
      <c r="L148" s="38" t="s">
        <v>47</v>
      </c>
      <c r="M148" s="37" t="s">
        <v>104</v>
      </c>
      <c r="N148" s="39" t="n">
        <v>32555</v>
      </c>
      <c r="O148" s="41" t="s">
        <v>23</v>
      </c>
      <c r="P148" s="41" t="s">
        <v>105</v>
      </c>
      <c r="Q148" s="42"/>
      <c r="R148" s="41"/>
      <c r="S148" s="42"/>
      <c r="T148" s="41"/>
    </row>
    <row r="149" customFormat="false" ht="13.5" hidden="false" customHeight="true" outlineLevel="0" collapsed="false">
      <c r="A149" s="37" t="n">
        <v>146</v>
      </c>
      <c r="B149" s="37" t="n">
        <v>1080</v>
      </c>
      <c r="C149" s="38" t="s">
        <v>765</v>
      </c>
      <c r="D149" s="37" t="s">
        <v>100</v>
      </c>
      <c r="E149" s="39" t="n">
        <v>24748</v>
      </c>
      <c r="F149" s="37" t="n">
        <f aca="true">IFERROR(DATEDIF(E149,TODAY(),"Y"),"")</f>
        <v>58</v>
      </c>
      <c r="G149" s="40" t="s">
        <v>766</v>
      </c>
      <c r="H149" s="40" t="s">
        <v>767</v>
      </c>
      <c r="I149" s="38"/>
      <c r="J149" s="38" t="s">
        <v>25</v>
      </c>
      <c r="K149" s="38" t="s">
        <v>768</v>
      </c>
      <c r="L149" s="38" t="s">
        <v>47</v>
      </c>
      <c r="M149" s="37"/>
      <c r="N149" s="39" t="n">
        <v>32559</v>
      </c>
      <c r="O149" s="41" t="s">
        <v>23</v>
      </c>
      <c r="P149" s="41" t="s">
        <v>105</v>
      </c>
      <c r="Q149" s="42"/>
      <c r="R149" s="41"/>
      <c r="S149" s="42"/>
      <c r="T149" s="41"/>
    </row>
    <row r="150" customFormat="false" ht="13.5" hidden="false" customHeight="true" outlineLevel="0" collapsed="false">
      <c r="A150" s="37" t="n">
        <v>147</v>
      </c>
      <c r="B150" s="37" t="n">
        <v>1086</v>
      </c>
      <c r="C150" s="38" t="s">
        <v>769</v>
      </c>
      <c r="D150" s="37" t="s">
        <v>100</v>
      </c>
      <c r="E150" s="39" t="n">
        <v>23935</v>
      </c>
      <c r="F150" s="37" t="n">
        <f aca="true">IFERROR(DATEDIF(E150,TODAY(),"Y"),"")</f>
        <v>61</v>
      </c>
      <c r="G150" s="40" t="s">
        <v>770</v>
      </c>
      <c r="H150" s="40" t="s">
        <v>771</v>
      </c>
      <c r="I150" s="38" t="s">
        <v>772</v>
      </c>
      <c r="J150" s="38" t="s">
        <v>15</v>
      </c>
      <c r="K150" s="38" t="s">
        <v>773</v>
      </c>
      <c r="L150" s="38" t="s">
        <v>55</v>
      </c>
      <c r="M150" s="37" t="s">
        <v>104</v>
      </c>
      <c r="N150" s="39" t="n">
        <v>32553</v>
      </c>
      <c r="O150" s="41" t="s">
        <v>23</v>
      </c>
      <c r="P150" s="41" t="s">
        <v>105</v>
      </c>
      <c r="Q150" s="42"/>
      <c r="R150" s="41"/>
      <c r="S150" s="42"/>
      <c r="T150" s="41"/>
    </row>
    <row r="151" customFormat="false" ht="13.5" hidden="false" customHeight="true" outlineLevel="0" collapsed="false">
      <c r="A151" s="37" t="n">
        <v>148</v>
      </c>
      <c r="B151" s="37" t="n">
        <v>1088</v>
      </c>
      <c r="C151" s="38" t="s">
        <v>774</v>
      </c>
      <c r="D151" s="37" t="s">
        <v>100</v>
      </c>
      <c r="E151" s="39" t="n">
        <v>22651</v>
      </c>
      <c r="F151" s="37" t="n">
        <f aca="true">IFERROR(DATEDIF(E151,TODAY(),"Y"),"")</f>
        <v>64</v>
      </c>
      <c r="G151" s="40" t="s">
        <v>775</v>
      </c>
      <c r="H151" s="40" t="s">
        <v>776</v>
      </c>
      <c r="I151" s="38" t="s">
        <v>777</v>
      </c>
      <c r="J151" s="38" t="s">
        <v>15</v>
      </c>
      <c r="K151" s="38" t="s">
        <v>778</v>
      </c>
      <c r="L151" s="38" t="s">
        <v>47</v>
      </c>
      <c r="M151" s="37"/>
      <c r="N151" s="39" t="n">
        <v>31344</v>
      </c>
      <c r="O151" s="41" t="s">
        <v>23</v>
      </c>
      <c r="P151" s="41" t="s">
        <v>105</v>
      </c>
      <c r="Q151" s="42"/>
      <c r="R151" s="41"/>
      <c r="S151" s="42"/>
      <c r="T151" s="41"/>
    </row>
    <row r="152" customFormat="false" ht="13.5" hidden="false" customHeight="true" outlineLevel="0" collapsed="false">
      <c r="A152" s="37" t="n">
        <v>149</v>
      </c>
      <c r="B152" s="37" t="n">
        <v>1096</v>
      </c>
      <c r="C152" s="38" t="s">
        <v>779</v>
      </c>
      <c r="D152" s="37" t="s">
        <v>100</v>
      </c>
      <c r="E152" s="39" t="n">
        <v>22797</v>
      </c>
      <c r="F152" s="37" t="n">
        <f aca="true">IFERROR(DATEDIF(E152,TODAY(),"Y"),"")</f>
        <v>64</v>
      </c>
      <c r="G152" s="40" t="s">
        <v>780</v>
      </c>
      <c r="H152" s="40"/>
      <c r="I152" s="38" t="s">
        <v>781</v>
      </c>
      <c r="J152" s="38" t="s">
        <v>15</v>
      </c>
      <c r="K152" s="38" t="s">
        <v>782</v>
      </c>
      <c r="L152" s="38" t="s">
        <v>54</v>
      </c>
      <c r="M152" s="37" t="s">
        <v>104</v>
      </c>
      <c r="N152" s="39" t="n">
        <v>32557</v>
      </c>
      <c r="O152" s="41" t="s">
        <v>23</v>
      </c>
      <c r="P152" s="41" t="s">
        <v>105</v>
      </c>
      <c r="Q152" s="42"/>
      <c r="R152" s="41"/>
      <c r="S152" s="42"/>
      <c r="T152" s="41"/>
    </row>
    <row r="153" customFormat="false" ht="13.5" hidden="false" customHeight="true" outlineLevel="0" collapsed="false">
      <c r="A153" s="37" t="n">
        <v>150</v>
      </c>
      <c r="B153" s="37" t="n">
        <v>1108</v>
      </c>
      <c r="C153" s="38" t="s">
        <v>783</v>
      </c>
      <c r="D153" s="37" t="s">
        <v>100</v>
      </c>
      <c r="E153" s="39" t="n">
        <v>20496</v>
      </c>
      <c r="F153" s="37" t="n">
        <f aca="true">IFERROR(DATEDIF(E153,TODAY(),"Y"),"")</f>
        <v>70</v>
      </c>
      <c r="G153" s="40" t="s">
        <v>784</v>
      </c>
      <c r="H153" s="40" t="s">
        <v>785</v>
      </c>
      <c r="I153" s="38" t="s">
        <v>786</v>
      </c>
      <c r="J153" s="38" t="s">
        <v>16</v>
      </c>
      <c r="K153" s="38" t="s">
        <v>787</v>
      </c>
      <c r="L153" s="38" t="s">
        <v>55</v>
      </c>
      <c r="M153" s="37" t="s">
        <v>788</v>
      </c>
      <c r="N153" s="39" t="n">
        <v>32554</v>
      </c>
      <c r="O153" s="41" t="s">
        <v>23</v>
      </c>
      <c r="P153" s="41" t="s">
        <v>105</v>
      </c>
      <c r="Q153" s="42"/>
      <c r="R153" s="41"/>
      <c r="S153" s="42"/>
      <c r="T153" s="41"/>
    </row>
    <row r="154" customFormat="false" ht="13.5" hidden="false" customHeight="true" outlineLevel="0" collapsed="false">
      <c r="A154" s="37" t="n">
        <v>151</v>
      </c>
      <c r="B154" s="37" t="n">
        <v>1113</v>
      </c>
      <c r="C154" s="38" t="s">
        <v>789</v>
      </c>
      <c r="D154" s="37" t="s">
        <v>100</v>
      </c>
      <c r="E154" s="39" t="n">
        <v>18151</v>
      </c>
      <c r="F154" s="37" t="n">
        <f aca="true">IFERROR(DATEDIF(E154,TODAY(),"Y"),"")</f>
        <v>76</v>
      </c>
      <c r="G154" s="40" t="s">
        <v>790</v>
      </c>
      <c r="H154" s="40"/>
      <c r="I154" s="38" t="s">
        <v>791</v>
      </c>
      <c r="J154" s="38" t="s">
        <v>15</v>
      </c>
      <c r="K154" s="38" t="s">
        <v>792</v>
      </c>
      <c r="L154" s="38" t="s">
        <v>55</v>
      </c>
      <c r="M154" s="37"/>
      <c r="N154" s="39" t="n">
        <v>30710</v>
      </c>
      <c r="O154" s="41" t="s">
        <v>23</v>
      </c>
      <c r="P154" s="41" t="s">
        <v>105</v>
      </c>
      <c r="Q154" s="42"/>
      <c r="R154" s="41"/>
      <c r="S154" s="42"/>
      <c r="T154" s="41"/>
    </row>
    <row r="155" customFormat="false" ht="13.5" hidden="false" customHeight="true" outlineLevel="0" collapsed="false">
      <c r="A155" s="37" t="n">
        <v>152</v>
      </c>
      <c r="B155" s="37" t="n">
        <v>1114</v>
      </c>
      <c r="C155" s="38" t="s">
        <v>793</v>
      </c>
      <c r="D155" s="37" t="s">
        <v>100</v>
      </c>
      <c r="E155" s="39" t="n">
        <v>21959</v>
      </c>
      <c r="F155" s="37" t="n">
        <f aca="true">IFERROR(DATEDIF(E155,TODAY(),"Y"),"")</f>
        <v>66</v>
      </c>
      <c r="G155" s="40" t="s">
        <v>794</v>
      </c>
      <c r="H155" s="40" t="s">
        <v>795</v>
      </c>
      <c r="I155" s="38" t="s">
        <v>796</v>
      </c>
      <c r="J155" s="38" t="s">
        <v>15</v>
      </c>
      <c r="K155" s="38" t="s">
        <v>797</v>
      </c>
      <c r="L155" s="38" t="s">
        <v>47</v>
      </c>
      <c r="M155" s="37"/>
      <c r="N155" s="39" t="n">
        <v>32551</v>
      </c>
      <c r="O155" s="41" t="s">
        <v>23</v>
      </c>
      <c r="P155" s="41" t="s">
        <v>105</v>
      </c>
      <c r="Q155" s="42"/>
      <c r="R155" s="41"/>
      <c r="S155" s="42"/>
      <c r="T155" s="41"/>
    </row>
    <row r="156" customFormat="false" ht="13.5" hidden="false" customHeight="true" outlineLevel="0" collapsed="false">
      <c r="A156" s="37" t="n">
        <v>153</v>
      </c>
      <c r="B156" s="37" t="n">
        <v>1128</v>
      </c>
      <c r="C156" s="38" t="s">
        <v>798</v>
      </c>
      <c r="D156" s="37" t="s">
        <v>100</v>
      </c>
      <c r="E156" s="39" t="n">
        <v>23151</v>
      </c>
      <c r="F156" s="37" t="n">
        <f aca="true">IFERROR(DATEDIF(E156,TODAY(),"Y"),"")</f>
        <v>63</v>
      </c>
      <c r="G156" s="40" t="s">
        <v>799</v>
      </c>
      <c r="H156" s="40" t="s">
        <v>800</v>
      </c>
      <c r="I156" s="38" t="s">
        <v>801</v>
      </c>
      <c r="J156" s="38" t="s">
        <v>15</v>
      </c>
      <c r="K156" s="38" t="s">
        <v>802</v>
      </c>
      <c r="L156" s="43" t="s">
        <v>58</v>
      </c>
      <c r="M156" s="37"/>
      <c r="N156" s="39" t="n">
        <v>29221</v>
      </c>
      <c r="O156" s="41" t="s">
        <v>23</v>
      </c>
      <c r="P156" s="41" t="s">
        <v>105</v>
      </c>
      <c r="Q156" s="42"/>
      <c r="R156" s="41"/>
      <c r="S156" s="42"/>
      <c r="T156" s="41"/>
    </row>
    <row r="157" customFormat="false" ht="13.5" hidden="false" customHeight="true" outlineLevel="0" collapsed="false">
      <c r="A157" s="37" t="n">
        <v>154</v>
      </c>
      <c r="B157" s="37" t="n">
        <v>1135</v>
      </c>
      <c r="C157" s="38" t="s">
        <v>803</v>
      </c>
      <c r="D157" s="37" t="s">
        <v>100</v>
      </c>
      <c r="E157" s="39" t="n">
        <v>23118</v>
      </c>
      <c r="F157" s="37" t="n">
        <f aca="true">IFERROR(DATEDIF(E157,TODAY(),"Y"),"")</f>
        <v>63</v>
      </c>
      <c r="G157" s="40" t="s">
        <v>804</v>
      </c>
      <c r="H157" s="40" t="s">
        <v>805</v>
      </c>
      <c r="I157" s="38" t="s">
        <v>806</v>
      </c>
      <c r="J157" s="38" t="s">
        <v>15</v>
      </c>
      <c r="K157" s="38" t="s">
        <v>807</v>
      </c>
      <c r="L157" s="38" t="s">
        <v>47</v>
      </c>
      <c r="M157" s="37"/>
      <c r="N157" s="39" t="n">
        <v>31381</v>
      </c>
      <c r="O157" s="41" t="s">
        <v>23</v>
      </c>
      <c r="P157" s="41" t="s">
        <v>105</v>
      </c>
      <c r="Q157" s="42"/>
      <c r="R157" s="41"/>
      <c r="S157" s="42"/>
      <c r="T157" s="41"/>
    </row>
    <row r="158" customFormat="false" ht="13.5" hidden="false" customHeight="true" outlineLevel="0" collapsed="false">
      <c r="A158" s="37" t="n">
        <v>155</v>
      </c>
      <c r="B158" s="37" t="n">
        <v>1136</v>
      </c>
      <c r="C158" s="38" t="s">
        <v>808</v>
      </c>
      <c r="D158" s="37" t="s">
        <v>100</v>
      </c>
      <c r="E158" s="39" t="n">
        <v>24508</v>
      </c>
      <c r="F158" s="37" t="n">
        <f aca="true">IFERROR(DATEDIF(E158,TODAY(),"Y"),"")</f>
        <v>59</v>
      </c>
      <c r="G158" s="40" t="s">
        <v>809</v>
      </c>
      <c r="H158" s="40" t="s">
        <v>810</v>
      </c>
      <c r="I158" s="38" t="s">
        <v>811</v>
      </c>
      <c r="J158" s="38" t="s">
        <v>15</v>
      </c>
      <c r="K158" s="38" t="s">
        <v>812</v>
      </c>
      <c r="L158" s="38" t="s">
        <v>47</v>
      </c>
      <c r="M158" s="37"/>
      <c r="N158" s="39" t="n">
        <v>32560</v>
      </c>
      <c r="O158" s="41" t="s">
        <v>23</v>
      </c>
      <c r="P158" s="41" t="s">
        <v>105</v>
      </c>
      <c r="Q158" s="42"/>
      <c r="R158" s="41"/>
      <c r="S158" s="42"/>
      <c r="T158" s="41"/>
    </row>
    <row r="159" customFormat="false" ht="13.5" hidden="false" customHeight="true" outlineLevel="0" collapsed="false">
      <c r="A159" s="37" t="n">
        <v>156</v>
      </c>
      <c r="B159" s="37" t="n">
        <v>1138</v>
      </c>
      <c r="C159" s="38" t="s">
        <v>813</v>
      </c>
      <c r="D159" s="37" t="s">
        <v>100</v>
      </c>
      <c r="E159" s="39" t="n">
        <v>19694</v>
      </c>
      <c r="F159" s="37" t="n">
        <f aca="true">IFERROR(DATEDIF(E159,TODAY(),"Y"),"")</f>
        <v>72</v>
      </c>
      <c r="G159" s="40" t="s">
        <v>814</v>
      </c>
      <c r="H159" s="40"/>
      <c r="I159" s="38" t="s">
        <v>815</v>
      </c>
      <c r="J159" s="38" t="s">
        <v>16</v>
      </c>
      <c r="K159" s="38" t="s">
        <v>816</v>
      </c>
      <c r="L159" s="43" t="s">
        <v>58</v>
      </c>
      <c r="M159" s="37"/>
      <c r="N159" s="39" t="n">
        <v>29221</v>
      </c>
      <c r="O159" s="41" t="s">
        <v>23</v>
      </c>
      <c r="P159" s="41" t="s">
        <v>105</v>
      </c>
      <c r="Q159" s="42"/>
      <c r="R159" s="41"/>
      <c r="S159" s="42"/>
      <c r="T159" s="41"/>
    </row>
    <row r="160" customFormat="false" ht="13.5" hidden="false" customHeight="true" outlineLevel="0" collapsed="false">
      <c r="A160" s="37" t="n">
        <v>157</v>
      </c>
      <c r="B160" s="37" t="n">
        <v>1141</v>
      </c>
      <c r="C160" s="38" t="s">
        <v>817</v>
      </c>
      <c r="D160" s="37" t="s">
        <v>100</v>
      </c>
      <c r="E160" s="39" t="n">
        <v>22009</v>
      </c>
      <c r="F160" s="37" t="n">
        <f aca="true">IFERROR(DATEDIF(E160,TODAY(),"Y"),"")</f>
        <v>66</v>
      </c>
      <c r="G160" s="40" t="s">
        <v>818</v>
      </c>
      <c r="H160" s="40"/>
      <c r="I160" s="38"/>
      <c r="J160" s="38" t="s">
        <v>15</v>
      </c>
      <c r="K160" s="38" t="s">
        <v>819</v>
      </c>
      <c r="L160" s="38" t="s">
        <v>47</v>
      </c>
      <c r="M160" s="37"/>
      <c r="N160" s="39" t="n">
        <v>29221</v>
      </c>
      <c r="O160" s="41" t="s">
        <v>23</v>
      </c>
      <c r="P160" s="41" t="s">
        <v>105</v>
      </c>
      <c r="Q160" s="42"/>
      <c r="R160" s="41"/>
      <c r="S160" s="42"/>
      <c r="T160" s="41"/>
    </row>
    <row r="161" customFormat="false" ht="13.5" hidden="false" customHeight="true" outlineLevel="0" collapsed="false">
      <c r="A161" s="37" t="n">
        <v>158</v>
      </c>
      <c r="B161" s="37" t="n">
        <v>1145</v>
      </c>
      <c r="C161" s="38" t="s">
        <v>820</v>
      </c>
      <c r="D161" s="37" t="s">
        <v>100</v>
      </c>
      <c r="E161" s="39" t="n">
        <v>23472</v>
      </c>
      <c r="F161" s="37" t="n">
        <f aca="true">IFERROR(DATEDIF(E161,TODAY(),"Y"),"")</f>
        <v>62</v>
      </c>
      <c r="G161" s="40" t="s">
        <v>821</v>
      </c>
      <c r="H161" s="40"/>
      <c r="I161" s="38"/>
      <c r="J161" s="38" t="s">
        <v>15</v>
      </c>
      <c r="K161" s="38" t="s">
        <v>822</v>
      </c>
      <c r="L161" s="38" t="s">
        <v>47</v>
      </c>
      <c r="M161" s="37"/>
      <c r="N161" s="39" t="n">
        <v>32565</v>
      </c>
      <c r="O161" s="41" t="s">
        <v>23</v>
      </c>
      <c r="P161" s="41" t="s">
        <v>105</v>
      </c>
      <c r="Q161" s="42"/>
      <c r="R161" s="41"/>
      <c r="S161" s="42"/>
      <c r="T161" s="41"/>
    </row>
    <row r="162" customFormat="false" ht="13.5" hidden="false" customHeight="true" outlineLevel="0" collapsed="false">
      <c r="A162" s="37" t="n">
        <v>159</v>
      </c>
      <c r="B162" s="37" t="n">
        <v>1147</v>
      </c>
      <c r="C162" s="38" t="s">
        <v>823</v>
      </c>
      <c r="D162" s="37" t="s">
        <v>100</v>
      </c>
      <c r="E162" s="39" t="n">
        <v>24604</v>
      </c>
      <c r="F162" s="37" t="n">
        <f aca="true">IFERROR(DATEDIF(E162,TODAY(),"Y"),"")</f>
        <v>59</v>
      </c>
      <c r="G162" s="40" t="s">
        <v>824</v>
      </c>
      <c r="H162" s="40" t="s">
        <v>825</v>
      </c>
      <c r="I162" s="38"/>
      <c r="J162" s="38" t="s">
        <v>15</v>
      </c>
      <c r="K162" s="38" t="s">
        <v>826</v>
      </c>
      <c r="L162" s="38" t="s">
        <v>47</v>
      </c>
      <c r="M162" s="37" t="s">
        <v>104</v>
      </c>
      <c r="N162" s="39" t="n">
        <v>32559</v>
      </c>
      <c r="O162" s="41" t="s">
        <v>23</v>
      </c>
      <c r="P162" s="41" t="s">
        <v>105</v>
      </c>
      <c r="Q162" s="42"/>
      <c r="R162" s="41"/>
      <c r="S162" s="42"/>
      <c r="T162" s="41"/>
    </row>
    <row r="163" customFormat="false" ht="13.5" hidden="false" customHeight="true" outlineLevel="0" collapsed="false">
      <c r="A163" s="37" t="n">
        <v>160</v>
      </c>
      <c r="B163" s="37" t="n">
        <v>1150</v>
      </c>
      <c r="C163" s="38" t="s">
        <v>827</v>
      </c>
      <c r="D163" s="37" t="s">
        <v>100</v>
      </c>
      <c r="E163" s="39" t="n">
        <v>20925</v>
      </c>
      <c r="F163" s="37" t="n">
        <f aca="true">IFERROR(DATEDIF(E163,TODAY(),"Y"),"")</f>
        <v>69</v>
      </c>
      <c r="G163" s="40" t="s">
        <v>828</v>
      </c>
      <c r="H163" s="40" t="s">
        <v>829</v>
      </c>
      <c r="I163" s="38" t="s">
        <v>830</v>
      </c>
      <c r="J163" s="38"/>
      <c r="K163" s="38" t="s">
        <v>831</v>
      </c>
      <c r="L163" s="38" t="s">
        <v>44</v>
      </c>
      <c r="M163" s="37" t="s">
        <v>120</v>
      </c>
      <c r="N163" s="39" t="n">
        <v>30734</v>
      </c>
      <c r="O163" s="41" t="s">
        <v>23</v>
      </c>
      <c r="P163" s="41" t="s">
        <v>105</v>
      </c>
      <c r="Q163" s="42"/>
      <c r="R163" s="41"/>
      <c r="S163" s="42"/>
      <c r="T163" s="41"/>
    </row>
    <row r="164" customFormat="false" ht="13.5" hidden="false" customHeight="true" outlineLevel="0" collapsed="false">
      <c r="A164" s="37" t="n">
        <v>161</v>
      </c>
      <c r="B164" s="37" t="n">
        <v>1152</v>
      </c>
      <c r="C164" s="38" t="s">
        <v>832</v>
      </c>
      <c r="D164" s="37" t="s">
        <v>100</v>
      </c>
      <c r="E164" s="39" t="n">
        <v>24117</v>
      </c>
      <c r="F164" s="37" t="n">
        <f aca="true">IFERROR(DATEDIF(E164,TODAY(),"Y"),"")</f>
        <v>60</v>
      </c>
      <c r="G164" s="40" t="s">
        <v>833</v>
      </c>
      <c r="H164" s="40" t="s">
        <v>834</v>
      </c>
      <c r="I164" s="38" t="s">
        <v>835</v>
      </c>
      <c r="J164" s="38" t="s">
        <v>24</v>
      </c>
      <c r="K164" s="38" t="s">
        <v>836</v>
      </c>
      <c r="L164" s="38" t="s">
        <v>47</v>
      </c>
      <c r="M164" s="37" t="s">
        <v>120</v>
      </c>
      <c r="N164" s="39" t="n">
        <v>32567</v>
      </c>
      <c r="O164" s="41" t="s">
        <v>23</v>
      </c>
      <c r="P164" s="41" t="s">
        <v>105</v>
      </c>
      <c r="Q164" s="42"/>
      <c r="R164" s="41"/>
      <c r="S164" s="42"/>
      <c r="T164" s="41"/>
    </row>
    <row r="165" customFormat="false" ht="13.5" hidden="false" customHeight="true" outlineLevel="0" collapsed="false">
      <c r="A165" s="37" t="n">
        <v>162</v>
      </c>
      <c r="B165" s="37" t="n">
        <v>1159</v>
      </c>
      <c r="C165" s="38" t="s">
        <v>837</v>
      </c>
      <c r="D165" s="37" t="s">
        <v>100</v>
      </c>
      <c r="E165" s="39" t="n">
        <v>20652</v>
      </c>
      <c r="F165" s="37" t="n">
        <f aca="true">IFERROR(DATEDIF(E165,TODAY(),"Y"),"")</f>
        <v>70</v>
      </c>
      <c r="G165" s="40" t="s">
        <v>838</v>
      </c>
      <c r="H165" s="40" t="s">
        <v>839</v>
      </c>
      <c r="I165" s="38" t="s">
        <v>840</v>
      </c>
      <c r="J165" s="38" t="s">
        <v>15</v>
      </c>
      <c r="K165" s="38" t="s">
        <v>841</v>
      </c>
      <c r="L165" s="43" t="s">
        <v>58</v>
      </c>
      <c r="M165" s="37"/>
      <c r="N165" s="39" t="n">
        <v>30726</v>
      </c>
      <c r="O165" s="41" t="s">
        <v>23</v>
      </c>
      <c r="P165" s="41" t="s">
        <v>105</v>
      </c>
      <c r="Q165" s="42"/>
      <c r="R165" s="41"/>
      <c r="S165" s="42"/>
      <c r="T165" s="41"/>
    </row>
    <row r="166" customFormat="false" ht="13.5" hidden="false" customHeight="true" outlineLevel="0" collapsed="false">
      <c r="A166" s="37" t="n">
        <v>163</v>
      </c>
      <c r="B166" s="37" t="n">
        <v>1177</v>
      </c>
      <c r="C166" s="38" t="s">
        <v>842</v>
      </c>
      <c r="D166" s="37" t="s">
        <v>100</v>
      </c>
      <c r="E166" s="39" t="n">
        <v>24207</v>
      </c>
      <c r="F166" s="37" t="n">
        <f aca="true">IFERROR(DATEDIF(E166,TODAY(),"Y"),"")</f>
        <v>60</v>
      </c>
      <c r="G166" s="40" t="s">
        <v>843</v>
      </c>
      <c r="H166" s="40" t="s">
        <v>844</v>
      </c>
      <c r="I166" s="38" t="s">
        <v>845</v>
      </c>
      <c r="J166" s="38" t="s">
        <v>15</v>
      </c>
      <c r="K166" s="38" t="s">
        <v>846</v>
      </c>
      <c r="L166" s="38" t="s">
        <v>43</v>
      </c>
      <c r="M166" s="37" t="s">
        <v>120</v>
      </c>
      <c r="N166" s="39" t="n">
        <v>29221</v>
      </c>
      <c r="O166" s="41" t="s">
        <v>23</v>
      </c>
      <c r="P166" s="41" t="s">
        <v>105</v>
      </c>
      <c r="Q166" s="42"/>
      <c r="R166" s="41"/>
      <c r="S166" s="42"/>
      <c r="T166" s="41"/>
    </row>
    <row r="167" customFormat="false" ht="13.5" hidden="false" customHeight="true" outlineLevel="0" collapsed="false">
      <c r="A167" s="37" t="n">
        <v>164</v>
      </c>
      <c r="B167" s="37" t="n">
        <v>1187</v>
      </c>
      <c r="C167" s="38" t="s">
        <v>847</v>
      </c>
      <c r="D167" s="37" t="s">
        <v>100</v>
      </c>
      <c r="E167" s="39" t="n">
        <v>17227</v>
      </c>
      <c r="F167" s="37" t="n">
        <f aca="true">IFERROR(DATEDIF(E167,TODAY(),"Y"),"")</f>
        <v>79</v>
      </c>
      <c r="G167" s="40" t="s">
        <v>848</v>
      </c>
      <c r="H167" s="40" t="s">
        <v>849</v>
      </c>
      <c r="I167" s="38"/>
      <c r="J167" s="38" t="s">
        <v>18</v>
      </c>
      <c r="K167" s="38" t="s">
        <v>850</v>
      </c>
      <c r="L167" s="43" t="s">
        <v>58</v>
      </c>
      <c r="M167" s="37" t="s">
        <v>120</v>
      </c>
      <c r="N167" s="39" t="n">
        <v>30844</v>
      </c>
      <c r="O167" s="41" t="s">
        <v>23</v>
      </c>
      <c r="P167" s="41" t="s">
        <v>105</v>
      </c>
      <c r="Q167" s="42"/>
      <c r="R167" s="41"/>
      <c r="S167" s="42"/>
      <c r="T167" s="41"/>
    </row>
    <row r="168" customFormat="false" ht="13.5" hidden="false" customHeight="true" outlineLevel="0" collapsed="false">
      <c r="A168" s="37" t="n">
        <v>165</v>
      </c>
      <c r="B168" s="37" t="n">
        <v>1198</v>
      </c>
      <c r="C168" s="38" t="s">
        <v>851</v>
      </c>
      <c r="D168" s="37" t="s">
        <v>100</v>
      </c>
      <c r="E168" s="39" t="n">
        <v>22807</v>
      </c>
      <c r="F168" s="37" t="n">
        <f aca="true">IFERROR(DATEDIF(E168,TODAY(),"Y"),"")</f>
        <v>64</v>
      </c>
      <c r="G168" s="40" t="s">
        <v>852</v>
      </c>
      <c r="H168" s="40" t="s">
        <v>853</v>
      </c>
      <c r="I168" s="38"/>
      <c r="J168" s="38" t="s">
        <v>15</v>
      </c>
      <c r="K168" s="38" t="s">
        <v>854</v>
      </c>
      <c r="L168" s="38" t="s">
        <v>51</v>
      </c>
      <c r="M168" s="37"/>
      <c r="N168" s="39" t="n">
        <v>32552</v>
      </c>
      <c r="O168" s="41" t="s">
        <v>23</v>
      </c>
      <c r="P168" s="41" t="s">
        <v>105</v>
      </c>
      <c r="Q168" s="42"/>
      <c r="R168" s="41"/>
      <c r="S168" s="42"/>
      <c r="T168" s="41"/>
    </row>
    <row r="169" customFormat="false" ht="13.5" hidden="false" customHeight="true" outlineLevel="0" collapsed="false">
      <c r="A169" s="37" t="n">
        <v>166</v>
      </c>
      <c r="B169" s="37" t="n">
        <v>1200</v>
      </c>
      <c r="C169" s="38" t="s">
        <v>855</v>
      </c>
      <c r="D169" s="37" t="s">
        <v>100</v>
      </c>
      <c r="E169" s="39" t="n">
        <v>20409</v>
      </c>
      <c r="F169" s="37" t="n">
        <f aca="true">IFERROR(DATEDIF(E169,TODAY(),"Y"),"")</f>
        <v>70</v>
      </c>
      <c r="G169" s="40" t="s">
        <v>856</v>
      </c>
      <c r="H169" s="40" t="s">
        <v>857</v>
      </c>
      <c r="I169" s="38" t="s">
        <v>858</v>
      </c>
      <c r="J169" s="38" t="s">
        <v>16</v>
      </c>
      <c r="K169" s="38" t="s">
        <v>859</v>
      </c>
      <c r="L169" s="43" t="s">
        <v>58</v>
      </c>
      <c r="M169" s="37" t="s">
        <v>104</v>
      </c>
      <c r="N169" s="39" t="n">
        <v>32562</v>
      </c>
      <c r="O169" s="41" t="s">
        <v>23</v>
      </c>
      <c r="P169" s="41" t="s">
        <v>105</v>
      </c>
      <c r="Q169" s="42"/>
      <c r="R169" s="41"/>
      <c r="S169" s="42"/>
      <c r="T169" s="41"/>
    </row>
    <row r="170" customFormat="false" ht="13.5" hidden="false" customHeight="true" outlineLevel="0" collapsed="false">
      <c r="A170" s="37" t="n">
        <v>167</v>
      </c>
      <c r="B170" s="37" t="n">
        <v>1201</v>
      </c>
      <c r="C170" s="38" t="s">
        <v>860</v>
      </c>
      <c r="D170" s="37" t="s">
        <v>100</v>
      </c>
      <c r="E170" s="39" t="n">
        <v>20548</v>
      </c>
      <c r="F170" s="37" t="n">
        <f aca="true">IFERROR(DATEDIF(E170,TODAY(),"Y"),"")</f>
        <v>70</v>
      </c>
      <c r="G170" s="40" t="s">
        <v>861</v>
      </c>
      <c r="H170" s="40" t="s">
        <v>862</v>
      </c>
      <c r="I170" s="38" t="s">
        <v>863</v>
      </c>
      <c r="J170" s="38" t="s">
        <v>15</v>
      </c>
      <c r="K170" s="38" t="s">
        <v>864</v>
      </c>
      <c r="L170" s="38" t="s">
        <v>46</v>
      </c>
      <c r="M170" s="37" t="s">
        <v>788</v>
      </c>
      <c r="N170" s="39" t="n">
        <v>29221</v>
      </c>
      <c r="O170" s="41" t="s">
        <v>23</v>
      </c>
      <c r="P170" s="41" t="s">
        <v>105</v>
      </c>
      <c r="Q170" s="42"/>
      <c r="R170" s="41"/>
      <c r="S170" s="42"/>
      <c r="T170" s="41"/>
    </row>
    <row r="171" customFormat="false" ht="13.5" hidden="false" customHeight="true" outlineLevel="0" collapsed="false">
      <c r="A171" s="37" t="n">
        <v>168</v>
      </c>
      <c r="B171" s="37" t="n">
        <v>1204</v>
      </c>
      <c r="C171" s="38" t="s">
        <v>865</v>
      </c>
      <c r="D171" s="37" t="s">
        <v>100</v>
      </c>
      <c r="E171" s="39" t="n">
        <v>18008</v>
      </c>
      <c r="F171" s="37" t="n">
        <f aca="true">IFERROR(DATEDIF(E171,TODAY(),"Y"),"")</f>
        <v>77</v>
      </c>
      <c r="G171" s="40" t="s">
        <v>866</v>
      </c>
      <c r="H171" s="40"/>
      <c r="I171" s="38" t="s">
        <v>867</v>
      </c>
      <c r="J171" s="38" t="s">
        <v>15</v>
      </c>
      <c r="K171" s="38" t="s">
        <v>868</v>
      </c>
      <c r="L171" s="38" t="s">
        <v>43</v>
      </c>
      <c r="M171" s="37" t="s">
        <v>120</v>
      </c>
      <c r="N171" s="39" t="n">
        <v>32564</v>
      </c>
      <c r="O171" s="41" t="s">
        <v>23</v>
      </c>
      <c r="P171" s="41" t="s">
        <v>105</v>
      </c>
      <c r="Q171" s="42"/>
      <c r="R171" s="41"/>
      <c r="S171" s="42"/>
      <c r="T171" s="41"/>
    </row>
    <row r="172" customFormat="false" ht="13.5" hidden="false" customHeight="true" outlineLevel="0" collapsed="false">
      <c r="A172" s="37" t="n">
        <v>169</v>
      </c>
      <c r="B172" s="37" t="n">
        <v>1208</v>
      </c>
      <c r="C172" s="38" t="s">
        <v>869</v>
      </c>
      <c r="D172" s="37" t="s">
        <v>100</v>
      </c>
      <c r="E172" s="39" t="n">
        <v>24204</v>
      </c>
      <c r="F172" s="37" t="n">
        <f aca="true">IFERROR(DATEDIF(E172,TODAY(),"Y"),"")</f>
        <v>60</v>
      </c>
      <c r="G172" s="40" t="s">
        <v>870</v>
      </c>
      <c r="H172" s="40" t="s">
        <v>871</v>
      </c>
      <c r="I172" s="38"/>
      <c r="J172" s="38" t="s">
        <v>15</v>
      </c>
      <c r="K172" s="38" t="s">
        <v>872</v>
      </c>
      <c r="L172" s="38" t="s">
        <v>47</v>
      </c>
      <c r="M172" s="37"/>
      <c r="N172" s="39" t="n">
        <v>32560</v>
      </c>
      <c r="O172" s="41" t="s">
        <v>23</v>
      </c>
      <c r="P172" s="41" t="s">
        <v>105</v>
      </c>
      <c r="Q172" s="42"/>
      <c r="R172" s="41"/>
      <c r="S172" s="42"/>
      <c r="T172" s="41"/>
    </row>
    <row r="173" customFormat="false" ht="13.5" hidden="false" customHeight="true" outlineLevel="0" collapsed="false">
      <c r="A173" s="37" t="n">
        <v>170</v>
      </c>
      <c r="B173" s="37" t="n">
        <v>1221</v>
      </c>
      <c r="C173" s="38" t="s">
        <v>873</v>
      </c>
      <c r="D173" s="37" t="s">
        <v>100</v>
      </c>
      <c r="E173" s="39" t="n">
        <v>20274</v>
      </c>
      <c r="F173" s="37" t="n">
        <f aca="true">IFERROR(DATEDIF(E173,TODAY(),"Y"),"")</f>
        <v>71</v>
      </c>
      <c r="G173" s="40" t="s">
        <v>874</v>
      </c>
      <c r="H173" s="40"/>
      <c r="I173" s="38" t="s">
        <v>875</v>
      </c>
      <c r="J173" s="38" t="s">
        <v>15</v>
      </c>
      <c r="K173" s="38" t="s">
        <v>876</v>
      </c>
      <c r="L173" s="38" t="s">
        <v>47</v>
      </c>
      <c r="M173" s="37" t="s">
        <v>120</v>
      </c>
      <c r="N173" s="39" t="n">
        <v>31381</v>
      </c>
      <c r="O173" s="41" t="s">
        <v>23</v>
      </c>
      <c r="P173" s="41" t="s">
        <v>105</v>
      </c>
      <c r="Q173" s="42"/>
      <c r="R173" s="41"/>
      <c r="S173" s="42"/>
      <c r="T173" s="41"/>
    </row>
    <row r="174" customFormat="false" ht="13.5" hidden="false" customHeight="true" outlineLevel="0" collapsed="false">
      <c r="A174" s="37" t="n">
        <v>171</v>
      </c>
      <c r="B174" s="37" t="n">
        <v>1222</v>
      </c>
      <c r="C174" s="38" t="s">
        <v>877</v>
      </c>
      <c r="D174" s="37" t="s">
        <v>100</v>
      </c>
      <c r="E174" s="39" t="n">
        <v>23231</v>
      </c>
      <c r="F174" s="37" t="n">
        <f aca="true">IFERROR(DATEDIF(E174,TODAY(),"Y"),"")</f>
        <v>63</v>
      </c>
      <c r="G174" s="40" t="s">
        <v>878</v>
      </c>
      <c r="H174" s="40"/>
      <c r="I174" s="38" t="s">
        <v>879</v>
      </c>
      <c r="J174" s="38" t="s">
        <v>15</v>
      </c>
      <c r="K174" s="38" t="s">
        <v>880</v>
      </c>
      <c r="L174" s="38" t="s">
        <v>47</v>
      </c>
      <c r="M174" s="37" t="s">
        <v>177</v>
      </c>
      <c r="N174" s="39" t="n">
        <v>32553</v>
      </c>
      <c r="O174" s="41" t="s">
        <v>23</v>
      </c>
      <c r="P174" s="41" t="s">
        <v>105</v>
      </c>
      <c r="Q174" s="42"/>
      <c r="R174" s="41"/>
      <c r="S174" s="42"/>
      <c r="T174" s="41"/>
    </row>
    <row r="175" customFormat="false" ht="13.5" hidden="false" customHeight="true" outlineLevel="0" collapsed="false">
      <c r="A175" s="37" t="n">
        <v>172</v>
      </c>
      <c r="B175" s="37" t="n">
        <v>1227</v>
      </c>
      <c r="C175" s="38" t="s">
        <v>881</v>
      </c>
      <c r="D175" s="37" t="s">
        <v>100</v>
      </c>
      <c r="E175" s="39" t="n">
        <v>22508</v>
      </c>
      <c r="F175" s="37" t="n">
        <f aca="true">IFERROR(DATEDIF(E175,TODAY(),"Y"),"")</f>
        <v>64</v>
      </c>
      <c r="G175" s="40" t="s">
        <v>882</v>
      </c>
      <c r="H175" s="40" t="s">
        <v>883</v>
      </c>
      <c r="I175" s="38" t="s">
        <v>884</v>
      </c>
      <c r="J175" s="38" t="s">
        <v>15</v>
      </c>
      <c r="K175" s="38" t="s">
        <v>885</v>
      </c>
      <c r="L175" s="43" t="s">
        <v>58</v>
      </c>
      <c r="M175" s="37" t="s">
        <v>177</v>
      </c>
      <c r="N175" s="39" t="n">
        <v>32559</v>
      </c>
      <c r="O175" s="41" t="s">
        <v>23</v>
      </c>
      <c r="P175" s="41" t="s">
        <v>105</v>
      </c>
      <c r="Q175" s="42"/>
      <c r="R175" s="41"/>
      <c r="S175" s="42"/>
      <c r="T175" s="41"/>
    </row>
    <row r="176" customFormat="false" ht="13.5" hidden="false" customHeight="true" outlineLevel="0" collapsed="false">
      <c r="A176" s="37" t="n">
        <v>173</v>
      </c>
      <c r="B176" s="37" t="n">
        <v>1235</v>
      </c>
      <c r="C176" s="38" t="s">
        <v>886</v>
      </c>
      <c r="D176" s="37" t="s">
        <v>100</v>
      </c>
      <c r="E176" s="39" t="n">
        <v>22065</v>
      </c>
      <c r="F176" s="37" t="n">
        <f aca="true">IFERROR(DATEDIF(E176,TODAY(),"Y"),"")</f>
        <v>66</v>
      </c>
      <c r="G176" s="40" t="s">
        <v>887</v>
      </c>
      <c r="H176" s="40" t="s">
        <v>888</v>
      </c>
      <c r="I176" s="38" t="s">
        <v>889</v>
      </c>
      <c r="J176" s="38" t="s">
        <v>15</v>
      </c>
      <c r="K176" s="38" t="s">
        <v>890</v>
      </c>
      <c r="L176" s="43" t="s">
        <v>58</v>
      </c>
      <c r="M176" s="37"/>
      <c r="N176" s="39" t="n">
        <v>32555</v>
      </c>
      <c r="O176" s="41" t="s">
        <v>23</v>
      </c>
      <c r="P176" s="41" t="s">
        <v>105</v>
      </c>
      <c r="Q176" s="42"/>
      <c r="R176" s="41"/>
      <c r="S176" s="42"/>
      <c r="T176" s="41"/>
    </row>
    <row r="177" customFormat="false" ht="13.5" hidden="false" customHeight="true" outlineLevel="0" collapsed="false">
      <c r="A177" s="37" t="n">
        <v>174</v>
      </c>
      <c r="B177" s="37" t="n">
        <v>1259</v>
      </c>
      <c r="C177" s="38" t="s">
        <v>891</v>
      </c>
      <c r="D177" s="37" t="s">
        <v>100</v>
      </c>
      <c r="E177" s="39" t="n">
        <v>22230</v>
      </c>
      <c r="F177" s="37" t="n">
        <f aca="true">IFERROR(DATEDIF(E177,TODAY(),"Y"),"")</f>
        <v>65</v>
      </c>
      <c r="G177" s="40" t="s">
        <v>892</v>
      </c>
      <c r="H177" s="40"/>
      <c r="I177" s="38" t="s">
        <v>893</v>
      </c>
      <c r="J177" s="38" t="s">
        <v>15</v>
      </c>
      <c r="K177" s="38" t="s">
        <v>894</v>
      </c>
      <c r="L177" s="38" t="s">
        <v>44</v>
      </c>
      <c r="M177" s="37" t="s">
        <v>120</v>
      </c>
      <c r="N177" s="39" t="n">
        <v>32559</v>
      </c>
      <c r="O177" s="41" t="s">
        <v>23</v>
      </c>
      <c r="P177" s="41" t="s">
        <v>105</v>
      </c>
      <c r="Q177" s="42"/>
      <c r="R177" s="41"/>
      <c r="S177" s="42"/>
      <c r="T177" s="41"/>
    </row>
    <row r="178" customFormat="false" ht="13.5" hidden="false" customHeight="true" outlineLevel="0" collapsed="false">
      <c r="A178" s="37" t="n">
        <v>175</v>
      </c>
      <c r="B178" s="37" t="n">
        <v>1265</v>
      </c>
      <c r="C178" s="38" t="s">
        <v>895</v>
      </c>
      <c r="D178" s="37" t="s">
        <v>100</v>
      </c>
      <c r="E178" s="39" t="n">
        <v>20546</v>
      </c>
      <c r="F178" s="37" t="n">
        <f aca="true">IFERROR(DATEDIF(E178,TODAY(),"Y"),"")</f>
        <v>70</v>
      </c>
      <c r="G178" s="40" t="s">
        <v>896</v>
      </c>
      <c r="H178" s="40"/>
      <c r="I178" s="38" t="s">
        <v>897</v>
      </c>
      <c r="J178" s="38" t="s">
        <v>15</v>
      </c>
      <c r="K178" s="38" t="s">
        <v>898</v>
      </c>
      <c r="L178" s="38" t="s">
        <v>47</v>
      </c>
      <c r="M178" s="37" t="s">
        <v>177</v>
      </c>
      <c r="N178" s="39" t="n">
        <v>32553</v>
      </c>
      <c r="O178" s="41" t="s">
        <v>23</v>
      </c>
      <c r="P178" s="41" t="s">
        <v>105</v>
      </c>
      <c r="Q178" s="42"/>
      <c r="R178" s="41"/>
      <c r="S178" s="42"/>
      <c r="T178" s="41"/>
    </row>
    <row r="179" customFormat="false" ht="13.5" hidden="false" customHeight="true" outlineLevel="0" collapsed="false">
      <c r="A179" s="37" t="n">
        <v>176</v>
      </c>
      <c r="B179" s="37" t="n">
        <v>1270</v>
      </c>
      <c r="C179" s="38" t="s">
        <v>899</v>
      </c>
      <c r="D179" s="37" t="s">
        <v>100</v>
      </c>
      <c r="E179" s="39" t="n">
        <v>23019</v>
      </c>
      <c r="F179" s="37" t="n">
        <f aca="true">IFERROR(DATEDIF(E179,TODAY(),"Y"),"")</f>
        <v>63</v>
      </c>
      <c r="G179" s="40" t="s">
        <v>900</v>
      </c>
      <c r="H179" s="40" t="s">
        <v>901</v>
      </c>
      <c r="I179" s="38" t="s">
        <v>902</v>
      </c>
      <c r="J179" s="38" t="s">
        <v>15</v>
      </c>
      <c r="K179" s="38" t="s">
        <v>903</v>
      </c>
      <c r="L179" s="43" t="s">
        <v>58</v>
      </c>
      <c r="M179" s="37"/>
      <c r="N179" s="39" t="n">
        <v>29221</v>
      </c>
      <c r="O179" s="41" t="s">
        <v>23</v>
      </c>
      <c r="P179" s="41" t="s">
        <v>105</v>
      </c>
      <c r="Q179" s="42"/>
      <c r="R179" s="41"/>
      <c r="S179" s="42"/>
      <c r="T179" s="41"/>
    </row>
    <row r="180" customFormat="false" ht="13.5" hidden="false" customHeight="true" outlineLevel="0" collapsed="false">
      <c r="A180" s="37" t="n">
        <v>177</v>
      </c>
      <c r="B180" s="37" t="n">
        <v>1283</v>
      </c>
      <c r="C180" s="38" t="s">
        <v>904</v>
      </c>
      <c r="D180" s="37" t="s">
        <v>100</v>
      </c>
      <c r="E180" s="39" t="n">
        <v>20388</v>
      </c>
      <c r="F180" s="37" t="n">
        <f aca="true">IFERROR(DATEDIF(E180,TODAY(),"Y"),"")</f>
        <v>70</v>
      </c>
      <c r="G180" s="40" t="s">
        <v>905</v>
      </c>
      <c r="H180" s="40" t="s">
        <v>906</v>
      </c>
      <c r="I180" s="38" t="s">
        <v>907</v>
      </c>
      <c r="J180" s="38" t="s">
        <v>15</v>
      </c>
      <c r="K180" s="38" t="s">
        <v>908</v>
      </c>
      <c r="L180" s="38" t="s">
        <v>57</v>
      </c>
      <c r="M180" s="37" t="s">
        <v>177</v>
      </c>
      <c r="N180" s="39" t="n">
        <v>32554</v>
      </c>
      <c r="O180" s="41" t="s">
        <v>23</v>
      </c>
      <c r="P180" s="41" t="s">
        <v>105</v>
      </c>
      <c r="Q180" s="42"/>
      <c r="R180" s="41"/>
      <c r="S180" s="42"/>
      <c r="T180" s="41"/>
    </row>
    <row r="181" customFormat="false" ht="13.5" hidden="false" customHeight="true" outlineLevel="0" collapsed="false">
      <c r="A181" s="37" t="n">
        <v>178</v>
      </c>
      <c r="B181" s="37" t="n">
        <v>1289</v>
      </c>
      <c r="C181" s="38" t="s">
        <v>909</v>
      </c>
      <c r="D181" s="37" t="s">
        <v>100</v>
      </c>
      <c r="E181" s="39" t="n">
        <v>20726</v>
      </c>
      <c r="F181" s="37" t="n">
        <f aca="true">IFERROR(DATEDIF(E181,TODAY(),"Y"),"")</f>
        <v>69</v>
      </c>
      <c r="G181" s="40" t="s">
        <v>910</v>
      </c>
      <c r="H181" s="40" t="s">
        <v>911</v>
      </c>
      <c r="I181" s="38" t="s">
        <v>912</v>
      </c>
      <c r="J181" s="38" t="s">
        <v>15</v>
      </c>
      <c r="K181" s="38" t="s">
        <v>913</v>
      </c>
      <c r="L181" s="38" t="s">
        <v>47</v>
      </c>
      <c r="M181" s="37"/>
      <c r="N181" s="39" t="n">
        <v>30702</v>
      </c>
      <c r="O181" s="41" t="s">
        <v>23</v>
      </c>
      <c r="P181" s="41" t="s">
        <v>105</v>
      </c>
      <c r="Q181" s="42"/>
      <c r="R181" s="41"/>
      <c r="S181" s="42"/>
      <c r="T181" s="41"/>
    </row>
    <row r="182" customFormat="false" ht="13.5" hidden="false" customHeight="true" outlineLevel="0" collapsed="false">
      <c r="A182" s="37" t="n">
        <v>179</v>
      </c>
      <c r="B182" s="37" t="n">
        <v>1291</v>
      </c>
      <c r="C182" s="38" t="s">
        <v>914</v>
      </c>
      <c r="D182" s="37" t="s">
        <v>100</v>
      </c>
      <c r="E182" s="39" t="n">
        <v>16070</v>
      </c>
      <c r="F182" s="37" t="n">
        <f aca="true">IFERROR(DATEDIF(E182,TODAY(),"Y"),"")</f>
        <v>82</v>
      </c>
      <c r="G182" s="40" t="s">
        <v>915</v>
      </c>
      <c r="H182" s="40"/>
      <c r="I182" s="38" t="s">
        <v>916</v>
      </c>
      <c r="J182" s="38" t="s">
        <v>15</v>
      </c>
      <c r="K182" s="38" t="s">
        <v>917</v>
      </c>
      <c r="L182" s="38" t="s">
        <v>44</v>
      </c>
      <c r="M182" s="37" t="s">
        <v>177</v>
      </c>
      <c r="N182" s="39" t="n">
        <v>32557</v>
      </c>
      <c r="O182" s="41" t="s">
        <v>23</v>
      </c>
      <c r="P182" s="41" t="s">
        <v>105</v>
      </c>
      <c r="Q182" s="42"/>
      <c r="R182" s="41"/>
      <c r="S182" s="42"/>
      <c r="T182" s="41"/>
    </row>
    <row r="183" customFormat="false" ht="13.5" hidden="false" customHeight="true" outlineLevel="0" collapsed="false">
      <c r="A183" s="37" t="n">
        <v>180</v>
      </c>
      <c r="B183" s="37" t="n">
        <v>1293</v>
      </c>
      <c r="C183" s="38" t="s">
        <v>918</v>
      </c>
      <c r="D183" s="37" t="s">
        <v>100</v>
      </c>
      <c r="E183" s="39" t="n">
        <v>23421</v>
      </c>
      <c r="F183" s="37" t="n">
        <f aca="true">IFERROR(DATEDIF(E183,TODAY(),"Y"),"")</f>
        <v>62</v>
      </c>
      <c r="G183" s="40" t="s">
        <v>919</v>
      </c>
      <c r="H183" s="40"/>
      <c r="I183" s="38" t="s">
        <v>920</v>
      </c>
      <c r="J183" s="38" t="s">
        <v>15</v>
      </c>
      <c r="K183" s="38" t="s">
        <v>921</v>
      </c>
      <c r="L183" s="38" t="s">
        <v>55</v>
      </c>
      <c r="M183" s="37" t="s">
        <v>120</v>
      </c>
      <c r="N183" s="39" t="n">
        <v>32560</v>
      </c>
      <c r="O183" s="41" t="s">
        <v>23</v>
      </c>
      <c r="P183" s="41" t="s">
        <v>105</v>
      </c>
      <c r="Q183" s="42"/>
      <c r="R183" s="41"/>
      <c r="S183" s="42"/>
      <c r="T183" s="41"/>
    </row>
    <row r="184" customFormat="false" ht="13.5" hidden="false" customHeight="true" outlineLevel="0" collapsed="false">
      <c r="A184" s="37" t="n">
        <v>181</v>
      </c>
      <c r="B184" s="37" t="n">
        <v>1310</v>
      </c>
      <c r="C184" s="38" t="s">
        <v>922</v>
      </c>
      <c r="D184" s="37" t="s">
        <v>100</v>
      </c>
      <c r="E184" s="39" t="n">
        <v>20672</v>
      </c>
      <c r="F184" s="37" t="n">
        <f aca="true">IFERROR(DATEDIF(E184,TODAY(),"Y"),"")</f>
        <v>70</v>
      </c>
      <c r="G184" s="40" t="s">
        <v>923</v>
      </c>
      <c r="H184" s="40" t="s">
        <v>924</v>
      </c>
      <c r="I184" s="38" t="s">
        <v>925</v>
      </c>
      <c r="J184" s="38" t="s">
        <v>15</v>
      </c>
      <c r="K184" s="38" t="s">
        <v>926</v>
      </c>
      <c r="L184" s="38" t="s">
        <v>55</v>
      </c>
      <c r="M184" s="37"/>
      <c r="N184" s="39" t="n">
        <v>32567</v>
      </c>
      <c r="O184" s="41" t="s">
        <v>23</v>
      </c>
      <c r="P184" s="41" t="s">
        <v>105</v>
      </c>
      <c r="Q184" s="42"/>
      <c r="R184" s="41"/>
      <c r="S184" s="42"/>
      <c r="T184" s="41"/>
    </row>
    <row r="185" customFormat="false" ht="13.5" hidden="false" customHeight="true" outlineLevel="0" collapsed="false">
      <c r="A185" s="37" t="n">
        <v>182</v>
      </c>
      <c r="B185" s="37" t="n">
        <v>1313</v>
      </c>
      <c r="C185" s="38" t="s">
        <v>927</v>
      </c>
      <c r="D185" s="37" t="s">
        <v>100</v>
      </c>
      <c r="E185" s="39" t="n">
        <v>16998</v>
      </c>
      <c r="F185" s="37" t="n">
        <f aca="true">IFERROR(DATEDIF(E185,TODAY(),"Y"),"")</f>
        <v>80</v>
      </c>
      <c r="G185" s="40" t="s">
        <v>928</v>
      </c>
      <c r="H185" s="40" t="s">
        <v>929</v>
      </c>
      <c r="I185" s="38" t="s">
        <v>930</v>
      </c>
      <c r="J185" s="38" t="s">
        <v>15</v>
      </c>
      <c r="K185" s="38" t="s">
        <v>931</v>
      </c>
      <c r="L185" s="38" t="s">
        <v>51</v>
      </c>
      <c r="M185" s="37"/>
      <c r="N185" s="39" t="n">
        <v>32551</v>
      </c>
      <c r="O185" s="41" t="s">
        <v>23</v>
      </c>
      <c r="P185" s="41" t="s">
        <v>105</v>
      </c>
      <c r="Q185" s="42"/>
      <c r="R185" s="41"/>
      <c r="S185" s="42"/>
      <c r="T185" s="41"/>
    </row>
    <row r="186" customFormat="false" ht="13.5" hidden="false" customHeight="true" outlineLevel="0" collapsed="false">
      <c r="A186" s="37" t="n">
        <v>183</v>
      </c>
      <c r="B186" s="37" t="n">
        <v>1316</v>
      </c>
      <c r="C186" s="38" t="s">
        <v>932</v>
      </c>
      <c r="D186" s="37" t="s">
        <v>100</v>
      </c>
      <c r="E186" s="39" t="n">
        <v>21368</v>
      </c>
      <c r="F186" s="37" t="n">
        <f aca="true">IFERROR(DATEDIF(E186,TODAY(),"Y"),"")</f>
        <v>68</v>
      </c>
      <c r="G186" s="40" t="s">
        <v>933</v>
      </c>
      <c r="H186" s="40" t="s">
        <v>934</v>
      </c>
      <c r="I186" s="38" t="s">
        <v>935</v>
      </c>
      <c r="J186" s="38" t="s">
        <v>15</v>
      </c>
      <c r="K186" s="38" t="s">
        <v>936</v>
      </c>
      <c r="L186" s="38" t="s">
        <v>47</v>
      </c>
      <c r="M186" s="37" t="s">
        <v>177</v>
      </c>
      <c r="N186" s="39" t="n">
        <v>31343</v>
      </c>
      <c r="O186" s="41" t="s">
        <v>23</v>
      </c>
      <c r="P186" s="41" t="s">
        <v>105</v>
      </c>
      <c r="Q186" s="42"/>
      <c r="R186" s="41"/>
      <c r="S186" s="42"/>
      <c r="T186" s="41"/>
    </row>
    <row r="187" customFormat="false" ht="13.5" hidden="false" customHeight="true" outlineLevel="0" collapsed="false">
      <c r="A187" s="37" t="n">
        <v>184</v>
      </c>
      <c r="B187" s="37" t="n">
        <v>1323</v>
      </c>
      <c r="C187" s="38" t="s">
        <v>937</v>
      </c>
      <c r="D187" s="37" t="s">
        <v>100</v>
      </c>
      <c r="E187" s="39" t="n">
        <v>21603</v>
      </c>
      <c r="F187" s="37" t="n">
        <f aca="true">IFERROR(DATEDIF(E187,TODAY(),"Y"),"")</f>
        <v>67</v>
      </c>
      <c r="G187" s="40" t="s">
        <v>938</v>
      </c>
      <c r="H187" s="40" t="s">
        <v>939</v>
      </c>
      <c r="I187" s="38" t="s">
        <v>940</v>
      </c>
      <c r="J187" s="38" t="s">
        <v>16</v>
      </c>
      <c r="K187" s="38" t="s">
        <v>941</v>
      </c>
      <c r="L187" s="38" t="s">
        <v>53</v>
      </c>
      <c r="M187" s="37" t="s">
        <v>104</v>
      </c>
      <c r="N187" s="39" t="n">
        <v>32559</v>
      </c>
      <c r="O187" s="41" t="s">
        <v>23</v>
      </c>
      <c r="P187" s="41" t="s">
        <v>105</v>
      </c>
      <c r="Q187" s="42"/>
      <c r="R187" s="41"/>
      <c r="S187" s="42"/>
      <c r="T187" s="41"/>
    </row>
    <row r="188" customFormat="false" ht="13.5" hidden="false" customHeight="true" outlineLevel="0" collapsed="false">
      <c r="A188" s="37" t="n">
        <v>185</v>
      </c>
      <c r="B188" s="37" t="n">
        <v>1325</v>
      </c>
      <c r="C188" s="38" t="s">
        <v>942</v>
      </c>
      <c r="D188" s="37" t="s">
        <v>100</v>
      </c>
      <c r="E188" s="39" t="n">
        <v>18355</v>
      </c>
      <c r="F188" s="37" t="n">
        <f aca="true">IFERROR(DATEDIF(E188,TODAY(),"Y"),"")</f>
        <v>76</v>
      </c>
      <c r="G188" s="40" t="s">
        <v>943</v>
      </c>
      <c r="H188" s="40" t="s">
        <v>944</v>
      </c>
      <c r="I188" s="38" t="s">
        <v>945</v>
      </c>
      <c r="J188" s="38" t="s">
        <v>15</v>
      </c>
      <c r="K188" s="38" t="s">
        <v>946</v>
      </c>
      <c r="L188" s="38" t="s">
        <v>47</v>
      </c>
      <c r="M188" s="37"/>
      <c r="N188" s="39" t="n">
        <v>32553</v>
      </c>
      <c r="O188" s="41" t="s">
        <v>23</v>
      </c>
      <c r="P188" s="41" t="s">
        <v>105</v>
      </c>
      <c r="Q188" s="42"/>
      <c r="R188" s="41"/>
      <c r="S188" s="42"/>
      <c r="T188" s="41"/>
    </row>
    <row r="189" customFormat="false" ht="13.5" hidden="false" customHeight="true" outlineLevel="0" collapsed="false">
      <c r="A189" s="37" t="n">
        <v>186</v>
      </c>
      <c r="B189" s="37" t="n">
        <v>1331</v>
      </c>
      <c r="C189" s="38" t="s">
        <v>947</v>
      </c>
      <c r="D189" s="37" t="s">
        <v>100</v>
      </c>
      <c r="E189" s="39" t="n">
        <v>21210</v>
      </c>
      <c r="F189" s="37" t="n">
        <f aca="true">IFERROR(DATEDIF(E189,TODAY(),"Y"),"")</f>
        <v>68</v>
      </c>
      <c r="G189" s="40" t="s">
        <v>948</v>
      </c>
      <c r="H189" s="40" t="s">
        <v>949</v>
      </c>
      <c r="I189" s="38"/>
      <c r="J189" s="38" t="s">
        <v>15</v>
      </c>
      <c r="K189" s="38" t="s">
        <v>950</v>
      </c>
      <c r="L189" s="38" t="s">
        <v>50</v>
      </c>
      <c r="M189" s="37" t="s">
        <v>177</v>
      </c>
      <c r="N189" s="39" t="n">
        <v>32533</v>
      </c>
      <c r="O189" s="41" t="s">
        <v>23</v>
      </c>
      <c r="P189" s="41" t="s">
        <v>105</v>
      </c>
      <c r="Q189" s="42"/>
      <c r="R189" s="41"/>
      <c r="S189" s="42"/>
      <c r="T189" s="41"/>
    </row>
    <row r="190" customFormat="false" ht="13.5" hidden="false" customHeight="true" outlineLevel="0" collapsed="false">
      <c r="A190" s="37" t="n">
        <v>187</v>
      </c>
      <c r="B190" s="37" t="n">
        <v>1332</v>
      </c>
      <c r="C190" s="38" t="s">
        <v>951</v>
      </c>
      <c r="D190" s="37" t="s">
        <v>100</v>
      </c>
      <c r="E190" s="39" t="n">
        <v>21226</v>
      </c>
      <c r="F190" s="37" t="n">
        <f aca="true">IFERROR(DATEDIF(E190,TODAY(),"Y"),"")</f>
        <v>68</v>
      </c>
      <c r="G190" s="40" t="s">
        <v>952</v>
      </c>
      <c r="H190" s="40"/>
      <c r="I190" s="38" t="s">
        <v>953</v>
      </c>
      <c r="J190" s="38" t="s">
        <v>16</v>
      </c>
      <c r="K190" s="38" t="s">
        <v>954</v>
      </c>
      <c r="L190" s="38" t="s">
        <v>46</v>
      </c>
      <c r="M190" s="37"/>
      <c r="N190" s="39" t="n">
        <v>29221</v>
      </c>
      <c r="O190" s="41" t="s">
        <v>23</v>
      </c>
      <c r="P190" s="41" t="s">
        <v>105</v>
      </c>
      <c r="Q190" s="42"/>
      <c r="R190" s="41"/>
      <c r="S190" s="42"/>
      <c r="T190" s="41"/>
    </row>
    <row r="191" customFormat="false" ht="13.5" hidden="false" customHeight="true" outlineLevel="0" collapsed="false">
      <c r="A191" s="37" t="n">
        <v>188</v>
      </c>
      <c r="B191" s="37" t="n">
        <v>1336</v>
      </c>
      <c r="C191" s="38" t="s">
        <v>562</v>
      </c>
      <c r="D191" s="37" t="s">
        <v>100</v>
      </c>
      <c r="E191" s="39" t="n">
        <v>20621</v>
      </c>
      <c r="F191" s="37" t="n">
        <f aca="true">IFERROR(DATEDIF(E191,TODAY(),"Y"),"")</f>
        <v>70</v>
      </c>
      <c r="G191" s="40" t="s">
        <v>955</v>
      </c>
      <c r="H191" s="40" t="s">
        <v>956</v>
      </c>
      <c r="I191" s="38" t="s">
        <v>957</v>
      </c>
      <c r="J191" s="38" t="s">
        <v>15</v>
      </c>
      <c r="K191" s="38" t="s">
        <v>958</v>
      </c>
      <c r="L191" s="38" t="s">
        <v>50</v>
      </c>
      <c r="M191" s="37" t="s">
        <v>120</v>
      </c>
      <c r="N191" s="39" t="n">
        <v>30712</v>
      </c>
      <c r="O191" s="41" t="s">
        <v>23</v>
      </c>
      <c r="P191" s="41" t="s">
        <v>105</v>
      </c>
      <c r="Q191" s="42"/>
      <c r="R191" s="41"/>
      <c r="S191" s="42"/>
      <c r="T191" s="41"/>
    </row>
    <row r="192" customFormat="false" ht="13.5" hidden="false" customHeight="true" outlineLevel="0" collapsed="false">
      <c r="A192" s="37" t="n">
        <v>189</v>
      </c>
      <c r="B192" s="37" t="n">
        <v>1345</v>
      </c>
      <c r="C192" s="38" t="s">
        <v>959</v>
      </c>
      <c r="D192" s="37" t="s">
        <v>100</v>
      </c>
      <c r="E192" s="39" t="n">
        <v>21977</v>
      </c>
      <c r="F192" s="37" t="n">
        <f aca="true">IFERROR(DATEDIF(E192,TODAY(),"Y"),"")</f>
        <v>66</v>
      </c>
      <c r="G192" s="40" t="s">
        <v>960</v>
      </c>
      <c r="H192" s="40" t="s">
        <v>961</v>
      </c>
      <c r="I192" s="38" t="s">
        <v>962</v>
      </c>
      <c r="J192" s="38" t="s">
        <v>15</v>
      </c>
      <c r="K192" s="38" t="s">
        <v>963</v>
      </c>
      <c r="L192" s="38" t="s">
        <v>50</v>
      </c>
      <c r="M192" s="37" t="s">
        <v>104</v>
      </c>
      <c r="N192" s="39" t="n">
        <v>32553</v>
      </c>
      <c r="O192" s="41" t="s">
        <v>23</v>
      </c>
      <c r="P192" s="41" t="s">
        <v>105</v>
      </c>
      <c r="Q192" s="42"/>
      <c r="R192" s="41"/>
      <c r="S192" s="42"/>
      <c r="T192" s="41"/>
    </row>
    <row r="193" customFormat="false" ht="13.5" hidden="false" customHeight="true" outlineLevel="0" collapsed="false">
      <c r="A193" s="37" t="n">
        <v>190</v>
      </c>
      <c r="B193" s="37" t="n">
        <v>1347</v>
      </c>
      <c r="C193" s="38" t="s">
        <v>964</v>
      </c>
      <c r="D193" s="37" t="s">
        <v>100</v>
      </c>
      <c r="E193" s="39" t="n">
        <v>20761</v>
      </c>
      <c r="F193" s="37" t="n">
        <f aca="true">IFERROR(DATEDIF(E193,TODAY(),"Y"),"")</f>
        <v>69</v>
      </c>
      <c r="G193" s="40" t="s">
        <v>965</v>
      </c>
      <c r="H193" s="40" t="s">
        <v>966</v>
      </c>
      <c r="I193" s="38" t="s">
        <v>967</v>
      </c>
      <c r="J193" s="38" t="s">
        <v>15</v>
      </c>
      <c r="K193" s="38" t="s">
        <v>968</v>
      </c>
      <c r="L193" s="38" t="s">
        <v>55</v>
      </c>
      <c r="M193" s="37" t="s">
        <v>120</v>
      </c>
      <c r="N193" s="39" t="n">
        <v>32560</v>
      </c>
      <c r="O193" s="41" t="s">
        <v>23</v>
      </c>
      <c r="P193" s="41" t="s">
        <v>105</v>
      </c>
      <c r="Q193" s="42"/>
      <c r="R193" s="41"/>
      <c r="S193" s="42"/>
      <c r="T193" s="41"/>
    </row>
    <row r="194" customFormat="false" ht="13.5" hidden="false" customHeight="true" outlineLevel="0" collapsed="false">
      <c r="A194" s="37" t="n">
        <v>191</v>
      </c>
      <c r="B194" s="37" t="n">
        <v>1349</v>
      </c>
      <c r="C194" s="38" t="s">
        <v>280</v>
      </c>
      <c r="D194" s="37" t="s">
        <v>100</v>
      </c>
      <c r="E194" s="39" t="n">
        <v>20059</v>
      </c>
      <c r="F194" s="37" t="n">
        <f aca="true">IFERROR(DATEDIF(E194,TODAY(),"Y"),"")</f>
        <v>71</v>
      </c>
      <c r="G194" s="40" t="s">
        <v>969</v>
      </c>
      <c r="H194" s="40" t="s">
        <v>970</v>
      </c>
      <c r="I194" s="38" t="s">
        <v>971</v>
      </c>
      <c r="J194" s="38" t="s">
        <v>15</v>
      </c>
      <c r="K194" s="38" t="s">
        <v>972</v>
      </c>
      <c r="L194" s="43" t="s">
        <v>58</v>
      </c>
      <c r="M194" s="37" t="s">
        <v>104</v>
      </c>
      <c r="N194" s="39" t="n">
        <v>31073</v>
      </c>
      <c r="O194" s="41" t="s">
        <v>23</v>
      </c>
      <c r="P194" s="41" t="s">
        <v>105</v>
      </c>
      <c r="Q194" s="42"/>
      <c r="R194" s="41"/>
      <c r="S194" s="42"/>
      <c r="T194" s="41"/>
    </row>
    <row r="195" customFormat="false" ht="13.5" hidden="false" customHeight="true" outlineLevel="0" collapsed="false">
      <c r="A195" s="37" t="n">
        <v>192</v>
      </c>
      <c r="B195" s="37" t="n">
        <v>1354</v>
      </c>
      <c r="C195" s="38" t="s">
        <v>973</v>
      </c>
      <c r="D195" s="37" t="s">
        <v>100</v>
      </c>
      <c r="E195" s="39" t="n">
        <v>19221</v>
      </c>
      <c r="F195" s="37" t="n">
        <f aca="true">IFERROR(DATEDIF(E195,TODAY(),"Y"),"")</f>
        <v>73</v>
      </c>
      <c r="G195" s="40" t="s">
        <v>974</v>
      </c>
      <c r="H195" s="40" t="s">
        <v>975</v>
      </c>
      <c r="I195" s="38" t="s">
        <v>976</v>
      </c>
      <c r="J195" s="38" t="s">
        <v>15</v>
      </c>
      <c r="K195" s="38" t="s">
        <v>977</v>
      </c>
      <c r="L195" s="38" t="s">
        <v>47</v>
      </c>
      <c r="M195" s="37" t="s">
        <v>177</v>
      </c>
      <c r="N195" s="39" t="n">
        <v>31358</v>
      </c>
      <c r="O195" s="41" t="s">
        <v>23</v>
      </c>
      <c r="P195" s="41" t="s">
        <v>105</v>
      </c>
      <c r="Q195" s="42"/>
      <c r="R195" s="41"/>
      <c r="S195" s="42"/>
      <c r="T195" s="41"/>
    </row>
    <row r="196" customFormat="false" ht="13.5" hidden="false" customHeight="true" outlineLevel="0" collapsed="false">
      <c r="A196" s="37" t="n">
        <v>193</v>
      </c>
      <c r="B196" s="37" t="n">
        <v>1362</v>
      </c>
      <c r="C196" s="38" t="s">
        <v>978</v>
      </c>
      <c r="D196" s="37" t="s">
        <v>100</v>
      </c>
      <c r="E196" s="39" t="n">
        <v>21115</v>
      </c>
      <c r="F196" s="37" t="n">
        <f aca="true">IFERROR(DATEDIF(E196,TODAY(),"Y"),"")</f>
        <v>68</v>
      </c>
      <c r="G196" s="40" t="s">
        <v>979</v>
      </c>
      <c r="H196" s="40" t="s">
        <v>980</v>
      </c>
      <c r="I196" s="38" t="s">
        <v>981</v>
      </c>
      <c r="J196" s="38" t="s">
        <v>16</v>
      </c>
      <c r="K196" s="38" t="s">
        <v>982</v>
      </c>
      <c r="L196" s="38" t="s">
        <v>46</v>
      </c>
      <c r="M196" s="37"/>
      <c r="N196" s="39" t="n">
        <v>31345</v>
      </c>
      <c r="O196" s="41" t="s">
        <v>23</v>
      </c>
      <c r="P196" s="41" t="s">
        <v>105</v>
      </c>
      <c r="Q196" s="42"/>
      <c r="R196" s="41"/>
      <c r="S196" s="42"/>
      <c r="T196" s="41"/>
    </row>
    <row r="197" customFormat="false" ht="13.5" hidden="false" customHeight="true" outlineLevel="0" collapsed="false">
      <c r="A197" s="37" t="n">
        <v>194</v>
      </c>
      <c r="B197" s="37" t="n">
        <v>1385</v>
      </c>
      <c r="C197" s="38" t="s">
        <v>983</v>
      </c>
      <c r="D197" s="37" t="s">
        <v>100</v>
      </c>
      <c r="E197" s="39" t="n">
        <v>22046</v>
      </c>
      <c r="F197" s="37" t="n">
        <f aca="true">IFERROR(DATEDIF(E197,TODAY(),"Y"),"")</f>
        <v>66</v>
      </c>
      <c r="G197" s="40" t="s">
        <v>984</v>
      </c>
      <c r="H197" s="40"/>
      <c r="I197" s="38" t="s">
        <v>985</v>
      </c>
      <c r="J197" s="38" t="s">
        <v>15</v>
      </c>
      <c r="K197" s="38" t="s">
        <v>986</v>
      </c>
      <c r="L197" s="43" t="s">
        <v>58</v>
      </c>
      <c r="M197" s="37" t="s">
        <v>120</v>
      </c>
      <c r="N197" s="39" t="n">
        <v>32554</v>
      </c>
      <c r="O197" s="41" t="s">
        <v>23</v>
      </c>
      <c r="P197" s="41" t="s">
        <v>105</v>
      </c>
      <c r="Q197" s="42"/>
      <c r="R197" s="41"/>
      <c r="S197" s="42"/>
      <c r="T197" s="41"/>
    </row>
    <row r="198" customFormat="false" ht="13.5" hidden="false" customHeight="true" outlineLevel="0" collapsed="false">
      <c r="A198" s="37" t="n">
        <v>195</v>
      </c>
      <c r="B198" s="37" t="n">
        <v>1388</v>
      </c>
      <c r="C198" s="38" t="s">
        <v>987</v>
      </c>
      <c r="D198" s="37" t="s">
        <v>100</v>
      </c>
      <c r="E198" s="39" t="n">
        <v>23454</v>
      </c>
      <c r="F198" s="37" t="n">
        <f aca="true">IFERROR(DATEDIF(E198,TODAY(),"Y"),"")</f>
        <v>62</v>
      </c>
      <c r="G198" s="40" t="s">
        <v>988</v>
      </c>
      <c r="H198" s="40" t="s">
        <v>989</v>
      </c>
      <c r="I198" s="38" t="s">
        <v>990</v>
      </c>
      <c r="J198" s="38" t="s">
        <v>15</v>
      </c>
      <c r="K198" s="38" t="s">
        <v>991</v>
      </c>
      <c r="L198" s="43" t="s">
        <v>58</v>
      </c>
      <c r="M198" s="37" t="s">
        <v>177</v>
      </c>
      <c r="N198" s="39" t="n">
        <v>32559</v>
      </c>
      <c r="O198" s="41" t="s">
        <v>23</v>
      </c>
      <c r="P198" s="41" t="s">
        <v>105</v>
      </c>
      <c r="Q198" s="42"/>
      <c r="R198" s="41"/>
      <c r="S198" s="42"/>
      <c r="T198" s="41"/>
    </row>
    <row r="199" customFormat="false" ht="13.5" hidden="false" customHeight="true" outlineLevel="0" collapsed="false">
      <c r="A199" s="37" t="n">
        <v>196</v>
      </c>
      <c r="B199" s="37" t="n">
        <v>1390</v>
      </c>
      <c r="C199" s="38" t="s">
        <v>992</v>
      </c>
      <c r="D199" s="37" t="s">
        <v>100</v>
      </c>
      <c r="E199" s="39" t="n">
        <v>24396</v>
      </c>
      <c r="F199" s="37" t="n">
        <f aca="true">IFERROR(DATEDIF(E199,TODAY(),"Y"),"")</f>
        <v>59</v>
      </c>
      <c r="G199" s="40" t="s">
        <v>993</v>
      </c>
      <c r="H199" s="40" t="s">
        <v>994</v>
      </c>
      <c r="I199" s="38" t="s">
        <v>995</v>
      </c>
      <c r="J199" s="38" t="s">
        <v>15</v>
      </c>
      <c r="K199" s="38" t="s">
        <v>996</v>
      </c>
      <c r="L199" s="43" t="s">
        <v>58</v>
      </c>
      <c r="M199" s="37" t="s">
        <v>104</v>
      </c>
      <c r="N199" s="39" t="n">
        <v>32565</v>
      </c>
      <c r="O199" s="41" t="s">
        <v>23</v>
      </c>
      <c r="P199" s="41" t="s">
        <v>105</v>
      </c>
      <c r="Q199" s="42"/>
      <c r="R199" s="41"/>
      <c r="S199" s="42"/>
      <c r="T199" s="41"/>
    </row>
    <row r="200" customFormat="false" ht="13.5" hidden="false" customHeight="true" outlineLevel="0" collapsed="false">
      <c r="A200" s="37" t="n">
        <v>197</v>
      </c>
      <c r="B200" s="37" t="n">
        <v>1396</v>
      </c>
      <c r="C200" s="38" t="s">
        <v>997</v>
      </c>
      <c r="D200" s="37" t="s">
        <v>100</v>
      </c>
      <c r="E200" s="39" t="n">
        <v>18712</v>
      </c>
      <c r="F200" s="37" t="n">
        <f aca="true">IFERROR(DATEDIF(E200,TODAY(),"Y"),"")</f>
        <v>75</v>
      </c>
      <c r="G200" s="40" t="s">
        <v>998</v>
      </c>
      <c r="H200" s="40" t="s">
        <v>999</v>
      </c>
      <c r="I200" s="38" t="s">
        <v>1000</v>
      </c>
      <c r="J200" s="38" t="s">
        <v>15</v>
      </c>
      <c r="K200" s="38" t="s">
        <v>1001</v>
      </c>
      <c r="L200" s="43" t="s">
        <v>58</v>
      </c>
      <c r="M200" s="37" t="s">
        <v>120</v>
      </c>
      <c r="N200" s="39" t="n">
        <v>30702</v>
      </c>
      <c r="O200" s="41" t="s">
        <v>23</v>
      </c>
      <c r="P200" s="41" t="s">
        <v>105</v>
      </c>
      <c r="Q200" s="42"/>
      <c r="R200" s="41"/>
      <c r="S200" s="42"/>
      <c r="T200" s="41"/>
    </row>
    <row r="201" customFormat="false" ht="13.5" hidden="false" customHeight="true" outlineLevel="0" collapsed="false">
      <c r="A201" s="37" t="n">
        <v>198</v>
      </c>
      <c r="B201" s="37" t="n">
        <v>1411</v>
      </c>
      <c r="C201" s="38" t="s">
        <v>1002</v>
      </c>
      <c r="D201" s="37" t="s">
        <v>100</v>
      </c>
      <c r="E201" s="39" t="n">
        <v>19338</v>
      </c>
      <c r="F201" s="37" t="n">
        <f aca="true">IFERROR(DATEDIF(E201,TODAY(),"Y"),"")</f>
        <v>73</v>
      </c>
      <c r="G201" s="40" t="s">
        <v>1003</v>
      </c>
      <c r="H201" s="40" t="s">
        <v>1004</v>
      </c>
      <c r="I201" s="38" t="s">
        <v>1005</v>
      </c>
      <c r="J201" s="38" t="s">
        <v>16</v>
      </c>
      <c r="K201" s="38" t="s">
        <v>1006</v>
      </c>
      <c r="L201" s="43" t="s">
        <v>58</v>
      </c>
      <c r="M201" s="37" t="s">
        <v>177</v>
      </c>
      <c r="N201" s="39" t="n">
        <v>32559</v>
      </c>
      <c r="O201" s="41" t="s">
        <v>23</v>
      </c>
      <c r="P201" s="41" t="s">
        <v>105</v>
      </c>
      <c r="Q201" s="42"/>
      <c r="R201" s="41"/>
      <c r="S201" s="42"/>
      <c r="T201" s="41"/>
    </row>
    <row r="202" customFormat="false" ht="13.5" hidden="false" customHeight="true" outlineLevel="0" collapsed="false">
      <c r="A202" s="37" t="n">
        <v>199</v>
      </c>
      <c r="B202" s="37" t="n">
        <v>1423</v>
      </c>
      <c r="C202" s="38" t="s">
        <v>1007</v>
      </c>
      <c r="D202" s="37" t="s">
        <v>100</v>
      </c>
      <c r="E202" s="39" t="n">
        <v>20382</v>
      </c>
      <c r="F202" s="37" t="n">
        <f aca="true">IFERROR(DATEDIF(E202,TODAY(),"Y"),"")</f>
        <v>70</v>
      </c>
      <c r="G202" s="40" t="s">
        <v>1008</v>
      </c>
      <c r="H202" s="40"/>
      <c r="I202" s="38" t="s">
        <v>1009</v>
      </c>
      <c r="J202" s="38" t="s">
        <v>15</v>
      </c>
      <c r="K202" s="38" t="s">
        <v>1010</v>
      </c>
      <c r="L202" s="43" t="s">
        <v>58</v>
      </c>
      <c r="M202" s="37" t="s">
        <v>104</v>
      </c>
      <c r="N202" s="39" t="n">
        <v>32565</v>
      </c>
      <c r="O202" s="41" t="s">
        <v>23</v>
      </c>
      <c r="P202" s="41" t="s">
        <v>105</v>
      </c>
      <c r="Q202" s="42"/>
      <c r="R202" s="41"/>
      <c r="S202" s="42"/>
      <c r="T202" s="41"/>
    </row>
    <row r="203" customFormat="false" ht="13.5" hidden="false" customHeight="true" outlineLevel="0" collapsed="false">
      <c r="A203" s="37" t="n">
        <v>200</v>
      </c>
      <c r="B203" s="37" t="n">
        <v>1435</v>
      </c>
      <c r="C203" s="38" t="s">
        <v>1011</v>
      </c>
      <c r="D203" s="37" t="s">
        <v>100</v>
      </c>
      <c r="E203" s="39" t="n">
        <v>19625</v>
      </c>
      <c r="F203" s="37" t="n">
        <f aca="true">IFERROR(DATEDIF(E203,TODAY(),"Y"),"")</f>
        <v>72</v>
      </c>
      <c r="G203" s="40" t="s">
        <v>1012</v>
      </c>
      <c r="H203" s="40" t="s">
        <v>1013</v>
      </c>
      <c r="I203" s="38" t="s">
        <v>1014</v>
      </c>
      <c r="J203" s="38" t="s">
        <v>15</v>
      </c>
      <c r="K203" s="38" t="s">
        <v>1015</v>
      </c>
      <c r="L203" s="43" t="s">
        <v>58</v>
      </c>
      <c r="M203" s="37" t="s">
        <v>120</v>
      </c>
      <c r="N203" s="39" t="n">
        <v>32557</v>
      </c>
      <c r="O203" s="41" t="s">
        <v>23</v>
      </c>
      <c r="P203" s="41" t="s">
        <v>105</v>
      </c>
      <c r="Q203" s="42"/>
      <c r="R203" s="41"/>
      <c r="S203" s="42"/>
      <c r="T203" s="41"/>
    </row>
    <row r="204" customFormat="false" ht="13.5" hidden="false" customHeight="true" outlineLevel="0" collapsed="false">
      <c r="A204" s="37" t="n">
        <v>201</v>
      </c>
      <c r="B204" s="37" t="n">
        <v>1465</v>
      </c>
      <c r="C204" s="38" t="s">
        <v>1016</v>
      </c>
      <c r="D204" s="37" t="s">
        <v>100</v>
      </c>
      <c r="E204" s="39" t="n">
        <v>22041</v>
      </c>
      <c r="F204" s="37" t="n">
        <f aca="true">IFERROR(DATEDIF(E204,TODAY(),"Y"),"")</f>
        <v>66</v>
      </c>
      <c r="G204" s="40" t="s">
        <v>1017</v>
      </c>
      <c r="H204" s="40" t="s">
        <v>1018</v>
      </c>
      <c r="I204" s="38" t="s">
        <v>1019</v>
      </c>
      <c r="J204" s="38" t="s">
        <v>15</v>
      </c>
      <c r="K204" s="38" t="s">
        <v>1020</v>
      </c>
      <c r="L204" s="43" t="s">
        <v>58</v>
      </c>
      <c r="M204" s="37" t="s">
        <v>104</v>
      </c>
      <c r="N204" s="39" t="n">
        <v>29221</v>
      </c>
      <c r="O204" s="41" t="s">
        <v>23</v>
      </c>
      <c r="P204" s="41" t="s">
        <v>105</v>
      </c>
      <c r="Q204" s="42"/>
      <c r="R204" s="41"/>
      <c r="S204" s="42"/>
      <c r="T204" s="41"/>
    </row>
    <row r="205" customFormat="false" ht="13.5" hidden="false" customHeight="true" outlineLevel="0" collapsed="false">
      <c r="A205" s="37" t="n">
        <v>202</v>
      </c>
      <c r="B205" s="37" t="n">
        <v>1479</v>
      </c>
      <c r="C205" s="38" t="s">
        <v>1021</v>
      </c>
      <c r="D205" s="37" t="s">
        <v>100</v>
      </c>
      <c r="E205" s="39" t="n">
        <v>21330</v>
      </c>
      <c r="F205" s="37" t="n">
        <f aca="true">IFERROR(DATEDIF(E205,TODAY(),"Y"),"")</f>
        <v>68</v>
      </c>
      <c r="G205" s="40" t="s">
        <v>1022</v>
      </c>
      <c r="H205" s="40" t="s">
        <v>1023</v>
      </c>
      <c r="I205" s="38" t="s">
        <v>1024</v>
      </c>
      <c r="J205" s="38" t="s">
        <v>15</v>
      </c>
      <c r="K205" s="38" t="s">
        <v>1025</v>
      </c>
      <c r="L205" s="43" t="s">
        <v>58</v>
      </c>
      <c r="M205" s="37" t="s">
        <v>177</v>
      </c>
      <c r="N205" s="39" t="n">
        <v>31363</v>
      </c>
      <c r="O205" s="41" t="s">
        <v>23</v>
      </c>
      <c r="P205" s="41" t="s">
        <v>105</v>
      </c>
      <c r="Q205" s="42"/>
      <c r="R205" s="41"/>
      <c r="S205" s="42"/>
      <c r="T205" s="41"/>
    </row>
    <row r="206" customFormat="false" ht="13.5" hidden="false" customHeight="true" outlineLevel="0" collapsed="false">
      <c r="A206" s="37" t="n">
        <v>203</v>
      </c>
      <c r="B206" s="37" t="n">
        <v>1487</v>
      </c>
      <c r="C206" s="38" t="s">
        <v>1026</v>
      </c>
      <c r="D206" s="37" t="s">
        <v>100</v>
      </c>
      <c r="E206" s="39" t="n">
        <v>23014</v>
      </c>
      <c r="F206" s="37" t="n">
        <f aca="true">IFERROR(DATEDIF(E206,TODAY(),"Y"),"")</f>
        <v>63</v>
      </c>
      <c r="G206" s="40" t="s">
        <v>1027</v>
      </c>
      <c r="H206" s="40" t="s">
        <v>1028</v>
      </c>
      <c r="I206" s="38" t="s">
        <v>1029</v>
      </c>
      <c r="J206" s="38" t="s">
        <v>16</v>
      </c>
      <c r="K206" s="38" t="s">
        <v>1030</v>
      </c>
      <c r="L206" s="43" t="s">
        <v>58</v>
      </c>
      <c r="M206" s="37" t="s">
        <v>231</v>
      </c>
      <c r="N206" s="39" t="n">
        <v>31386</v>
      </c>
      <c r="O206" s="41" t="s">
        <v>23</v>
      </c>
      <c r="P206" s="41" t="s">
        <v>105</v>
      </c>
      <c r="Q206" s="42"/>
      <c r="R206" s="41"/>
      <c r="S206" s="42"/>
      <c r="T206" s="41"/>
    </row>
    <row r="207" customFormat="false" ht="13.5" hidden="false" customHeight="true" outlineLevel="0" collapsed="false">
      <c r="A207" s="37" t="n">
        <v>204</v>
      </c>
      <c r="B207" s="37" t="n">
        <v>1491</v>
      </c>
      <c r="C207" s="38" t="s">
        <v>1031</v>
      </c>
      <c r="D207" s="37" t="s">
        <v>100</v>
      </c>
      <c r="E207" s="39" t="n">
        <v>19517</v>
      </c>
      <c r="F207" s="37" t="n">
        <f aca="true">IFERROR(DATEDIF(E207,TODAY(),"Y"),"")</f>
        <v>73</v>
      </c>
      <c r="G207" s="40" t="s">
        <v>1032</v>
      </c>
      <c r="H207" s="40" t="s">
        <v>1033</v>
      </c>
      <c r="I207" s="38" t="s">
        <v>1034</v>
      </c>
      <c r="J207" s="38" t="s">
        <v>15</v>
      </c>
      <c r="K207" s="38" t="s">
        <v>1035</v>
      </c>
      <c r="L207" s="43" t="s">
        <v>58</v>
      </c>
      <c r="M207" s="37" t="s">
        <v>104</v>
      </c>
      <c r="N207" s="39" t="n">
        <v>31364</v>
      </c>
      <c r="O207" s="41" t="s">
        <v>23</v>
      </c>
      <c r="P207" s="41" t="s">
        <v>105</v>
      </c>
      <c r="Q207" s="42"/>
      <c r="R207" s="41"/>
      <c r="S207" s="42"/>
      <c r="T207" s="41"/>
    </row>
    <row r="208" customFormat="false" ht="13.5" hidden="false" customHeight="true" outlineLevel="0" collapsed="false">
      <c r="A208" s="37" t="n">
        <v>205</v>
      </c>
      <c r="B208" s="37" t="n">
        <v>1493</v>
      </c>
      <c r="C208" s="38" t="s">
        <v>1036</v>
      </c>
      <c r="D208" s="37" t="s">
        <v>100</v>
      </c>
      <c r="E208" s="39" t="n">
        <v>21145</v>
      </c>
      <c r="F208" s="37" t="n">
        <f aca="true">IFERROR(DATEDIF(E208,TODAY(),"Y"),"")</f>
        <v>68</v>
      </c>
      <c r="G208" s="40" t="s">
        <v>1037</v>
      </c>
      <c r="H208" s="40" t="s">
        <v>1038</v>
      </c>
      <c r="I208" s="38" t="s">
        <v>1039</v>
      </c>
      <c r="J208" s="38" t="s">
        <v>15</v>
      </c>
      <c r="K208" s="38" t="s">
        <v>1040</v>
      </c>
      <c r="L208" s="43" t="s">
        <v>58</v>
      </c>
      <c r="M208" s="37" t="s">
        <v>120</v>
      </c>
      <c r="N208" s="39" t="n">
        <v>32565</v>
      </c>
      <c r="O208" s="41" t="s">
        <v>23</v>
      </c>
      <c r="P208" s="41" t="s">
        <v>105</v>
      </c>
      <c r="Q208" s="42"/>
      <c r="R208" s="41"/>
      <c r="S208" s="42"/>
      <c r="T208" s="41"/>
    </row>
    <row r="209" customFormat="false" ht="13.5" hidden="false" customHeight="true" outlineLevel="0" collapsed="false">
      <c r="A209" s="37" t="n">
        <v>206</v>
      </c>
      <c r="B209" s="37" t="n">
        <v>1499</v>
      </c>
      <c r="C209" s="38" t="s">
        <v>1041</v>
      </c>
      <c r="D209" s="37" t="s">
        <v>100</v>
      </c>
      <c r="E209" s="39" t="n">
        <v>21534</v>
      </c>
      <c r="F209" s="37" t="n">
        <f aca="true">IFERROR(DATEDIF(E209,TODAY(),"Y"),"")</f>
        <v>67</v>
      </c>
      <c r="G209" s="40" t="s">
        <v>1042</v>
      </c>
      <c r="H209" s="40"/>
      <c r="I209" s="38"/>
      <c r="J209" s="38" t="s">
        <v>16</v>
      </c>
      <c r="K209" s="38" t="s">
        <v>1043</v>
      </c>
      <c r="L209" s="38" t="s">
        <v>44</v>
      </c>
      <c r="M209" s="37"/>
      <c r="N209" s="39" t="n">
        <v>32553</v>
      </c>
      <c r="O209" s="41" t="s">
        <v>23</v>
      </c>
      <c r="P209" s="41" t="s">
        <v>105</v>
      </c>
      <c r="Q209" s="42"/>
      <c r="R209" s="41"/>
      <c r="S209" s="42"/>
      <c r="T209" s="41"/>
    </row>
    <row r="210" customFormat="false" ht="13.5" hidden="false" customHeight="true" outlineLevel="0" collapsed="false">
      <c r="A210" s="37" t="n">
        <v>207</v>
      </c>
      <c r="B210" s="37" t="n">
        <v>1506</v>
      </c>
      <c r="C210" s="38" t="s">
        <v>1044</v>
      </c>
      <c r="D210" s="37" t="s">
        <v>100</v>
      </c>
      <c r="E210" s="39" t="n">
        <v>16723</v>
      </c>
      <c r="F210" s="37" t="n">
        <f aca="true">IFERROR(DATEDIF(E210,TODAY(),"Y"),"")</f>
        <v>80</v>
      </c>
      <c r="G210" s="40" t="s">
        <v>1045</v>
      </c>
      <c r="H210" s="40"/>
      <c r="I210" s="38" t="s">
        <v>1046</v>
      </c>
      <c r="J210" s="38" t="s">
        <v>15</v>
      </c>
      <c r="K210" s="38" t="s">
        <v>1047</v>
      </c>
      <c r="L210" s="43" t="s">
        <v>58</v>
      </c>
      <c r="M210" s="37"/>
      <c r="N210" s="39" t="n">
        <v>32550</v>
      </c>
      <c r="O210" s="41" t="s">
        <v>23</v>
      </c>
      <c r="P210" s="41" t="s">
        <v>105</v>
      </c>
      <c r="Q210" s="42"/>
      <c r="R210" s="41"/>
      <c r="S210" s="42"/>
      <c r="T210" s="41"/>
    </row>
    <row r="211" customFormat="false" ht="13.5" hidden="false" customHeight="true" outlineLevel="0" collapsed="false">
      <c r="A211" s="37" t="n">
        <v>208</v>
      </c>
      <c r="B211" s="37" t="n">
        <v>1509</v>
      </c>
      <c r="C211" s="38" t="s">
        <v>1048</v>
      </c>
      <c r="D211" s="37" t="s">
        <v>100</v>
      </c>
      <c r="E211" s="39" t="n">
        <v>18967</v>
      </c>
      <c r="F211" s="37" t="n">
        <f aca="true">IFERROR(DATEDIF(E211,TODAY(),"Y"),"")</f>
        <v>74</v>
      </c>
      <c r="G211" s="40" t="s">
        <v>1049</v>
      </c>
      <c r="H211" s="40" t="s">
        <v>1050</v>
      </c>
      <c r="I211" s="38"/>
      <c r="J211" s="38" t="s">
        <v>18</v>
      </c>
      <c r="K211" s="38" t="s">
        <v>1051</v>
      </c>
      <c r="L211" s="38" t="s">
        <v>55</v>
      </c>
      <c r="M211" s="37"/>
      <c r="N211" s="39" t="n">
        <v>32567</v>
      </c>
      <c r="O211" s="41" t="s">
        <v>23</v>
      </c>
      <c r="P211" s="41" t="s">
        <v>105</v>
      </c>
      <c r="Q211" s="42"/>
      <c r="R211" s="41"/>
      <c r="S211" s="42"/>
      <c r="T211" s="41"/>
    </row>
    <row r="212" customFormat="false" ht="13.5" hidden="false" customHeight="true" outlineLevel="0" collapsed="false">
      <c r="A212" s="37" t="n">
        <v>209</v>
      </c>
      <c r="B212" s="37" t="n">
        <v>1515</v>
      </c>
      <c r="C212" s="38" t="s">
        <v>1052</v>
      </c>
      <c r="D212" s="37" t="s">
        <v>100</v>
      </c>
      <c r="E212" s="39" t="n">
        <v>20372</v>
      </c>
      <c r="F212" s="37" t="n">
        <f aca="true">IFERROR(DATEDIF(E212,TODAY(),"Y"),"")</f>
        <v>70</v>
      </c>
      <c r="G212" s="40" t="s">
        <v>1053</v>
      </c>
      <c r="H212" s="40" t="s">
        <v>1054</v>
      </c>
      <c r="I212" s="38"/>
      <c r="J212" s="38" t="s">
        <v>15</v>
      </c>
      <c r="K212" s="38" t="s">
        <v>1055</v>
      </c>
      <c r="L212" s="38" t="s">
        <v>46</v>
      </c>
      <c r="M212" s="37"/>
      <c r="N212" s="39" t="n">
        <v>32565</v>
      </c>
      <c r="O212" s="41" t="s">
        <v>23</v>
      </c>
      <c r="P212" s="41" t="s">
        <v>105</v>
      </c>
      <c r="Q212" s="42"/>
      <c r="R212" s="41"/>
      <c r="S212" s="42"/>
      <c r="T212" s="41"/>
    </row>
    <row r="213" customFormat="false" ht="13.5" hidden="false" customHeight="true" outlineLevel="0" collapsed="false">
      <c r="A213" s="37" t="n">
        <v>210</v>
      </c>
      <c r="B213" s="37" t="n">
        <v>1517</v>
      </c>
      <c r="C213" s="38" t="s">
        <v>1056</v>
      </c>
      <c r="D213" s="37" t="s">
        <v>100</v>
      </c>
      <c r="E213" s="39" t="n">
        <v>19639</v>
      </c>
      <c r="F213" s="37" t="n">
        <f aca="true">IFERROR(DATEDIF(E213,TODAY(),"Y"),"")</f>
        <v>72</v>
      </c>
      <c r="G213" s="40" t="s">
        <v>1057</v>
      </c>
      <c r="H213" s="40"/>
      <c r="I213" s="38" t="s">
        <v>1058</v>
      </c>
      <c r="J213" s="38" t="s">
        <v>16</v>
      </c>
      <c r="K213" s="38" t="s">
        <v>1059</v>
      </c>
      <c r="L213" s="38" t="s">
        <v>44</v>
      </c>
      <c r="M213" s="37" t="s">
        <v>120</v>
      </c>
      <c r="N213" s="39" t="n">
        <v>32553</v>
      </c>
      <c r="O213" s="41" t="s">
        <v>23</v>
      </c>
      <c r="P213" s="41" t="s">
        <v>105</v>
      </c>
      <c r="Q213" s="42"/>
      <c r="R213" s="41"/>
      <c r="S213" s="42"/>
      <c r="T213" s="41"/>
    </row>
    <row r="214" customFormat="false" ht="13.5" hidden="false" customHeight="true" outlineLevel="0" collapsed="false">
      <c r="A214" s="37" t="n">
        <v>211</v>
      </c>
      <c r="B214" s="37" t="n">
        <v>1518</v>
      </c>
      <c r="C214" s="38" t="s">
        <v>1060</v>
      </c>
      <c r="D214" s="37" t="s">
        <v>100</v>
      </c>
      <c r="E214" s="39" t="n">
        <v>22066</v>
      </c>
      <c r="F214" s="37" t="n">
        <f aca="true">IFERROR(DATEDIF(E214,TODAY(),"Y"),"")</f>
        <v>66</v>
      </c>
      <c r="G214" s="40" t="s">
        <v>1061</v>
      </c>
      <c r="H214" s="40"/>
      <c r="I214" s="38" t="s">
        <v>1062</v>
      </c>
      <c r="J214" s="38" t="s">
        <v>16</v>
      </c>
      <c r="K214" s="38" t="s">
        <v>1063</v>
      </c>
      <c r="L214" s="38" t="s">
        <v>44</v>
      </c>
      <c r="M214" s="37"/>
      <c r="N214" s="39" t="n">
        <v>32553</v>
      </c>
      <c r="O214" s="41" t="s">
        <v>23</v>
      </c>
      <c r="P214" s="41" t="s">
        <v>105</v>
      </c>
      <c r="Q214" s="42"/>
      <c r="R214" s="41"/>
      <c r="S214" s="42"/>
      <c r="T214" s="41"/>
    </row>
    <row r="215" customFormat="false" ht="13.5" hidden="false" customHeight="true" outlineLevel="0" collapsed="false">
      <c r="A215" s="37" t="n">
        <v>212</v>
      </c>
      <c r="B215" s="37" t="n">
        <v>1525</v>
      </c>
      <c r="C215" s="38" t="s">
        <v>1064</v>
      </c>
      <c r="D215" s="37" t="s">
        <v>100</v>
      </c>
      <c r="E215" s="39" t="n">
        <v>21144</v>
      </c>
      <c r="F215" s="37" t="n">
        <f aca="true">IFERROR(DATEDIF(E215,TODAY(),"Y"),"")</f>
        <v>68</v>
      </c>
      <c r="G215" s="40" t="s">
        <v>1065</v>
      </c>
      <c r="H215" s="40" t="s">
        <v>1066</v>
      </c>
      <c r="I215" s="38" t="s">
        <v>1067</v>
      </c>
      <c r="J215" s="38" t="s">
        <v>15</v>
      </c>
      <c r="K215" s="38" t="s">
        <v>1068</v>
      </c>
      <c r="L215" s="43" t="s">
        <v>58</v>
      </c>
      <c r="M215" s="37" t="s">
        <v>120</v>
      </c>
      <c r="N215" s="39" t="n">
        <v>32540</v>
      </c>
      <c r="O215" s="41" t="s">
        <v>23</v>
      </c>
      <c r="P215" s="41" t="s">
        <v>105</v>
      </c>
      <c r="Q215" s="42"/>
      <c r="R215" s="41"/>
      <c r="S215" s="42"/>
      <c r="T215" s="41"/>
    </row>
    <row r="216" customFormat="false" ht="13.5" hidden="false" customHeight="true" outlineLevel="0" collapsed="false">
      <c r="A216" s="37" t="n">
        <v>213</v>
      </c>
      <c r="B216" s="37" t="n">
        <v>1548</v>
      </c>
      <c r="C216" s="38" t="s">
        <v>1069</v>
      </c>
      <c r="D216" s="37" t="s">
        <v>100</v>
      </c>
      <c r="E216" s="39" t="n">
        <v>22576</v>
      </c>
      <c r="F216" s="37" t="n">
        <f aca="true">IFERROR(DATEDIF(E216,TODAY(),"Y"),"")</f>
        <v>64</v>
      </c>
      <c r="G216" s="40" t="s">
        <v>1070</v>
      </c>
      <c r="H216" s="40" t="s">
        <v>1071</v>
      </c>
      <c r="I216" s="38" t="s">
        <v>1072</v>
      </c>
      <c r="J216" s="38"/>
      <c r="K216" s="38" t="s">
        <v>1073</v>
      </c>
      <c r="L216" s="38" t="s">
        <v>51</v>
      </c>
      <c r="M216" s="37" t="s">
        <v>104</v>
      </c>
      <c r="N216" s="39" t="n">
        <v>32559</v>
      </c>
      <c r="O216" s="41" t="s">
        <v>23</v>
      </c>
      <c r="P216" s="41" t="s">
        <v>105</v>
      </c>
      <c r="Q216" s="42"/>
      <c r="R216" s="41"/>
      <c r="S216" s="42"/>
      <c r="T216" s="41"/>
    </row>
    <row r="217" customFormat="false" ht="13.5" hidden="false" customHeight="true" outlineLevel="0" collapsed="false">
      <c r="A217" s="37" t="n">
        <v>214</v>
      </c>
      <c r="B217" s="37" t="n">
        <v>1557</v>
      </c>
      <c r="C217" s="38" t="s">
        <v>1074</v>
      </c>
      <c r="D217" s="37" t="s">
        <v>100</v>
      </c>
      <c r="E217" s="39" t="n">
        <v>21327</v>
      </c>
      <c r="F217" s="37" t="n">
        <f aca="true">IFERROR(DATEDIF(E217,TODAY(),"Y"),"")</f>
        <v>68</v>
      </c>
      <c r="G217" s="40" t="s">
        <v>1075</v>
      </c>
      <c r="H217" s="40" t="s">
        <v>1076</v>
      </c>
      <c r="I217" s="38" t="s">
        <v>1077</v>
      </c>
      <c r="J217" s="38" t="s">
        <v>15</v>
      </c>
      <c r="K217" s="38" t="s">
        <v>1078</v>
      </c>
      <c r="L217" s="38" t="s">
        <v>44</v>
      </c>
      <c r="M217" s="37" t="s">
        <v>177</v>
      </c>
      <c r="N217" s="39" t="n">
        <v>32564</v>
      </c>
      <c r="O217" s="41" t="s">
        <v>23</v>
      </c>
      <c r="P217" s="41" t="s">
        <v>105</v>
      </c>
      <c r="Q217" s="42"/>
      <c r="R217" s="41"/>
      <c r="S217" s="42"/>
      <c r="T217" s="41"/>
    </row>
    <row r="218" customFormat="false" ht="13.5" hidden="false" customHeight="true" outlineLevel="0" collapsed="false">
      <c r="A218" s="37" t="n">
        <v>215</v>
      </c>
      <c r="B218" s="37" t="n">
        <v>1559</v>
      </c>
      <c r="C218" s="38" t="s">
        <v>1079</v>
      </c>
      <c r="D218" s="37" t="s">
        <v>100</v>
      </c>
      <c r="E218" s="39" t="n">
        <v>21758</v>
      </c>
      <c r="F218" s="37" t="n">
        <f aca="true">IFERROR(DATEDIF(E218,TODAY(),"Y"),"")</f>
        <v>67</v>
      </c>
      <c r="G218" s="40" t="s">
        <v>1080</v>
      </c>
      <c r="H218" s="40" t="s">
        <v>1081</v>
      </c>
      <c r="I218" s="38" t="s">
        <v>1082</v>
      </c>
      <c r="J218" s="38" t="s">
        <v>15</v>
      </c>
      <c r="K218" s="38" t="s">
        <v>1083</v>
      </c>
      <c r="L218" s="43" t="s">
        <v>58</v>
      </c>
      <c r="M218" s="37" t="s">
        <v>177</v>
      </c>
      <c r="N218" s="39" t="n">
        <v>32551</v>
      </c>
      <c r="O218" s="41" t="s">
        <v>23</v>
      </c>
      <c r="P218" s="41" t="s">
        <v>105</v>
      </c>
      <c r="Q218" s="42"/>
      <c r="R218" s="41"/>
      <c r="S218" s="42"/>
      <c r="T218" s="41"/>
    </row>
    <row r="219" customFormat="false" ht="13.5" hidden="false" customHeight="true" outlineLevel="0" collapsed="false">
      <c r="A219" s="37" t="n">
        <v>216</v>
      </c>
      <c r="B219" s="37" t="n">
        <v>1562</v>
      </c>
      <c r="C219" s="38" t="s">
        <v>1084</v>
      </c>
      <c r="D219" s="37" t="s">
        <v>100</v>
      </c>
      <c r="E219" s="39" t="n">
        <v>16751</v>
      </c>
      <c r="F219" s="37" t="n">
        <f aca="true">IFERROR(DATEDIF(E219,TODAY(),"Y"),"")</f>
        <v>80</v>
      </c>
      <c r="G219" s="40" t="s">
        <v>1085</v>
      </c>
      <c r="H219" s="40" t="s">
        <v>1086</v>
      </c>
      <c r="I219" s="38"/>
      <c r="J219" s="38" t="s">
        <v>15</v>
      </c>
      <c r="K219" s="38" t="s">
        <v>1087</v>
      </c>
      <c r="L219" s="38" t="s">
        <v>47</v>
      </c>
      <c r="M219" s="37"/>
      <c r="N219" s="39" t="n">
        <v>31384</v>
      </c>
      <c r="O219" s="41" t="s">
        <v>23</v>
      </c>
      <c r="P219" s="41" t="s">
        <v>105</v>
      </c>
      <c r="Q219" s="42"/>
      <c r="R219" s="41"/>
      <c r="S219" s="42"/>
      <c r="T219" s="41"/>
    </row>
    <row r="220" customFormat="false" ht="13.5" hidden="false" customHeight="true" outlineLevel="0" collapsed="false">
      <c r="A220" s="37" t="n">
        <v>217</v>
      </c>
      <c r="B220" s="37" t="n">
        <v>1564</v>
      </c>
      <c r="C220" s="38" t="s">
        <v>1088</v>
      </c>
      <c r="D220" s="37" t="s">
        <v>100</v>
      </c>
      <c r="E220" s="39" t="n">
        <v>21337</v>
      </c>
      <c r="F220" s="37" t="n">
        <f aca="true">IFERROR(DATEDIF(E220,TODAY(),"Y"),"")</f>
        <v>68</v>
      </c>
      <c r="G220" s="40" t="s">
        <v>1089</v>
      </c>
      <c r="H220" s="40" t="s">
        <v>1090</v>
      </c>
      <c r="I220" s="38"/>
      <c r="J220" s="38" t="s">
        <v>16</v>
      </c>
      <c r="K220" s="38" t="s">
        <v>1091</v>
      </c>
      <c r="L220" s="38" t="s">
        <v>55</v>
      </c>
      <c r="M220" s="37" t="s">
        <v>120</v>
      </c>
      <c r="N220" s="39" t="n">
        <v>32554</v>
      </c>
      <c r="O220" s="41" t="s">
        <v>23</v>
      </c>
      <c r="P220" s="41" t="s">
        <v>105</v>
      </c>
      <c r="Q220" s="42"/>
      <c r="R220" s="41"/>
      <c r="S220" s="42"/>
      <c r="T220" s="41"/>
    </row>
    <row r="221" customFormat="false" ht="13.5" hidden="false" customHeight="true" outlineLevel="0" collapsed="false">
      <c r="A221" s="37" t="n">
        <v>218</v>
      </c>
      <c r="B221" s="37" t="n">
        <v>1568</v>
      </c>
      <c r="C221" s="38" t="s">
        <v>1092</v>
      </c>
      <c r="D221" s="37" t="s">
        <v>100</v>
      </c>
      <c r="E221" s="39" t="n">
        <v>24509</v>
      </c>
      <c r="F221" s="37" t="n">
        <f aca="true">IFERROR(DATEDIF(E221,TODAY(),"Y"),"")</f>
        <v>59</v>
      </c>
      <c r="G221" s="40" t="s">
        <v>1093</v>
      </c>
      <c r="H221" s="40" t="s">
        <v>1094</v>
      </c>
      <c r="I221" s="38" t="s">
        <v>1095</v>
      </c>
      <c r="J221" s="38" t="s">
        <v>15</v>
      </c>
      <c r="K221" s="38" t="s">
        <v>1096</v>
      </c>
      <c r="L221" s="38" t="s">
        <v>53</v>
      </c>
      <c r="M221" s="37"/>
      <c r="N221" s="39" t="n">
        <v>32558</v>
      </c>
      <c r="O221" s="41" t="s">
        <v>23</v>
      </c>
      <c r="P221" s="41" t="s">
        <v>105</v>
      </c>
      <c r="Q221" s="42"/>
      <c r="R221" s="41"/>
      <c r="S221" s="42"/>
      <c r="T221" s="41"/>
    </row>
    <row r="222" customFormat="false" ht="13.5" hidden="false" customHeight="true" outlineLevel="0" collapsed="false">
      <c r="A222" s="37" t="n">
        <v>219</v>
      </c>
      <c r="B222" s="37" t="n">
        <v>1576</v>
      </c>
      <c r="C222" s="38" t="s">
        <v>1097</v>
      </c>
      <c r="D222" s="37" t="s">
        <v>100</v>
      </c>
      <c r="E222" s="39" t="n">
        <v>24617</v>
      </c>
      <c r="F222" s="37" t="n">
        <f aca="true">IFERROR(DATEDIF(E222,TODAY(),"Y"),"")</f>
        <v>59</v>
      </c>
      <c r="G222" s="40" t="s">
        <v>1098</v>
      </c>
      <c r="H222" s="40"/>
      <c r="I222" s="38" t="s">
        <v>1099</v>
      </c>
      <c r="J222" s="38" t="s">
        <v>15</v>
      </c>
      <c r="K222" s="38" t="s">
        <v>1100</v>
      </c>
      <c r="L222" s="38" t="s">
        <v>47</v>
      </c>
      <c r="M222" s="37" t="s">
        <v>177</v>
      </c>
      <c r="N222" s="39" t="n">
        <v>32567</v>
      </c>
      <c r="O222" s="41" t="s">
        <v>23</v>
      </c>
      <c r="P222" s="41" t="s">
        <v>105</v>
      </c>
      <c r="Q222" s="42"/>
      <c r="R222" s="41"/>
      <c r="S222" s="42"/>
      <c r="T222" s="41"/>
    </row>
    <row r="223" customFormat="false" ht="13.5" hidden="false" customHeight="true" outlineLevel="0" collapsed="false">
      <c r="A223" s="37" t="n">
        <v>220</v>
      </c>
      <c r="B223" s="37" t="n">
        <v>1577</v>
      </c>
      <c r="C223" s="38" t="s">
        <v>1101</v>
      </c>
      <c r="D223" s="37" t="s">
        <v>100</v>
      </c>
      <c r="E223" s="39" t="n">
        <v>20968</v>
      </c>
      <c r="F223" s="37" t="n">
        <f aca="true">IFERROR(DATEDIF(E223,TODAY(),"Y"),"")</f>
        <v>69</v>
      </c>
      <c r="G223" s="40" t="s">
        <v>1102</v>
      </c>
      <c r="H223" s="40"/>
      <c r="I223" s="38" t="s">
        <v>1103</v>
      </c>
      <c r="J223" s="38" t="s">
        <v>22</v>
      </c>
      <c r="K223" s="38" t="s">
        <v>1104</v>
      </c>
      <c r="L223" s="38" t="s">
        <v>51</v>
      </c>
      <c r="M223" s="37" t="s">
        <v>177</v>
      </c>
      <c r="N223" s="39" t="n">
        <v>32559</v>
      </c>
      <c r="O223" s="41" t="s">
        <v>23</v>
      </c>
      <c r="P223" s="41" t="s">
        <v>105</v>
      </c>
      <c r="Q223" s="42"/>
      <c r="R223" s="41"/>
      <c r="S223" s="42"/>
      <c r="T223" s="41"/>
    </row>
    <row r="224" customFormat="false" ht="13.5" hidden="false" customHeight="true" outlineLevel="0" collapsed="false">
      <c r="A224" s="37" t="n">
        <v>221</v>
      </c>
      <c r="B224" s="37" t="n">
        <v>1586</v>
      </c>
      <c r="C224" s="38" t="s">
        <v>1105</v>
      </c>
      <c r="D224" s="37" t="s">
        <v>100</v>
      </c>
      <c r="E224" s="39" t="n">
        <v>22786</v>
      </c>
      <c r="F224" s="37" t="n">
        <f aca="true">IFERROR(DATEDIF(E224,TODAY(),"Y"),"")</f>
        <v>64</v>
      </c>
      <c r="G224" s="40" t="s">
        <v>1106</v>
      </c>
      <c r="H224" s="40" t="s">
        <v>1107</v>
      </c>
      <c r="I224" s="38" t="s">
        <v>1108</v>
      </c>
      <c r="J224" s="38" t="s">
        <v>16</v>
      </c>
      <c r="K224" s="38" t="s">
        <v>1109</v>
      </c>
      <c r="L224" s="38" t="s">
        <v>52</v>
      </c>
      <c r="M224" s="37"/>
      <c r="N224" s="39" t="n">
        <v>38520</v>
      </c>
      <c r="O224" s="41" t="s">
        <v>23</v>
      </c>
      <c r="P224" s="41" t="s">
        <v>105</v>
      </c>
      <c r="Q224" s="42"/>
      <c r="R224" s="41"/>
      <c r="S224" s="42"/>
      <c r="T224" s="41"/>
    </row>
    <row r="225" customFormat="false" ht="13.5" hidden="false" customHeight="true" outlineLevel="0" collapsed="false">
      <c r="A225" s="37" t="n">
        <v>222</v>
      </c>
      <c r="B225" s="37" t="n">
        <v>1588</v>
      </c>
      <c r="C225" s="38" t="s">
        <v>1110</v>
      </c>
      <c r="D225" s="37" t="s">
        <v>100</v>
      </c>
      <c r="E225" s="39" t="n">
        <v>20898</v>
      </c>
      <c r="F225" s="37" t="n">
        <f aca="true">IFERROR(DATEDIF(E225,TODAY(),"Y"),"")</f>
        <v>69</v>
      </c>
      <c r="G225" s="40" t="s">
        <v>1111</v>
      </c>
      <c r="H225" s="40" t="s">
        <v>1112</v>
      </c>
      <c r="I225" s="38" t="s">
        <v>1113</v>
      </c>
      <c r="J225" s="38" t="s">
        <v>15</v>
      </c>
      <c r="K225" s="38" t="s">
        <v>1114</v>
      </c>
      <c r="L225" s="38" t="s">
        <v>48</v>
      </c>
      <c r="M225" s="37" t="s">
        <v>177</v>
      </c>
      <c r="N225" s="39" t="n">
        <v>38520</v>
      </c>
      <c r="O225" s="41" t="s">
        <v>23</v>
      </c>
      <c r="P225" s="41" t="s">
        <v>105</v>
      </c>
      <c r="Q225" s="42"/>
      <c r="R225" s="41"/>
      <c r="S225" s="42"/>
      <c r="T225" s="41"/>
    </row>
    <row r="226" customFormat="false" ht="13.5" hidden="false" customHeight="true" outlineLevel="0" collapsed="false">
      <c r="A226" s="37" t="n">
        <v>223</v>
      </c>
      <c r="B226" s="37" t="n">
        <v>1589</v>
      </c>
      <c r="C226" s="38" t="s">
        <v>1115</v>
      </c>
      <c r="D226" s="37" t="s">
        <v>100</v>
      </c>
      <c r="E226" s="39" t="n">
        <v>25629</v>
      </c>
      <c r="F226" s="37" t="n">
        <f aca="true">IFERROR(DATEDIF(E226,TODAY(),"Y"),"")</f>
        <v>56</v>
      </c>
      <c r="G226" s="40" t="s">
        <v>1116</v>
      </c>
      <c r="H226" s="40"/>
      <c r="I226" s="38" t="s">
        <v>1117</v>
      </c>
      <c r="J226" s="38" t="s">
        <v>15</v>
      </c>
      <c r="K226" s="38" t="s">
        <v>1118</v>
      </c>
      <c r="L226" s="38" t="s">
        <v>47</v>
      </c>
      <c r="M226" s="37"/>
      <c r="N226" s="39" t="n">
        <v>38520</v>
      </c>
      <c r="O226" s="41" t="s">
        <v>23</v>
      </c>
      <c r="P226" s="41" t="s">
        <v>105</v>
      </c>
      <c r="Q226" s="42"/>
      <c r="R226" s="41"/>
      <c r="S226" s="42"/>
      <c r="T226" s="41"/>
    </row>
    <row r="227" customFormat="false" ht="13.5" hidden="false" customHeight="true" outlineLevel="0" collapsed="false">
      <c r="A227" s="37" t="n">
        <v>224</v>
      </c>
      <c r="B227" s="37" t="n">
        <v>1590</v>
      </c>
      <c r="C227" s="38" t="s">
        <v>1119</v>
      </c>
      <c r="D227" s="37" t="s">
        <v>100</v>
      </c>
      <c r="E227" s="39" t="n">
        <v>26450</v>
      </c>
      <c r="F227" s="37" t="n">
        <f aca="true">IFERROR(DATEDIF(E227,TODAY(),"Y"),"")</f>
        <v>54</v>
      </c>
      <c r="G227" s="40" t="s">
        <v>1120</v>
      </c>
      <c r="H227" s="40" t="s">
        <v>1121</v>
      </c>
      <c r="I227" s="38" t="s">
        <v>1122</v>
      </c>
      <c r="J227" s="38" t="s">
        <v>15</v>
      </c>
      <c r="K227" s="38" t="s">
        <v>1123</v>
      </c>
      <c r="L227" s="38" t="s">
        <v>46</v>
      </c>
      <c r="M227" s="37" t="s">
        <v>104</v>
      </c>
      <c r="N227" s="39" t="n">
        <v>38520</v>
      </c>
      <c r="O227" s="41" t="s">
        <v>23</v>
      </c>
      <c r="P227" s="41" t="s">
        <v>105</v>
      </c>
      <c r="Q227" s="42"/>
      <c r="R227" s="41"/>
      <c r="S227" s="42"/>
      <c r="T227" s="41"/>
    </row>
    <row r="228" customFormat="false" ht="13.5" hidden="false" customHeight="true" outlineLevel="0" collapsed="false">
      <c r="A228" s="37" t="n">
        <v>225</v>
      </c>
      <c r="B228" s="37" t="n">
        <v>1594</v>
      </c>
      <c r="C228" s="38" t="s">
        <v>1124</v>
      </c>
      <c r="D228" s="37" t="s">
        <v>100</v>
      </c>
      <c r="E228" s="39" t="n">
        <v>22478</v>
      </c>
      <c r="F228" s="37" t="n">
        <f aca="true">IFERROR(DATEDIF(E228,TODAY(),"Y"),"")</f>
        <v>65</v>
      </c>
      <c r="G228" s="40" t="s">
        <v>1125</v>
      </c>
      <c r="H228" s="40" t="s">
        <v>1126</v>
      </c>
      <c r="I228" s="38"/>
      <c r="J228" s="38"/>
      <c r="K228" s="38" t="s">
        <v>1127</v>
      </c>
      <c r="L228" s="38" t="s">
        <v>48</v>
      </c>
      <c r="M228" s="37" t="s">
        <v>231</v>
      </c>
      <c r="N228" s="39" t="n">
        <v>38520</v>
      </c>
      <c r="O228" s="41" t="s">
        <v>23</v>
      </c>
      <c r="P228" s="41" t="s">
        <v>105</v>
      </c>
      <c r="Q228" s="42"/>
      <c r="R228" s="41"/>
      <c r="S228" s="42"/>
      <c r="T228" s="41"/>
    </row>
    <row r="229" customFormat="false" ht="13.5" hidden="false" customHeight="true" outlineLevel="0" collapsed="false">
      <c r="A229" s="37" t="n">
        <v>226</v>
      </c>
      <c r="B229" s="37" t="n">
        <v>1596</v>
      </c>
      <c r="C229" s="38" t="s">
        <v>1128</v>
      </c>
      <c r="D229" s="37" t="s">
        <v>100</v>
      </c>
      <c r="E229" s="39" t="n">
        <v>23098</v>
      </c>
      <c r="F229" s="37" t="n">
        <f aca="true">IFERROR(DATEDIF(E229,TODAY(),"Y"),"")</f>
        <v>63</v>
      </c>
      <c r="G229" s="40" t="s">
        <v>1129</v>
      </c>
      <c r="H229" s="40"/>
      <c r="I229" s="38" t="s">
        <v>1130</v>
      </c>
      <c r="J229" s="38"/>
      <c r="K229" s="38" t="s">
        <v>1131</v>
      </c>
      <c r="L229" s="38" t="s">
        <v>47</v>
      </c>
      <c r="M229" s="37"/>
      <c r="N229" s="39" t="n">
        <v>38520</v>
      </c>
      <c r="O229" s="41" t="s">
        <v>23</v>
      </c>
      <c r="P229" s="41" t="s">
        <v>105</v>
      </c>
      <c r="Q229" s="42"/>
      <c r="R229" s="41"/>
      <c r="S229" s="42"/>
      <c r="T229" s="41"/>
    </row>
    <row r="230" customFormat="false" ht="13.5" hidden="false" customHeight="true" outlineLevel="0" collapsed="false">
      <c r="A230" s="37" t="n">
        <v>227</v>
      </c>
      <c r="B230" s="37" t="n">
        <v>1597</v>
      </c>
      <c r="C230" s="38" t="s">
        <v>1132</v>
      </c>
      <c r="D230" s="37" t="s">
        <v>100</v>
      </c>
      <c r="E230" s="39" t="n">
        <v>26103</v>
      </c>
      <c r="F230" s="37" t="n">
        <f aca="true">IFERROR(DATEDIF(E230,TODAY(),"Y"),"")</f>
        <v>55</v>
      </c>
      <c r="G230" s="40" t="s">
        <v>1133</v>
      </c>
      <c r="H230" s="40"/>
      <c r="I230" s="38" t="s">
        <v>1134</v>
      </c>
      <c r="J230" s="38" t="s">
        <v>16</v>
      </c>
      <c r="K230" s="38" t="s">
        <v>1135</v>
      </c>
      <c r="L230" s="38" t="s">
        <v>53</v>
      </c>
      <c r="M230" s="37"/>
      <c r="N230" s="39" t="n">
        <v>38520</v>
      </c>
      <c r="O230" s="41" t="s">
        <v>23</v>
      </c>
      <c r="P230" s="41" t="s">
        <v>105</v>
      </c>
      <c r="Q230" s="42"/>
      <c r="R230" s="41"/>
      <c r="S230" s="42"/>
      <c r="T230" s="41"/>
    </row>
    <row r="231" customFormat="false" ht="13.5" hidden="false" customHeight="true" outlineLevel="0" collapsed="false">
      <c r="A231" s="37" t="n">
        <v>228</v>
      </c>
      <c r="B231" s="37" t="n">
        <v>1603</v>
      </c>
      <c r="C231" s="38" t="s">
        <v>1136</v>
      </c>
      <c r="D231" s="37" t="s">
        <v>100</v>
      </c>
      <c r="E231" s="39" t="n">
        <v>23853</v>
      </c>
      <c r="F231" s="37" t="n">
        <f aca="true">IFERROR(DATEDIF(E231,TODAY(),"Y"),"")</f>
        <v>61</v>
      </c>
      <c r="G231" s="40" t="s">
        <v>1137</v>
      </c>
      <c r="H231" s="40" t="s">
        <v>1138</v>
      </c>
      <c r="I231" s="38" t="s">
        <v>1139</v>
      </c>
      <c r="J231" s="38" t="s">
        <v>16</v>
      </c>
      <c r="K231" s="38" t="s">
        <v>1140</v>
      </c>
      <c r="L231" s="38" t="s">
        <v>43</v>
      </c>
      <c r="M231" s="37"/>
      <c r="N231" s="39" t="n">
        <v>38520</v>
      </c>
      <c r="O231" s="41" t="s">
        <v>23</v>
      </c>
      <c r="P231" s="41" t="s">
        <v>105</v>
      </c>
      <c r="Q231" s="42"/>
      <c r="R231" s="41"/>
      <c r="S231" s="42"/>
      <c r="T231" s="41"/>
    </row>
    <row r="232" customFormat="false" ht="13.5" hidden="false" customHeight="true" outlineLevel="0" collapsed="false">
      <c r="A232" s="37" t="n">
        <v>229</v>
      </c>
      <c r="B232" s="37" t="n">
        <v>1606</v>
      </c>
      <c r="C232" s="38" t="s">
        <v>1141</v>
      </c>
      <c r="D232" s="37" t="s">
        <v>100</v>
      </c>
      <c r="E232" s="39" t="n">
        <v>29007</v>
      </c>
      <c r="F232" s="37" t="n">
        <f aca="true">IFERROR(DATEDIF(E232,TODAY(),"Y"),"")</f>
        <v>47</v>
      </c>
      <c r="G232" s="40" t="s">
        <v>1142</v>
      </c>
      <c r="H232" s="40" t="s">
        <v>1143</v>
      </c>
      <c r="I232" s="38" t="s">
        <v>1144</v>
      </c>
      <c r="J232" s="38"/>
      <c r="K232" s="38" t="s">
        <v>1145</v>
      </c>
      <c r="L232" s="38" t="s">
        <v>53</v>
      </c>
      <c r="M232" s="37"/>
      <c r="N232" s="39" t="n">
        <v>38520</v>
      </c>
      <c r="O232" s="41" t="s">
        <v>23</v>
      </c>
      <c r="P232" s="41" t="s">
        <v>105</v>
      </c>
      <c r="Q232" s="42"/>
      <c r="R232" s="41"/>
      <c r="S232" s="42"/>
      <c r="T232" s="41"/>
    </row>
    <row r="233" customFormat="false" ht="13.5" hidden="false" customHeight="true" outlineLevel="0" collapsed="false">
      <c r="A233" s="37" t="n">
        <v>230</v>
      </c>
      <c r="B233" s="37" t="n">
        <v>1607</v>
      </c>
      <c r="C233" s="38" t="s">
        <v>1146</v>
      </c>
      <c r="D233" s="37" t="s">
        <v>100</v>
      </c>
      <c r="E233" s="39" t="n">
        <v>23238</v>
      </c>
      <c r="F233" s="37" t="n">
        <f aca="true">IFERROR(DATEDIF(E233,TODAY(),"Y"),"")</f>
        <v>62</v>
      </c>
      <c r="G233" s="40" t="s">
        <v>1147</v>
      </c>
      <c r="H233" s="40" t="s">
        <v>1148</v>
      </c>
      <c r="I233" s="38" t="s">
        <v>1149</v>
      </c>
      <c r="J233" s="38" t="s">
        <v>15</v>
      </c>
      <c r="K233" s="38" t="s">
        <v>1150</v>
      </c>
      <c r="L233" s="38" t="s">
        <v>47</v>
      </c>
      <c r="M233" s="37"/>
      <c r="N233" s="39" t="n">
        <v>38520</v>
      </c>
      <c r="O233" s="41" t="s">
        <v>23</v>
      </c>
      <c r="P233" s="41" t="s">
        <v>105</v>
      </c>
      <c r="Q233" s="42"/>
      <c r="R233" s="41"/>
      <c r="S233" s="42"/>
      <c r="T233" s="41"/>
    </row>
    <row r="234" customFormat="false" ht="13.5" hidden="false" customHeight="true" outlineLevel="0" collapsed="false">
      <c r="A234" s="37" t="n">
        <v>231</v>
      </c>
      <c r="B234" s="37" t="n">
        <v>1612</v>
      </c>
      <c r="C234" s="38" t="s">
        <v>1151</v>
      </c>
      <c r="D234" s="37" t="s">
        <v>100</v>
      </c>
      <c r="E234" s="39" t="n">
        <v>24498</v>
      </c>
      <c r="F234" s="37" t="n">
        <f aca="true">IFERROR(DATEDIF(E234,TODAY(),"Y"),"")</f>
        <v>59</v>
      </c>
      <c r="G234" s="40" t="s">
        <v>1152</v>
      </c>
      <c r="H234" s="40" t="s">
        <v>1153</v>
      </c>
      <c r="I234" s="38" t="s">
        <v>1154</v>
      </c>
      <c r="J234" s="38"/>
      <c r="K234" s="38" t="s">
        <v>1155</v>
      </c>
      <c r="L234" s="38" t="s">
        <v>50</v>
      </c>
      <c r="M234" s="37"/>
      <c r="N234" s="39" t="n">
        <v>38520</v>
      </c>
      <c r="O234" s="41" t="s">
        <v>23</v>
      </c>
      <c r="P234" s="41" t="s">
        <v>105</v>
      </c>
      <c r="Q234" s="42"/>
      <c r="R234" s="41"/>
      <c r="S234" s="42"/>
      <c r="T234" s="41"/>
    </row>
    <row r="235" customFormat="false" ht="13.5" hidden="false" customHeight="true" outlineLevel="0" collapsed="false">
      <c r="A235" s="37" t="n">
        <v>232</v>
      </c>
      <c r="B235" s="37" t="n">
        <v>1615</v>
      </c>
      <c r="C235" s="38" t="s">
        <v>1156</v>
      </c>
      <c r="D235" s="37" t="s">
        <v>100</v>
      </c>
      <c r="E235" s="39" t="n">
        <v>20285</v>
      </c>
      <c r="F235" s="37" t="n">
        <f aca="true">IFERROR(DATEDIF(E235,TODAY(),"Y"),"")</f>
        <v>71</v>
      </c>
      <c r="G235" s="40" t="s">
        <v>1157</v>
      </c>
      <c r="H235" s="40" t="s">
        <v>1158</v>
      </c>
      <c r="I235" s="38" t="s">
        <v>1159</v>
      </c>
      <c r="J235" s="38" t="s">
        <v>15</v>
      </c>
      <c r="K235" s="38" t="s">
        <v>1160</v>
      </c>
      <c r="L235" s="38" t="s">
        <v>51</v>
      </c>
      <c r="M235" s="37" t="s">
        <v>120</v>
      </c>
      <c r="N235" s="39" t="n">
        <v>38520</v>
      </c>
      <c r="O235" s="41" t="s">
        <v>23</v>
      </c>
      <c r="P235" s="41" t="s">
        <v>105</v>
      </c>
      <c r="Q235" s="42"/>
      <c r="R235" s="41"/>
      <c r="S235" s="42"/>
      <c r="T235" s="41"/>
    </row>
    <row r="236" customFormat="false" ht="13.5" hidden="false" customHeight="true" outlineLevel="0" collapsed="false">
      <c r="A236" s="37" t="n">
        <v>233</v>
      </c>
      <c r="B236" s="37" t="n">
        <v>1619</v>
      </c>
      <c r="C236" s="38" t="s">
        <v>1161</v>
      </c>
      <c r="D236" s="37" t="s">
        <v>100</v>
      </c>
      <c r="E236" s="39" t="n">
        <v>25353</v>
      </c>
      <c r="F236" s="37" t="n">
        <f aca="true">IFERROR(DATEDIF(E236,TODAY(),"Y"),"")</f>
        <v>57</v>
      </c>
      <c r="G236" s="40" t="s">
        <v>1162</v>
      </c>
      <c r="H236" s="40"/>
      <c r="I236" s="38" t="s">
        <v>1163</v>
      </c>
      <c r="J236" s="38"/>
      <c r="K236" s="38" t="s">
        <v>1164</v>
      </c>
      <c r="L236" s="38" t="s">
        <v>51</v>
      </c>
      <c r="M236" s="37" t="s">
        <v>104</v>
      </c>
      <c r="N236" s="39" t="n">
        <v>38520</v>
      </c>
      <c r="O236" s="41" t="s">
        <v>23</v>
      </c>
      <c r="P236" s="41" t="s">
        <v>105</v>
      </c>
      <c r="Q236" s="42"/>
      <c r="R236" s="41"/>
      <c r="S236" s="42"/>
      <c r="T236" s="41"/>
    </row>
    <row r="237" customFormat="false" ht="13.5" hidden="false" customHeight="true" outlineLevel="0" collapsed="false">
      <c r="A237" s="37" t="n">
        <v>234</v>
      </c>
      <c r="B237" s="37" t="n">
        <v>1620</v>
      </c>
      <c r="C237" s="38" t="s">
        <v>1165</v>
      </c>
      <c r="D237" s="37" t="s">
        <v>100</v>
      </c>
      <c r="E237" s="39" t="n">
        <v>22787</v>
      </c>
      <c r="F237" s="37" t="n">
        <f aca="true">IFERROR(DATEDIF(E237,TODAY(),"Y"),"")</f>
        <v>64</v>
      </c>
      <c r="G237" s="40" t="s">
        <v>1166</v>
      </c>
      <c r="H237" s="40"/>
      <c r="I237" s="38" t="s">
        <v>1167</v>
      </c>
      <c r="J237" s="38" t="s">
        <v>15</v>
      </c>
      <c r="K237" s="38" t="s">
        <v>1168</v>
      </c>
      <c r="L237" s="38" t="s">
        <v>54</v>
      </c>
      <c r="M237" s="37"/>
      <c r="N237" s="39" t="n">
        <v>38520</v>
      </c>
      <c r="O237" s="41" t="s">
        <v>23</v>
      </c>
      <c r="P237" s="41" t="s">
        <v>105</v>
      </c>
      <c r="Q237" s="42"/>
      <c r="R237" s="41"/>
      <c r="S237" s="42"/>
      <c r="T237" s="41"/>
    </row>
    <row r="238" customFormat="false" ht="13.5" hidden="false" customHeight="true" outlineLevel="0" collapsed="false">
      <c r="A238" s="37" t="n">
        <v>235</v>
      </c>
      <c r="B238" s="37" t="n">
        <v>1623</v>
      </c>
      <c r="C238" s="38" t="s">
        <v>1169</v>
      </c>
      <c r="D238" s="37" t="s">
        <v>100</v>
      </c>
      <c r="E238" s="39" t="n">
        <v>20423</v>
      </c>
      <c r="F238" s="37" t="n">
        <f aca="true">IFERROR(DATEDIF(E238,TODAY(),"Y"),"")</f>
        <v>70</v>
      </c>
      <c r="G238" s="40" t="s">
        <v>1170</v>
      </c>
      <c r="H238" s="40" t="s">
        <v>1171</v>
      </c>
      <c r="I238" s="38" t="s">
        <v>1172</v>
      </c>
      <c r="J238" s="38" t="s">
        <v>15</v>
      </c>
      <c r="K238" s="38" t="s">
        <v>1173</v>
      </c>
      <c r="L238" s="38" t="s">
        <v>48</v>
      </c>
      <c r="M238" s="37" t="s">
        <v>120</v>
      </c>
      <c r="N238" s="39" t="n">
        <v>38520</v>
      </c>
      <c r="O238" s="41" t="s">
        <v>23</v>
      </c>
      <c r="P238" s="41" t="s">
        <v>105</v>
      </c>
      <c r="Q238" s="42"/>
      <c r="R238" s="41"/>
      <c r="S238" s="42"/>
      <c r="T238" s="41"/>
    </row>
    <row r="239" customFormat="false" ht="13.5" hidden="false" customHeight="true" outlineLevel="0" collapsed="false">
      <c r="A239" s="37" t="n">
        <v>236</v>
      </c>
      <c r="B239" s="37" t="n">
        <v>1626</v>
      </c>
      <c r="C239" s="38" t="s">
        <v>1174</v>
      </c>
      <c r="D239" s="37" t="s">
        <v>100</v>
      </c>
      <c r="E239" s="39" t="n">
        <v>24643</v>
      </c>
      <c r="F239" s="37" t="n">
        <f aca="true">IFERROR(DATEDIF(E239,TODAY(),"Y"),"")</f>
        <v>59</v>
      </c>
      <c r="G239" s="40" t="s">
        <v>1175</v>
      </c>
      <c r="H239" s="40" t="s">
        <v>1176</v>
      </c>
      <c r="I239" s="38" t="s">
        <v>1177</v>
      </c>
      <c r="J239" s="38"/>
      <c r="K239" s="38" t="s">
        <v>1178</v>
      </c>
      <c r="L239" s="38" t="s">
        <v>46</v>
      </c>
      <c r="M239" s="37"/>
      <c r="N239" s="39" t="n">
        <v>38520</v>
      </c>
      <c r="O239" s="41" t="s">
        <v>23</v>
      </c>
      <c r="P239" s="41" t="s">
        <v>105</v>
      </c>
      <c r="Q239" s="42"/>
      <c r="R239" s="41"/>
      <c r="S239" s="42"/>
      <c r="T239" s="41"/>
    </row>
    <row r="240" customFormat="false" ht="13.5" hidden="false" customHeight="true" outlineLevel="0" collapsed="false">
      <c r="A240" s="37" t="n">
        <v>237</v>
      </c>
      <c r="B240" s="37" t="n">
        <v>1629</v>
      </c>
      <c r="C240" s="38" t="s">
        <v>1179</v>
      </c>
      <c r="D240" s="37" t="s">
        <v>100</v>
      </c>
      <c r="E240" s="39" t="n">
        <v>25903</v>
      </c>
      <c r="F240" s="37" t="n">
        <f aca="true">IFERROR(DATEDIF(E240,TODAY(),"Y"),"")</f>
        <v>55</v>
      </c>
      <c r="G240" s="40" t="s">
        <v>1180</v>
      </c>
      <c r="H240" s="40" t="s">
        <v>1181</v>
      </c>
      <c r="I240" s="38" t="s">
        <v>1182</v>
      </c>
      <c r="J240" s="38"/>
      <c r="K240" s="38" t="s">
        <v>1183</v>
      </c>
      <c r="L240" s="38" t="s">
        <v>44</v>
      </c>
      <c r="M240" s="37" t="s">
        <v>104</v>
      </c>
      <c r="N240" s="39" t="n">
        <v>38520</v>
      </c>
      <c r="O240" s="41" t="s">
        <v>23</v>
      </c>
      <c r="P240" s="41" t="s">
        <v>105</v>
      </c>
      <c r="Q240" s="42"/>
      <c r="R240" s="41"/>
      <c r="S240" s="42"/>
      <c r="T240" s="41"/>
    </row>
    <row r="241" customFormat="false" ht="13.5" hidden="false" customHeight="true" outlineLevel="0" collapsed="false">
      <c r="A241" s="37" t="n">
        <v>238</v>
      </c>
      <c r="B241" s="37" t="n">
        <v>1633</v>
      </c>
      <c r="C241" s="38" t="s">
        <v>1184</v>
      </c>
      <c r="D241" s="37" t="s">
        <v>100</v>
      </c>
      <c r="E241" s="39" t="n">
        <v>22132</v>
      </c>
      <c r="F241" s="37" t="n">
        <f aca="true">IFERROR(DATEDIF(E241,TODAY(),"Y"),"")</f>
        <v>66</v>
      </c>
      <c r="G241" s="40" t="s">
        <v>1185</v>
      </c>
      <c r="H241" s="40" t="s">
        <v>1186</v>
      </c>
      <c r="I241" s="38" t="s">
        <v>1187</v>
      </c>
      <c r="J241" s="38"/>
      <c r="K241" s="38" t="s">
        <v>1188</v>
      </c>
      <c r="L241" s="38" t="s">
        <v>54</v>
      </c>
      <c r="M241" s="37"/>
      <c r="N241" s="39" t="n">
        <v>38520</v>
      </c>
      <c r="O241" s="41" t="s">
        <v>23</v>
      </c>
      <c r="P241" s="41" t="s">
        <v>105</v>
      </c>
      <c r="Q241" s="42"/>
      <c r="R241" s="41"/>
      <c r="S241" s="42"/>
      <c r="T241" s="41"/>
    </row>
    <row r="242" customFormat="false" ht="13.5" hidden="false" customHeight="true" outlineLevel="0" collapsed="false">
      <c r="A242" s="37" t="n">
        <v>239</v>
      </c>
      <c r="B242" s="37" t="n">
        <v>1637</v>
      </c>
      <c r="C242" s="38" t="s">
        <v>1189</v>
      </c>
      <c r="D242" s="37" t="s">
        <v>100</v>
      </c>
      <c r="E242" s="39" t="n">
        <v>26604</v>
      </c>
      <c r="F242" s="37" t="n">
        <f aca="true">IFERROR(DATEDIF(E242,TODAY(),"Y"),"")</f>
        <v>53</v>
      </c>
      <c r="G242" s="40" t="s">
        <v>1190</v>
      </c>
      <c r="H242" s="40"/>
      <c r="I242" s="38" t="s">
        <v>1191</v>
      </c>
      <c r="J242" s="38" t="s">
        <v>16</v>
      </c>
      <c r="K242" s="38" t="s">
        <v>1192</v>
      </c>
      <c r="L242" s="38" t="s">
        <v>53</v>
      </c>
      <c r="M242" s="37"/>
      <c r="N242" s="39" t="n">
        <v>38520</v>
      </c>
      <c r="O242" s="41" t="s">
        <v>23</v>
      </c>
      <c r="P242" s="41" t="s">
        <v>105</v>
      </c>
      <c r="Q242" s="42"/>
      <c r="R242" s="41"/>
      <c r="S242" s="42"/>
      <c r="T242" s="41"/>
    </row>
    <row r="243" customFormat="false" ht="13.5" hidden="false" customHeight="true" outlineLevel="0" collapsed="false">
      <c r="A243" s="37" t="n">
        <v>240</v>
      </c>
      <c r="B243" s="37" t="n">
        <v>1638</v>
      </c>
      <c r="C243" s="38" t="s">
        <v>1193</v>
      </c>
      <c r="D243" s="37" t="s">
        <v>100</v>
      </c>
      <c r="E243" s="39" t="n">
        <v>26084</v>
      </c>
      <c r="F243" s="37" t="n">
        <f aca="true">IFERROR(DATEDIF(E243,TODAY(),"Y"),"")</f>
        <v>55</v>
      </c>
      <c r="G243" s="40" t="s">
        <v>1194</v>
      </c>
      <c r="H243" s="40"/>
      <c r="I243" s="38" t="s">
        <v>1195</v>
      </c>
      <c r="J243" s="38" t="s">
        <v>15</v>
      </c>
      <c r="K243" s="38" t="s">
        <v>1196</v>
      </c>
      <c r="L243" s="38" t="s">
        <v>54</v>
      </c>
      <c r="M243" s="37"/>
      <c r="N243" s="39" t="n">
        <v>38520</v>
      </c>
      <c r="O243" s="41" t="s">
        <v>23</v>
      </c>
      <c r="P243" s="41" t="s">
        <v>105</v>
      </c>
      <c r="Q243" s="42"/>
      <c r="R243" s="41"/>
      <c r="S243" s="42"/>
      <c r="T243" s="41"/>
    </row>
    <row r="244" customFormat="false" ht="13.5" hidden="false" customHeight="true" outlineLevel="0" collapsed="false">
      <c r="A244" s="37" t="n">
        <v>241</v>
      </c>
      <c r="B244" s="37" t="n">
        <v>1639</v>
      </c>
      <c r="C244" s="38" t="s">
        <v>1197</v>
      </c>
      <c r="D244" s="37" t="s">
        <v>100</v>
      </c>
      <c r="E244" s="39" t="n">
        <v>23102</v>
      </c>
      <c r="F244" s="37" t="n">
        <f aca="true">IFERROR(DATEDIF(E244,TODAY(),"Y"),"")</f>
        <v>63</v>
      </c>
      <c r="G244" s="40" t="s">
        <v>1198</v>
      </c>
      <c r="H244" s="40"/>
      <c r="I244" s="38"/>
      <c r="J244" s="38" t="s">
        <v>16</v>
      </c>
      <c r="K244" s="38" t="s">
        <v>1199</v>
      </c>
      <c r="L244" s="38" t="s">
        <v>55</v>
      </c>
      <c r="M244" s="37"/>
      <c r="N244" s="39" t="n">
        <v>38520</v>
      </c>
      <c r="O244" s="41" t="s">
        <v>23</v>
      </c>
      <c r="P244" s="41" t="s">
        <v>105</v>
      </c>
      <c r="Q244" s="42"/>
      <c r="R244" s="41"/>
      <c r="S244" s="42"/>
      <c r="T244" s="41"/>
    </row>
    <row r="245" customFormat="false" ht="13.5" hidden="false" customHeight="true" outlineLevel="0" collapsed="false">
      <c r="A245" s="37" t="n">
        <v>242</v>
      </c>
      <c r="B245" s="37" t="n">
        <v>1640</v>
      </c>
      <c r="C245" s="38" t="s">
        <v>1200</v>
      </c>
      <c r="D245" s="37" t="s">
        <v>100</v>
      </c>
      <c r="E245" s="39" t="n">
        <v>21777</v>
      </c>
      <c r="F245" s="37" t="n">
        <f aca="true">IFERROR(DATEDIF(E245,TODAY(),"Y"),"")</f>
        <v>66</v>
      </c>
      <c r="G245" s="40" t="s">
        <v>1201</v>
      </c>
      <c r="H245" s="40"/>
      <c r="I245" s="38" t="s">
        <v>1202</v>
      </c>
      <c r="J245" s="38" t="s">
        <v>15</v>
      </c>
      <c r="K245" s="38" t="s">
        <v>1203</v>
      </c>
      <c r="L245" s="38" t="s">
        <v>55</v>
      </c>
      <c r="M245" s="37" t="s">
        <v>120</v>
      </c>
      <c r="N245" s="39" t="n">
        <v>38520</v>
      </c>
      <c r="O245" s="41" t="s">
        <v>23</v>
      </c>
      <c r="P245" s="41" t="s">
        <v>105</v>
      </c>
      <c r="Q245" s="42"/>
      <c r="R245" s="41"/>
      <c r="S245" s="42"/>
      <c r="T245" s="41"/>
    </row>
    <row r="246" customFormat="false" ht="13.5" hidden="false" customHeight="true" outlineLevel="0" collapsed="false">
      <c r="A246" s="37" t="n">
        <v>243</v>
      </c>
      <c r="B246" s="37" t="n">
        <v>1641</v>
      </c>
      <c r="C246" s="38" t="s">
        <v>1204</v>
      </c>
      <c r="D246" s="37" t="s">
        <v>100</v>
      </c>
      <c r="E246" s="39" t="n">
        <v>20871</v>
      </c>
      <c r="F246" s="37" t="n">
        <f aca="true">IFERROR(DATEDIF(E246,TODAY(),"Y"),"")</f>
        <v>69</v>
      </c>
      <c r="G246" s="40" t="s">
        <v>1205</v>
      </c>
      <c r="H246" s="40"/>
      <c r="I246" s="38" t="s">
        <v>1206</v>
      </c>
      <c r="J246" s="38"/>
      <c r="K246" s="38" t="s">
        <v>1207</v>
      </c>
      <c r="L246" s="38" t="s">
        <v>47</v>
      </c>
      <c r="M246" s="37"/>
      <c r="N246" s="39" t="n">
        <v>38520</v>
      </c>
      <c r="O246" s="41" t="s">
        <v>23</v>
      </c>
      <c r="P246" s="41" t="s">
        <v>105</v>
      </c>
      <c r="Q246" s="42"/>
      <c r="R246" s="41"/>
      <c r="S246" s="42"/>
      <c r="T246" s="41"/>
    </row>
    <row r="247" customFormat="false" ht="13.5" hidden="false" customHeight="true" outlineLevel="0" collapsed="false">
      <c r="A247" s="37" t="n">
        <v>244</v>
      </c>
      <c r="B247" s="37" t="n">
        <v>1643</v>
      </c>
      <c r="C247" s="38" t="s">
        <v>1208</v>
      </c>
      <c r="D247" s="37" t="s">
        <v>100</v>
      </c>
      <c r="E247" s="39" t="n">
        <v>25328</v>
      </c>
      <c r="F247" s="37" t="n">
        <f aca="true">IFERROR(DATEDIF(E247,TODAY(),"Y"),"")</f>
        <v>57</v>
      </c>
      <c r="G247" s="40" t="s">
        <v>1209</v>
      </c>
      <c r="H247" s="40" t="s">
        <v>1210</v>
      </c>
      <c r="I247" s="38" t="s">
        <v>1211</v>
      </c>
      <c r="J247" s="38" t="s">
        <v>16</v>
      </c>
      <c r="K247" s="38" t="s">
        <v>1212</v>
      </c>
      <c r="L247" s="38" t="s">
        <v>55</v>
      </c>
      <c r="M247" s="37" t="s">
        <v>104</v>
      </c>
      <c r="N247" s="39" t="n">
        <v>38520</v>
      </c>
      <c r="O247" s="41" t="s">
        <v>23</v>
      </c>
      <c r="P247" s="41" t="s">
        <v>105</v>
      </c>
      <c r="Q247" s="42"/>
      <c r="R247" s="41"/>
      <c r="S247" s="42"/>
      <c r="T247" s="41"/>
    </row>
    <row r="248" customFormat="false" ht="13.5" hidden="false" customHeight="true" outlineLevel="0" collapsed="false">
      <c r="A248" s="37" t="n">
        <v>245</v>
      </c>
      <c r="B248" s="37" t="n">
        <v>1647</v>
      </c>
      <c r="C248" s="38" t="s">
        <v>1213</v>
      </c>
      <c r="D248" s="37" t="s">
        <v>100</v>
      </c>
      <c r="E248" s="39" t="n">
        <v>25969</v>
      </c>
      <c r="F248" s="37" t="n">
        <f aca="true">IFERROR(DATEDIF(E248,TODAY(),"Y"),"")</f>
        <v>55</v>
      </c>
      <c r="G248" s="40" t="s">
        <v>1214</v>
      </c>
      <c r="H248" s="40" t="s">
        <v>1215</v>
      </c>
      <c r="I248" s="38"/>
      <c r="J248" s="38" t="s">
        <v>15</v>
      </c>
      <c r="K248" s="38" t="s">
        <v>1216</v>
      </c>
      <c r="L248" s="38" t="s">
        <v>47</v>
      </c>
      <c r="M248" s="37" t="s">
        <v>120</v>
      </c>
      <c r="N248" s="39" t="n">
        <v>38520</v>
      </c>
      <c r="O248" s="41" t="s">
        <v>23</v>
      </c>
      <c r="P248" s="41" t="s">
        <v>105</v>
      </c>
      <c r="Q248" s="42"/>
      <c r="R248" s="41"/>
      <c r="S248" s="42"/>
      <c r="T248" s="41"/>
    </row>
    <row r="249" customFormat="false" ht="13.5" hidden="false" customHeight="true" outlineLevel="0" collapsed="false">
      <c r="A249" s="37" t="n">
        <v>246</v>
      </c>
      <c r="B249" s="37" t="n">
        <v>1648</v>
      </c>
      <c r="C249" s="38" t="s">
        <v>1217</v>
      </c>
      <c r="D249" s="37" t="s">
        <v>100</v>
      </c>
      <c r="E249" s="39" t="n">
        <v>22061</v>
      </c>
      <c r="F249" s="37" t="n">
        <f aca="true">IFERROR(DATEDIF(E249,TODAY(),"Y"),"")</f>
        <v>66</v>
      </c>
      <c r="G249" s="40" t="s">
        <v>1218</v>
      </c>
      <c r="H249" s="40" t="s">
        <v>1219</v>
      </c>
      <c r="I249" s="38" t="s">
        <v>1220</v>
      </c>
      <c r="J249" s="38" t="s">
        <v>16</v>
      </c>
      <c r="K249" s="38" t="s">
        <v>1221</v>
      </c>
      <c r="L249" s="38" t="s">
        <v>55</v>
      </c>
      <c r="M249" s="37"/>
      <c r="N249" s="39" t="n">
        <v>38520</v>
      </c>
      <c r="O249" s="41" t="s">
        <v>23</v>
      </c>
      <c r="P249" s="41" t="s">
        <v>105</v>
      </c>
      <c r="Q249" s="42"/>
      <c r="R249" s="41"/>
      <c r="S249" s="42"/>
      <c r="T249" s="41"/>
    </row>
    <row r="250" customFormat="false" ht="13.5" hidden="false" customHeight="true" outlineLevel="0" collapsed="false">
      <c r="A250" s="37" t="n">
        <v>247</v>
      </c>
      <c r="B250" s="37" t="n">
        <v>1653</v>
      </c>
      <c r="C250" s="38" t="s">
        <v>1222</v>
      </c>
      <c r="D250" s="37" t="s">
        <v>100</v>
      </c>
      <c r="E250" s="39" t="n">
        <v>24907</v>
      </c>
      <c r="F250" s="37" t="n">
        <f aca="true">IFERROR(DATEDIF(E250,TODAY(),"Y"),"")</f>
        <v>58</v>
      </c>
      <c r="G250" s="40" t="s">
        <v>1223</v>
      </c>
      <c r="H250" s="40" t="s">
        <v>1224</v>
      </c>
      <c r="I250" s="38" t="s">
        <v>1225</v>
      </c>
      <c r="J250" s="38"/>
      <c r="K250" s="38" t="s">
        <v>1226</v>
      </c>
      <c r="L250" s="38" t="s">
        <v>47</v>
      </c>
      <c r="M250" s="37"/>
      <c r="N250" s="39" t="n">
        <v>38520</v>
      </c>
      <c r="O250" s="41" t="s">
        <v>23</v>
      </c>
      <c r="P250" s="41" t="s">
        <v>105</v>
      </c>
      <c r="Q250" s="42"/>
      <c r="R250" s="41"/>
      <c r="S250" s="42"/>
      <c r="T250" s="41"/>
    </row>
    <row r="251" customFormat="false" ht="13.5" hidden="false" customHeight="true" outlineLevel="0" collapsed="false">
      <c r="A251" s="37" t="n">
        <v>248</v>
      </c>
      <c r="B251" s="37" t="n">
        <v>1655</v>
      </c>
      <c r="C251" s="38" t="s">
        <v>1227</v>
      </c>
      <c r="D251" s="37" t="s">
        <v>100</v>
      </c>
      <c r="E251" s="39" t="n">
        <v>26069</v>
      </c>
      <c r="F251" s="37" t="n">
        <f aca="true">IFERROR(DATEDIF(E251,TODAY(),"Y"),"")</f>
        <v>55</v>
      </c>
      <c r="G251" s="40" t="s">
        <v>1228</v>
      </c>
      <c r="H251" s="40" t="s">
        <v>1229</v>
      </c>
      <c r="I251" s="38" t="s">
        <v>1230</v>
      </c>
      <c r="J251" s="38"/>
      <c r="K251" s="38" t="s">
        <v>1231</v>
      </c>
      <c r="L251" s="38" t="s">
        <v>50</v>
      </c>
      <c r="M251" s="37"/>
      <c r="N251" s="39" t="n">
        <v>38520</v>
      </c>
      <c r="O251" s="41" t="s">
        <v>23</v>
      </c>
      <c r="P251" s="41" t="s">
        <v>105</v>
      </c>
      <c r="Q251" s="42"/>
      <c r="R251" s="41"/>
      <c r="S251" s="42"/>
      <c r="T251" s="41"/>
    </row>
    <row r="252" customFormat="false" ht="13.5" hidden="false" customHeight="true" outlineLevel="0" collapsed="false">
      <c r="A252" s="37" t="n">
        <v>249</v>
      </c>
      <c r="B252" s="37" t="n">
        <v>1657</v>
      </c>
      <c r="C252" s="38" t="s">
        <v>1232</v>
      </c>
      <c r="D252" s="37" t="s">
        <v>100</v>
      </c>
      <c r="E252" s="39" t="n">
        <v>23525</v>
      </c>
      <c r="F252" s="37" t="n">
        <f aca="true">IFERROR(DATEDIF(E252,TODAY(),"Y"),"")</f>
        <v>62</v>
      </c>
      <c r="G252" s="40" t="s">
        <v>1233</v>
      </c>
      <c r="H252" s="40"/>
      <c r="I252" s="38" t="s">
        <v>1234</v>
      </c>
      <c r="J252" s="38"/>
      <c r="K252" s="38" t="s">
        <v>1235</v>
      </c>
      <c r="L252" s="38" t="s">
        <v>46</v>
      </c>
      <c r="M252" s="37"/>
      <c r="N252" s="39" t="n">
        <v>38520</v>
      </c>
      <c r="O252" s="41" t="s">
        <v>23</v>
      </c>
      <c r="P252" s="41" t="s">
        <v>105</v>
      </c>
      <c r="Q252" s="42"/>
      <c r="R252" s="41"/>
      <c r="S252" s="42"/>
      <c r="T252" s="41"/>
    </row>
    <row r="253" customFormat="false" ht="13.5" hidden="false" customHeight="true" outlineLevel="0" collapsed="false">
      <c r="A253" s="37" t="n">
        <v>250</v>
      </c>
      <c r="B253" s="37" t="n">
        <v>1658</v>
      </c>
      <c r="C253" s="38" t="s">
        <v>1236</v>
      </c>
      <c r="D253" s="37" t="s">
        <v>100</v>
      </c>
      <c r="E253" s="39" t="n">
        <v>19545</v>
      </c>
      <c r="F253" s="37" t="n">
        <f aca="true">IFERROR(DATEDIF(E253,TODAY(),"Y"),"")</f>
        <v>73</v>
      </c>
      <c r="G253" s="40" t="s">
        <v>1237</v>
      </c>
      <c r="H253" s="40"/>
      <c r="I253" s="38"/>
      <c r="J253" s="38" t="s">
        <v>15</v>
      </c>
      <c r="K253" s="38" t="s">
        <v>1238</v>
      </c>
      <c r="L253" s="38" t="s">
        <v>46</v>
      </c>
      <c r="M253" s="37"/>
      <c r="N253" s="39" t="n">
        <v>38520</v>
      </c>
      <c r="O253" s="41" t="s">
        <v>23</v>
      </c>
      <c r="P253" s="41" t="s">
        <v>105</v>
      </c>
      <c r="Q253" s="42"/>
      <c r="R253" s="41"/>
      <c r="S253" s="42"/>
      <c r="T253" s="41"/>
    </row>
    <row r="254" customFormat="false" ht="13.5" hidden="false" customHeight="true" outlineLevel="0" collapsed="false">
      <c r="A254" s="37" t="n">
        <v>251</v>
      </c>
      <c r="B254" s="37" t="n">
        <v>1660</v>
      </c>
      <c r="C254" s="38" t="s">
        <v>1239</v>
      </c>
      <c r="D254" s="37" t="s">
        <v>100</v>
      </c>
      <c r="E254" s="39" t="n">
        <v>22009</v>
      </c>
      <c r="F254" s="37" t="n">
        <f aca="true">IFERROR(DATEDIF(E254,TODAY(),"Y"),"")</f>
        <v>66</v>
      </c>
      <c r="G254" s="40" t="s">
        <v>1240</v>
      </c>
      <c r="H254" s="40" t="s">
        <v>1241</v>
      </c>
      <c r="I254" s="38" t="s">
        <v>1242</v>
      </c>
      <c r="J254" s="38" t="s">
        <v>15</v>
      </c>
      <c r="K254" s="38" t="s">
        <v>1243</v>
      </c>
      <c r="L254" s="38" t="s">
        <v>46</v>
      </c>
      <c r="M254" s="37"/>
      <c r="N254" s="39" t="n">
        <v>38520</v>
      </c>
      <c r="O254" s="41" t="s">
        <v>23</v>
      </c>
      <c r="P254" s="41" t="s">
        <v>105</v>
      </c>
      <c r="Q254" s="42"/>
      <c r="R254" s="41"/>
      <c r="S254" s="42"/>
      <c r="T254" s="41"/>
    </row>
    <row r="255" customFormat="false" ht="13.5" hidden="false" customHeight="true" outlineLevel="0" collapsed="false">
      <c r="A255" s="37" t="n">
        <v>252</v>
      </c>
      <c r="B255" s="37" t="n">
        <v>1661</v>
      </c>
      <c r="C255" s="38" t="s">
        <v>1244</v>
      </c>
      <c r="D255" s="37" t="s">
        <v>100</v>
      </c>
      <c r="E255" s="39" t="n">
        <v>23890</v>
      </c>
      <c r="F255" s="37" t="n">
        <f aca="true">IFERROR(DATEDIF(E255,TODAY(),"Y"),"")</f>
        <v>61</v>
      </c>
      <c r="G255" s="40" t="s">
        <v>1245</v>
      </c>
      <c r="H255" s="40" t="s">
        <v>1246</v>
      </c>
      <c r="I255" s="38" t="s">
        <v>1247</v>
      </c>
      <c r="J255" s="38"/>
      <c r="K255" s="38" t="s">
        <v>1248</v>
      </c>
      <c r="L255" s="38" t="s">
        <v>52</v>
      </c>
      <c r="M255" s="37"/>
      <c r="N255" s="39" t="n">
        <v>38520</v>
      </c>
      <c r="O255" s="41" t="s">
        <v>23</v>
      </c>
      <c r="P255" s="41" t="s">
        <v>105</v>
      </c>
      <c r="Q255" s="42"/>
      <c r="R255" s="41"/>
      <c r="S255" s="42"/>
      <c r="T255" s="41"/>
    </row>
    <row r="256" customFormat="false" ht="13.5" hidden="false" customHeight="true" outlineLevel="0" collapsed="false">
      <c r="A256" s="37" t="n">
        <v>253</v>
      </c>
      <c r="B256" s="37" t="n">
        <v>1662</v>
      </c>
      <c r="C256" s="38" t="s">
        <v>1249</v>
      </c>
      <c r="D256" s="37" t="s">
        <v>100</v>
      </c>
      <c r="E256" s="39" t="n">
        <v>23725</v>
      </c>
      <c r="F256" s="37" t="n">
        <f aca="true">IFERROR(DATEDIF(E256,TODAY(),"Y"),"")</f>
        <v>61</v>
      </c>
      <c r="G256" s="40" t="s">
        <v>1250</v>
      </c>
      <c r="H256" s="40" t="s">
        <v>1251</v>
      </c>
      <c r="I256" s="38" t="s">
        <v>1252</v>
      </c>
      <c r="J256" s="38" t="s">
        <v>16</v>
      </c>
      <c r="K256" s="38" t="s">
        <v>1253</v>
      </c>
      <c r="L256" s="38" t="s">
        <v>50</v>
      </c>
      <c r="M256" s="37"/>
      <c r="N256" s="39" t="n">
        <v>38520</v>
      </c>
      <c r="O256" s="41" t="s">
        <v>23</v>
      </c>
      <c r="P256" s="41" t="s">
        <v>105</v>
      </c>
      <c r="Q256" s="42"/>
      <c r="R256" s="41"/>
      <c r="S256" s="42"/>
      <c r="T256" s="41"/>
    </row>
    <row r="257" customFormat="false" ht="13.5" hidden="false" customHeight="true" outlineLevel="0" collapsed="false">
      <c r="A257" s="37" t="n">
        <v>254</v>
      </c>
      <c r="B257" s="37" t="n">
        <v>1667</v>
      </c>
      <c r="C257" s="38" t="s">
        <v>1254</v>
      </c>
      <c r="D257" s="37" t="s">
        <v>100</v>
      </c>
      <c r="E257" s="39" t="n">
        <v>21554</v>
      </c>
      <c r="F257" s="37" t="n">
        <f aca="true">IFERROR(DATEDIF(E257,TODAY(),"Y"),"")</f>
        <v>67</v>
      </c>
      <c r="G257" s="40" t="s">
        <v>1255</v>
      </c>
      <c r="H257" s="40" t="s">
        <v>1256</v>
      </c>
      <c r="I257" s="38" t="s">
        <v>1257</v>
      </c>
      <c r="J257" s="38" t="s">
        <v>15</v>
      </c>
      <c r="K257" s="38" t="s">
        <v>1258</v>
      </c>
      <c r="L257" s="38" t="s">
        <v>55</v>
      </c>
      <c r="M257" s="37" t="s">
        <v>104</v>
      </c>
      <c r="N257" s="39" t="n">
        <v>38520</v>
      </c>
      <c r="O257" s="41" t="s">
        <v>23</v>
      </c>
      <c r="P257" s="41" t="s">
        <v>105</v>
      </c>
      <c r="Q257" s="42"/>
      <c r="R257" s="41"/>
      <c r="S257" s="42"/>
      <c r="T257" s="41"/>
    </row>
    <row r="258" customFormat="false" ht="13.5" hidden="false" customHeight="true" outlineLevel="0" collapsed="false">
      <c r="A258" s="37" t="n">
        <v>255</v>
      </c>
      <c r="B258" s="37" t="n">
        <v>1669</v>
      </c>
      <c r="C258" s="38" t="s">
        <v>1259</v>
      </c>
      <c r="D258" s="37" t="s">
        <v>100</v>
      </c>
      <c r="E258" s="39" t="n">
        <v>25339</v>
      </c>
      <c r="F258" s="37" t="n">
        <f aca="true">IFERROR(DATEDIF(E258,TODAY(),"Y"),"")</f>
        <v>57</v>
      </c>
      <c r="G258" s="40" t="s">
        <v>1260</v>
      </c>
      <c r="H258" s="40" t="s">
        <v>1261</v>
      </c>
      <c r="I258" s="38" t="s">
        <v>1262</v>
      </c>
      <c r="J258" s="38"/>
      <c r="K258" s="38" t="s">
        <v>1263</v>
      </c>
      <c r="L258" s="38" t="s">
        <v>51</v>
      </c>
      <c r="M258" s="37"/>
      <c r="N258" s="39" t="n">
        <v>38520</v>
      </c>
      <c r="O258" s="41" t="s">
        <v>23</v>
      </c>
      <c r="P258" s="41" t="s">
        <v>105</v>
      </c>
      <c r="Q258" s="42"/>
      <c r="R258" s="41"/>
      <c r="S258" s="42"/>
      <c r="T258" s="41"/>
    </row>
    <row r="259" customFormat="false" ht="13.5" hidden="false" customHeight="true" outlineLevel="0" collapsed="false">
      <c r="A259" s="37" t="n">
        <v>256</v>
      </c>
      <c r="B259" s="37" t="n">
        <v>1674</v>
      </c>
      <c r="C259" s="38" t="s">
        <v>1264</v>
      </c>
      <c r="D259" s="37" t="s">
        <v>100</v>
      </c>
      <c r="E259" s="39" t="n">
        <v>30470</v>
      </c>
      <c r="F259" s="37" t="n">
        <f aca="true">IFERROR(DATEDIF(E259,TODAY(),"Y"),"")</f>
        <v>43</v>
      </c>
      <c r="G259" s="40" t="s">
        <v>1265</v>
      </c>
      <c r="H259" s="40" t="s">
        <v>1266</v>
      </c>
      <c r="I259" s="38" t="s">
        <v>1267</v>
      </c>
      <c r="J259" s="38" t="s">
        <v>15</v>
      </c>
      <c r="K259" s="38" t="s">
        <v>1268</v>
      </c>
      <c r="L259" s="38" t="s">
        <v>55</v>
      </c>
      <c r="M259" s="37" t="s">
        <v>177</v>
      </c>
      <c r="N259" s="39" t="n">
        <v>38520</v>
      </c>
      <c r="O259" s="41" t="s">
        <v>23</v>
      </c>
      <c r="P259" s="41" t="s">
        <v>105</v>
      </c>
      <c r="Q259" s="42"/>
      <c r="R259" s="41"/>
      <c r="S259" s="42"/>
      <c r="T259" s="41"/>
    </row>
    <row r="260" customFormat="false" ht="13.5" hidden="false" customHeight="true" outlineLevel="0" collapsed="false">
      <c r="A260" s="37" t="n">
        <v>257</v>
      </c>
      <c r="B260" s="37" t="n">
        <v>1676</v>
      </c>
      <c r="C260" s="38" t="s">
        <v>1269</v>
      </c>
      <c r="D260" s="37" t="s">
        <v>100</v>
      </c>
      <c r="E260" s="39" t="n">
        <v>28513</v>
      </c>
      <c r="F260" s="37" t="n">
        <f aca="true">IFERROR(DATEDIF(E260,TODAY(),"Y"),"")</f>
        <v>48</v>
      </c>
      <c r="G260" s="40" t="s">
        <v>1270</v>
      </c>
      <c r="H260" s="40" t="s">
        <v>1271</v>
      </c>
      <c r="I260" s="38" t="s">
        <v>1272</v>
      </c>
      <c r="J260" s="38"/>
      <c r="K260" s="38" t="s">
        <v>1273</v>
      </c>
      <c r="L260" s="38" t="s">
        <v>46</v>
      </c>
      <c r="M260" s="37"/>
      <c r="N260" s="39" t="n">
        <v>38520</v>
      </c>
      <c r="O260" s="41" t="s">
        <v>23</v>
      </c>
      <c r="P260" s="41" t="s">
        <v>105</v>
      </c>
      <c r="Q260" s="42"/>
      <c r="R260" s="41"/>
      <c r="S260" s="42"/>
      <c r="T260" s="41"/>
    </row>
    <row r="261" customFormat="false" ht="13.5" hidden="false" customHeight="true" outlineLevel="0" collapsed="false">
      <c r="A261" s="37" t="n">
        <v>258</v>
      </c>
      <c r="B261" s="37" t="n">
        <v>1680</v>
      </c>
      <c r="C261" s="38" t="s">
        <v>1274</v>
      </c>
      <c r="D261" s="37" t="s">
        <v>100</v>
      </c>
      <c r="E261" s="39" t="n">
        <v>22489</v>
      </c>
      <c r="F261" s="37" t="n">
        <f aca="true">IFERROR(DATEDIF(E261,TODAY(),"Y"),"")</f>
        <v>65</v>
      </c>
      <c r="G261" s="40" t="s">
        <v>1275</v>
      </c>
      <c r="H261" s="40"/>
      <c r="I261" s="38" t="s">
        <v>1276</v>
      </c>
      <c r="J261" s="38" t="s">
        <v>15</v>
      </c>
      <c r="K261" s="38" t="s">
        <v>1277</v>
      </c>
      <c r="L261" s="38" t="s">
        <v>55</v>
      </c>
      <c r="M261" s="37" t="s">
        <v>177</v>
      </c>
      <c r="N261" s="39" t="n">
        <v>38520</v>
      </c>
      <c r="O261" s="41" t="s">
        <v>23</v>
      </c>
      <c r="P261" s="41" t="s">
        <v>105</v>
      </c>
      <c r="Q261" s="42"/>
      <c r="R261" s="41"/>
      <c r="S261" s="42"/>
      <c r="T261" s="41"/>
    </row>
    <row r="262" customFormat="false" ht="13.5" hidden="false" customHeight="true" outlineLevel="0" collapsed="false">
      <c r="A262" s="37" t="n">
        <v>259</v>
      </c>
      <c r="B262" s="37" t="n">
        <v>1684</v>
      </c>
      <c r="C262" s="38" t="s">
        <v>1278</v>
      </c>
      <c r="D262" s="37" t="s">
        <v>100</v>
      </c>
      <c r="E262" s="39" t="n">
        <v>24257</v>
      </c>
      <c r="F262" s="37" t="n">
        <f aca="true">IFERROR(DATEDIF(E262,TODAY(),"Y"),"")</f>
        <v>60</v>
      </c>
      <c r="G262" s="40" t="s">
        <v>1279</v>
      </c>
      <c r="H262" s="40" t="s">
        <v>1280</v>
      </c>
      <c r="I262" s="38" t="s">
        <v>1281</v>
      </c>
      <c r="J262" s="38" t="s">
        <v>16</v>
      </c>
      <c r="K262" s="38" t="s">
        <v>1282</v>
      </c>
      <c r="L262" s="38" t="s">
        <v>55</v>
      </c>
      <c r="M262" s="37" t="s">
        <v>177</v>
      </c>
      <c r="N262" s="39" t="n">
        <v>38520</v>
      </c>
      <c r="O262" s="41" t="s">
        <v>23</v>
      </c>
      <c r="P262" s="41" t="s">
        <v>105</v>
      </c>
      <c r="Q262" s="42"/>
      <c r="R262" s="41"/>
      <c r="S262" s="42"/>
      <c r="T262" s="41"/>
    </row>
    <row r="263" customFormat="false" ht="13.5" hidden="false" customHeight="true" outlineLevel="0" collapsed="false">
      <c r="A263" s="37" t="n">
        <v>260</v>
      </c>
      <c r="B263" s="37" t="n">
        <v>1686</v>
      </c>
      <c r="C263" s="38" t="s">
        <v>1283</v>
      </c>
      <c r="D263" s="37" t="s">
        <v>100</v>
      </c>
      <c r="E263" s="39" t="n">
        <v>31496</v>
      </c>
      <c r="F263" s="37" t="n">
        <f aca="true">IFERROR(DATEDIF(E263,TODAY(),"Y"),"")</f>
        <v>40</v>
      </c>
      <c r="G263" s="40" t="s">
        <v>1284</v>
      </c>
      <c r="H263" s="40"/>
      <c r="I263" s="38" t="s">
        <v>1285</v>
      </c>
      <c r="J263" s="38" t="s">
        <v>15</v>
      </c>
      <c r="K263" s="38" t="s">
        <v>1286</v>
      </c>
      <c r="L263" s="38" t="s">
        <v>53</v>
      </c>
      <c r="M263" s="37"/>
      <c r="N263" s="39" t="n">
        <v>38520</v>
      </c>
      <c r="O263" s="41" t="s">
        <v>23</v>
      </c>
      <c r="P263" s="41" t="s">
        <v>105</v>
      </c>
      <c r="Q263" s="42"/>
      <c r="R263" s="41"/>
      <c r="S263" s="42"/>
      <c r="T263" s="41"/>
    </row>
    <row r="264" customFormat="false" ht="13.5" hidden="false" customHeight="true" outlineLevel="0" collapsed="false">
      <c r="A264" s="37" t="n">
        <v>261</v>
      </c>
      <c r="B264" s="37" t="n">
        <v>1687</v>
      </c>
      <c r="C264" s="38" t="s">
        <v>1287</v>
      </c>
      <c r="D264" s="37" t="s">
        <v>100</v>
      </c>
      <c r="E264" s="39" t="n">
        <v>24416</v>
      </c>
      <c r="F264" s="37" t="n">
        <f aca="true">IFERROR(DATEDIF(E264,TODAY(),"Y"),"")</f>
        <v>59</v>
      </c>
      <c r="G264" s="40" t="s">
        <v>1288</v>
      </c>
      <c r="H264" s="40"/>
      <c r="I264" s="38" t="s">
        <v>1289</v>
      </c>
      <c r="J264" s="38" t="s">
        <v>15</v>
      </c>
      <c r="K264" s="38" t="s">
        <v>1290</v>
      </c>
      <c r="L264" s="38" t="s">
        <v>53</v>
      </c>
      <c r="M264" s="37"/>
      <c r="N264" s="39" t="n">
        <v>38520</v>
      </c>
      <c r="O264" s="41" t="s">
        <v>23</v>
      </c>
      <c r="P264" s="41" t="s">
        <v>105</v>
      </c>
      <c r="Q264" s="42"/>
      <c r="R264" s="41"/>
      <c r="S264" s="42"/>
      <c r="T264" s="41"/>
    </row>
    <row r="265" customFormat="false" ht="13.5" hidden="false" customHeight="true" outlineLevel="0" collapsed="false">
      <c r="A265" s="37" t="n">
        <v>262</v>
      </c>
      <c r="B265" s="37" t="n">
        <v>1688</v>
      </c>
      <c r="C265" s="38" t="s">
        <v>1291</v>
      </c>
      <c r="D265" s="37" t="s">
        <v>100</v>
      </c>
      <c r="E265" s="39" t="n">
        <v>26068</v>
      </c>
      <c r="F265" s="37" t="n">
        <f aca="true">IFERROR(DATEDIF(E265,TODAY(),"Y"),"")</f>
        <v>55</v>
      </c>
      <c r="G265" s="40" t="s">
        <v>1292</v>
      </c>
      <c r="H265" s="40"/>
      <c r="I265" s="38"/>
      <c r="J265" s="38" t="s">
        <v>15</v>
      </c>
      <c r="K265" s="38" t="s">
        <v>1293</v>
      </c>
      <c r="L265" s="38" t="s">
        <v>52</v>
      </c>
      <c r="M265" s="37"/>
      <c r="N265" s="39" t="n">
        <v>38520</v>
      </c>
      <c r="O265" s="41" t="s">
        <v>23</v>
      </c>
      <c r="P265" s="41" t="s">
        <v>105</v>
      </c>
      <c r="Q265" s="42"/>
      <c r="R265" s="41"/>
      <c r="S265" s="42"/>
      <c r="T265" s="41"/>
    </row>
    <row r="266" customFormat="false" ht="13.5" hidden="false" customHeight="true" outlineLevel="0" collapsed="false">
      <c r="A266" s="37" t="n">
        <v>263</v>
      </c>
      <c r="B266" s="37" t="n">
        <v>1690</v>
      </c>
      <c r="C266" s="38" t="s">
        <v>1294</v>
      </c>
      <c r="D266" s="37" t="s">
        <v>100</v>
      </c>
      <c r="E266" s="39" t="n">
        <v>26659</v>
      </c>
      <c r="F266" s="37" t="n">
        <f aca="true">IFERROR(DATEDIF(E266,TODAY(),"Y"),"")</f>
        <v>53</v>
      </c>
      <c r="G266" s="40" t="s">
        <v>1295</v>
      </c>
      <c r="H266" s="40" t="s">
        <v>1296</v>
      </c>
      <c r="I266" s="38" t="s">
        <v>1297</v>
      </c>
      <c r="J266" s="38" t="s">
        <v>15</v>
      </c>
      <c r="K266" s="38" t="s">
        <v>1298</v>
      </c>
      <c r="L266" s="43" t="s">
        <v>58</v>
      </c>
      <c r="M266" s="37"/>
      <c r="N266" s="39" t="n">
        <v>38520</v>
      </c>
      <c r="O266" s="41" t="s">
        <v>23</v>
      </c>
      <c r="P266" s="41" t="s">
        <v>105</v>
      </c>
      <c r="Q266" s="42"/>
      <c r="R266" s="41"/>
      <c r="S266" s="42"/>
      <c r="T266" s="41"/>
    </row>
    <row r="267" customFormat="false" ht="13.5" hidden="false" customHeight="true" outlineLevel="0" collapsed="false">
      <c r="A267" s="37" t="n">
        <v>264</v>
      </c>
      <c r="B267" s="37" t="n">
        <v>1692</v>
      </c>
      <c r="C267" s="38" t="s">
        <v>1299</v>
      </c>
      <c r="D267" s="37" t="s">
        <v>100</v>
      </c>
      <c r="E267" s="39" t="n">
        <v>22854</v>
      </c>
      <c r="F267" s="37" t="n">
        <f aca="true">IFERROR(DATEDIF(E267,TODAY(),"Y"),"")</f>
        <v>64</v>
      </c>
      <c r="G267" s="40" t="s">
        <v>1300</v>
      </c>
      <c r="H267" s="40" t="s">
        <v>1301</v>
      </c>
      <c r="I267" s="38" t="s">
        <v>1302</v>
      </c>
      <c r="J267" s="38"/>
      <c r="K267" s="38" t="s">
        <v>1303</v>
      </c>
      <c r="L267" s="38" t="s">
        <v>54</v>
      </c>
      <c r="M267" s="37"/>
      <c r="N267" s="39" t="n">
        <v>38520</v>
      </c>
      <c r="O267" s="41" t="s">
        <v>23</v>
      </c>
      <c r="P267" s="41" t="s">
        <v>105</v>
      </c>
      <c r="Q267" s="42"/>
      <c r="R267" s="41"/>
      <c r="S267" s="42"/>
      <c r="T267" s="41"/>
    </row>
    <row r="268" customFormat="false" ht="13.5" hidden="false" customHeight="true" outlineLevel="0" collapsed="false">
      <c r="A268" s="37" t="n">
        <v>265</v>
      </c>
      <c r="B268" s="37" t="n">
        <v>1694</v>
      </c>
      <c r="C268" s="38" t="s">
        <v>1304</v>
      </c>
      <c r="D268" s="37" t="s">
        <v>100</v>
      </c>
      <c r="E268" s="39" t="n">
        <v>27892</v>
      </c>
      <c r="F268" s="37" t="n">
        <f aca="true">IFERROR(DATEDIF(E268,TODAY(),"Y"),"")</f>
        <v>50</v>
      </c>
      <c r="G268" s="40" t="s">
        <v>1305</v>
      </c>
      <c r="H268" s="40"/>
      <c r="I268" s="38" t="s">
        <v>1306</v>
      </c>
      <c r="J268" s="38" t="s">
        <v>15</v>
      </c>
      <c r="K268" s="38" t="s">
        <v>1307</v>
      </c>
      <c r="L268" s="38" t="s">
        <v>54</v>
      </c>
      <c r="M268" s="37"/>
      <c r="N268" s="39" t="n">
        <v>38520</v>
      </c>
      <c r="O268" s="41" t="s">
        <v>23</v>
      </c>
      <c r="P268" s="41" t="s">
        <v>105</v>
      </c>
      <c r="Q268" s="42"/>
      <c r="R268" s="41"/>
      <c r="S268" s="42"/>
      <c r="T268" s="41"/>
    </row>
    <row r="269" customFormat="false" ht="13.5" hidden="false" customHeight="true" outlineLevel="0" collapsed="false">
      <c r="A269" s="37" t="n">
        <v>266</v>
      </c>
      <c r="B269" s="37" t="n">
        <v>1696</v>
      </c>
      <c r="C269" s="38" t="s">
        <v>1308</v>
      </c>
      <c r="D269" s="37" t="s">
        <v>100</v>
      </c>
      <c r="E269" s="39" t="n">
        <v>21673</v>
      </c>
      <c r="F269" s="37" t="n">
        <f aca="true">IFERROR(DATEDIF(E269,TODAY(),"Y"),"")</f>
        <v>67</v>
      </c>
      <c r="G269" s="40" t="s">
        <v>1309</v>
      </c>
      <c r="H269" s="40"/>
      <c r="I269" s="38" t="s">
        <v>1310</v>
      </c>
      <c r="J269" s="38" t="s">
        <v>15</v>
      </c>
      <c r="K269" s="38" t="s">
        <v>1311</v>
      </c>
      <c r="L269" s="38" t="s">
        <v>55</v>
      </c>
      <c r="M269" s="37" t="s">
        <v>104</v>
      </c>
      <c r="N269" s="39" t="n">
        <v>38520</v>
      </c>
      <c r="O269" s="41" t="s">
        <v>23</v>
      </c>
      <c r="P269" s="41" t="s">
        <v>105</v>
      </c>
      <c r="Q269" s="42"/>
      <c r="R269" s="41"/>
      <c r="S269" s="42"/>
      <c r="T269" s="41"/>
    </row>
    <row r="270" customFormat="false" ht="13.5" hidden="false" customHeight="true" outlineLevel="0" collapsed="false">
      <c r="A270" s="37" t="n">
        <v>267</v>
      </c>
      <c r="B270" s="37" t="n">
        <v>1698</v>
      </c>
      <c r="C270" s="38" t="s">
        <v>1312</v>
      </c>
      <c r="D270" s="37" t="s">
        <v>100</v>
      </c>
      <c r="E270" s="39" t="n">
        <v>26355</v>
      </c>
      <c r="F270" s="37" t="n">
        <f aca="true">IFERROR(DATEDIF(E270,TODAY(),"Y"),"")</f>
        <v>54</v>
      </c>
      <c r="G270" s="40" t="s">
        <v>1313</v>
      </c>
      <c r="H270" s="40" t="s">
        <v>1314</v>
      </c>
      <c r="I270" s="38" t="s">
        <v>1315</v>
      </c>
      <c r="J270" s="38" t="s">
        <v>16</v>
      </c>
      <c r="K270" s="38" t="s">
        <v>1316</v>
      </c>
      <c r="L270" s="38" t="s">
        <v>48</v>
      </c>
      <c r="M270" s="37"/>
      <c r="N270" s="39" t="n">
        <v>38520</v>
      </c>
      <c r="O270" s="41" t="s">
        <v>23</v>
      </c>
      <c r="P270" s="41" t="s">
        <v>105</v>
      </c>
      <c r="Q270" s="42"/>
      <c r="R270" s="41"/>
      <c r="S270" s="42"/>
      <c r="T270" s="41"/>
    </row>
    <row r="271" customFormat="false" ht="13.5" hidden="false" customHeight="true" outlineLevel="0" collapsed="false">
      <c r="A271" s="37" t="n">
        <v>268</v>
      </c>
      <c r="B271" s="37" t="n">
        <v>1699</v>
      </c>
      <c r="C271" s="38" t="s">
        <v>1317</v>
      </c>
      <c r="D271" s="37" t="s">
        <v>100</v>
      </c>
      <c r="E271" s="39" t="n">
        <v>26155</v>
      </c>
      <c r="F271" s="37" t="n">
        <f aca="true">IFERROR(DATEDIF(E271,TODAY(),"Y"),"")</f>
        <v>55</v>
      </c>
      <c r="G271" s="40" t="s">
        <v>1318</v>
      </c>
      <c r="H271" s="40" t="s">
        <v>1319</v>
      </c>
      <c r="I271" s="38" t="s">
        <v>1320</v>
      </c>
      <c r="J271" s="38" t="s">
        <v>15</v>
      </c>
      <c r="K271" s="38" t="s">
        <v>1321</v>
      </c>
      <c r="L271" s="38" t="s">
        <v>51</v>
      </c>
      <c r="M271" s="37" t="s">
        <v>104</v>
      </c>
      <c r="N271" s="39" t="n">
        <v>38520</v>
      </c>
      <c r="O271" s="41" t="s">
        <v>23</v>
      </c>
      <c r="P271" s="41" t="s">
        <v>105</v>
      </c>
      <c r="Q271" s="42"/>
      <c r="R271" s="41"/>
      <c r="S271" s="42"/>
      <c r="T271" s="41"/>
    </row>
    <row r="272" customFormat="false" ht="13.5" hidden="false" customHeight="true" outlineLevel="0" collapsed="false">
      <c r="A272" s="37" t="n">
        <v>269</v>
      </c>
      <c r="B272" s="37" t="n">
        <v>1700</v>
      </c>
      <c r="C272" s="38" t="s">
        <v>1322</v>
      </c>
      <c r="D272" s="37" t="s">
        <v>100</v>
      </c>
      <c r="E272" s="39" t="n">
        <v>20775</v>
      </c>
      <c r="F272" s="37" t="n">
        <f aca="true">IFERROR(DATEDIF(E272,TODAY(),"Y"),"")</f>
        <v>69</v>
      </c>
      <c r="G272" s="40" t="s">
        <v>1323</v>
      </c>
      <c r="H272" s="40" t="s">
        <v>1324</v>
      </c>
      <c r="I272" s="38" t="s">
        <v>1325</v>
      </c>
      <c r="J272" s="38" t="s">
        <v>16</v>
      </c>
      <c r="K272" s="38" t="s">
        <v>1326</v>
      </c>
      <c r="L272" s="38" t="s">
        <v>55</v>
      </c>
      <c r="M272" s="37"/>
      <c r="N272" s="39" t="n">
        <v>38520</v>
      </c>
      <c r="O272" s="41" t="s">
        <v>23</v>
      </c>
      <c r="P272" s="41" t="s">
        <v>105</v>
      </c>
      <c r="Q272" s="42"/>
      <c r="R272" s="41"/>
      <c r="S272" s="42"/>
      <c r="T272" s="41"/>
    </row>
    <row r="273" customFormat="false" ht="13.5" hidden="false" customHeight="true" outlineLevel="0" collapsed="false">
      <c r="A273" s="37" t="n">
        <v>270</v>
      </c>
      <c r="B273" s="37" t="n">
        <v>1702</v>
      </c>
      <c r="C273" s="38" t="s">
        <v>1327</v>
      </c>
      <c r="D273" s="37" t="s">
        <v>100</v>
      </c>
      <c r="E273" s="39" t="n">
        <v>28363</v>
      </c>
      <c r="F273" s="37" t="n">
        <f aca="true">IFERROR(DATEDIF(E273,TODAY(),"Y"),"")</f>
        <v>48</v>
      </c>
      <c r="G273" s="40" t="s">
        <v>1328</v>
      </c>
      <c r="H273" s="40" t="s">
        <v>1329</v>
      </c>
      <c r="I273" s="38" t="s">
        <v>1330</v>
      </c>
      <c r="J273" s="38" t="s">
        <v>16</v>
      </c>
      <c r="K273" s="38" t="s">
        <v>1331</v>
      </c>
      <c r="L273" s="38" t="s">
        <v>53</v>
      </c>
      <c r="M273" s="37" t="s">
        <v>120</v>
      </c>
      <c r="N273" s="39" t="n">
        <v>38520</v>
      </c>
      <c r="O273" s="41" t="s">
        <v>23</v>
      </c>
      <c r="P273" s="41" t="s">
        <v>105</v>
      </c>
      <c r="Q273" s="42"/>
      <c r="R273" s="41"/>
      <c r="S273" s="42"/>
      <c r="T273" s="41"/>
    </row>
    <row r="274" customFormat="false" ht="13.5" hidden="false" customHeight="true" outlineLevel="0" collapsed="false">
      <c r="A274" s="37" t="n">
        <v>271</v>
      </c>
      <c r="B274" s="37" t="n">
        <v>1705</v>
      </c>
      <c r="C274" s="38" t="s">
        <v>1332</v>
      </c>
      <c r="D274" s="37" t="s">
        <v>100</v>
      </c>
      <c r="E274" s="39" t="n">
        <v>26782</v>
      </c>
      <c r="F274" s="37" t="n">
        <f aca="true">IFERROR(DATEDIF(E274,TODAY(),"Y"),"")</f>
        <v>53</v>
      </c>
      <c r="G274" s="40" t="s">
        <v>1333</v>
      </c>
      <c r="H274" s="40" t="s">
        <v>1334</v>
      </c>
      <c r="I274" s="38" t="s">
        <v>1335</v>
      </c>
      <c r="J274" s="38"/>
      <c r="K274" s="38" t="s">
        <v>1336</v>
      </c>
      <c r="L274" s="38" t="s">
        <v>44</v>
      </c>
      <c r="M274" s="37" t="s">
        <v>104</v>
      </c>
      <c r="N274" s="39" t="n">
        <v>38520</v>
      </c>
      <c r="O274" s="41" t="s">
        <v>23</v>
      </c>
      <c r="P274" s="41" t="s">
        <v>105</v>
      </c>
      <c r="Q274" s="42"/>
      <c r="R274" s="41"/>
      <c r="S274" s="42"/>
      <c r="T274" s="41"/>
    </row>
    <row r="275" customFormat="false" ht="13.5" hidden="false" customHeight="true" outlineLevel="0" collapsed="false">
      <c r="A275" s="37" t="n">
        <v>272</v>
      </c>
      <c r="B275" s="37" t="n">
        <v>1707</v>
      </c>
      <c r="C275" s="38" t="s">
        <v>1337</v>
      </c>
      <c r="D275" s="37" t="s">
        <v>100</v>
      </c>
      <c r="E275" s="39" t="n">
        <v>20787</v>
      </c>
      <c r="F275" s="37" t="n">
        <f aca="true">IFERROR(DATEDIF(E275,TODAY(),"Y"),"")</f>
        <v>69</v>
      </c>
      <c r="G275" s="40" t="s">
        <v>1338</v>
      </c>
      <c r="H275" s="40" t="s">
        <v>1339</v>
      </c>
      <c r="I275" s="38" t="s">
        <v>1340</v>
      </c>
      <c r="J275" s="38"/>
      <c r="K275" s="38" t="s">
        <v>1341</v>
      </c>
      <c r="L275" s="38" t="s">
        <v>53</v>
      </c>
      <c r="M275" s="37"/>
      <c r="N275" s="39" t="n">
        <v>38520</v>
      </c>
      <c r="O275" s="41" t="s">
        <v>23</v>
      </c>
      <c r="P275" s="41" t="s">
        <v>105</v>
      </c>
      <c r="Q275" s="42"/>
      <c r="R275" s="41"/>
      <c r="S275" s="42"/>
      <c r="T275" s="41"/>
    </row>
    <row r="276" customFormat="false" ht="13.5" hidden="false" customHeight="true" outlineLevel="0" collapsed="false">
      <c r="A276" s="37" t="n">
        <v>273</v>
      </c>
      <c r="B276" s="37" t="n">
        <v>1712</v>
      </c>
      <c r="C276" s="38" t="s">
        <v>1342</v>
      </c>
      <c r="D276" s="37" t="s">
        <v>100</v>
      </c>
      <c r="E276" s="39" t="n">
        <v>23181</v>
      </c>
      <c r="F276" s="37" t="n">
        <f aca="true">IFERROR(DATEDIF(E276,TODAY(),"Y"),"")</f>
        <v>63</v>
      </c>
      <c r="G276" s="40" t="s">
        <v>1343</v>
      </c>
      <c r="H276" s="40"/>
      <c r="I276" s="38"/>
      <c r="J276" s="38" t="s">
        <v>15</v>
      </c>
      <c r="K276" s="38" t="s">
        <v>1344</v>
      </c>
      <c r="L276" s="38" t="s">
        <v>47</v>
      </c>
      <c r="M276" s="37"/>
      <c r="N276" s="39" t="n">
        <v>38520</v>
      </c>
      <c r="O276" s="41" t="s">
        <v>23</v>
      </c>
      <c r="P276" s="41" t="s">
        <v>105</v>
      </c>
      <c r="Q276" s="42"/>
      <c r="R276" s="41"/>
      <c r="S276" s="42"/>
      <c r="T276" s="41"/>
    </row>
    <row r="277" customFormat="false" ht="13.5" hidden="false" customHeight="true" outlineLevel="0" collapsed="false">
      <c r="A277" s="37" t="n">
        <v>274</v>
      </c>
      <c r="B277" s="37" t="n">
        <v>1713</v>
      </c>
      <c r="C277" s="38" t="s">
        <v>1345</v>
      </c>
      <c r="D277" s="37" t="s">
        <v>100</v>
      </c>
      <c r="E277" s="39" t="n">
        <v>22982</v>
      </c>
      <c r="F277" s="37" t="n">
        <f aca="true">IFERROR(DATEDIF(E277,TODAY(),"Y"),"")</f>
        <v>63</v>
      </c>
      <c r="G277" s="40" t="s">
        <v>1346</v>
      </c>
      <c r="H277" s="40"/>
      <c r="I277" s="38" t="s">
        <v>1347</v>
      </c>
      <c r="J277" s="38"/>
      <c r="K277" s="38" t="s">
        <v>1348</v>
      </c>
      <c r="L277" s="38" t="s">
        <v>55</v>
      </c>
      <c r="M277" s="37"/>
      <c r="N277" s="39" t="n">
        <v>38520</v>
      </c>
      <c r="O277" s="41" t="s">
        <v>23</v>
      </c>
      <c r="P277" s="41" t="s">
        <v>105</v>
      </c>
      <c r="Q277" s="42"/>
      <c r="R277" s="41"/>
      <c r="S277" s="42"/>
      <c r="T277" s="41"/>
    </row>
    <row r="278" customFormat="false" ht="13.5" hidden="false" customHeight="true" outlineLevel="0" collapsed="false">
      <c r="A278" s="37" t="n">
        <v>275</v>
      </c>
      <c r="B278" s="37" t="n">
        <v>1714</v>
      </c>
      <c r="C278" s="38" t="s">
        <v>1349</v>
      </c>
      <c r="D278" s="37" t="s">
        <v>100</v>
      </c>
      <c r="E278" s="39" t="n">
        <v>24947</v>
      </c>
      <c r="F278" s="37" t="n">
        <f aca="true">IFERROR(DATEDIF(E278,TODAY(),"Y"),"")</f>
        <v>58</v>
      </c>
      <c r="G278" s="40" t="s">
        <v>1350</v>
      </c>
      <c r="H278" s="40" t="s">
        <v>1351</v>
      </c>
      <c r="I278" s="38" t="s">
        <v>1352</v>
      </c>
      <c r="J278" s="38" t="s">
        <v>15</v>
      </c>
      <c r="K278" s="38" t="s">
        <v>1353</v>
      </c>
      <c r="L278" s="38" t="s">
        <v>50</v>
      </c>
      <c r="M278" s="37" t="s">
        <v>104</v>
      </c>
      <c r="N278" s="39" t="n">
        <v>38520</v>
      </c>
      <c r="O278" s="41" t="s">
        <v>23</v>
      </c>
      <c r="P278" s="41" t="s">
        <v>105</v>
      </c>
      <c r="Q278" s="42"/>
      <c r="R278" s="41"/>
      <c r="S278" s="42"/>
      <c r="T278" s="41"/>
    </row>
    <row r="279" customFormat="false" ht="13.5" hidden="false" customHeight="true" outlineLevel="0" collapsed="false">
      <c r="A279" s="37" t="n">
        <v>276</v>
      </c>
      <c r="B279" s="37" t="n">
        <v>1716</v>
      </c>
      <c r="C279" s="38" t="s">
        <v>1354</v>
      </c>
      <c r="D279" s="37" t="s">
        <v>100</v>
      </c>
      <c r="E279" s="39" t="n">
        <v>22858</v>
      </c>
      <c r="F279" s="37" t="n">
        <f aca="true">IFERROR(DATEDIF(E279,TODAY(),"Y"),"")</f>
        <v>64</v>
      </c>
      <c r="G279" s="40" t="s">
        <v>1355</v>
      </c>
      <c r="H279" s="40" t="s">
        <v>1356</v>
      </c>
      <c r="I279" s="38" t="s">
        <v>1357</v>
      </c>
      <c r="J279" s="38"/>
      <c r="K279" s="38" t="s">
        <v>1358</v>
      </c>
      <c r="L279" s="38" t="s">
        <v>53</v>
      </c>
      <c r="M279" s="37"/>
      <c r="N279" s="39" t="n">
        <v>38520</v>
      </c>
      <c r="O279" s="41" t="s">
        <v>23</v>
      </c>
      <c r="P279" s="41" t="s">
        <v>105</v>
      </c>
      <c r="Q279" s="42"/>
      <c r="R279" s="41"/>
      <c r="S279" s="42"/>
      <c r="T279" s="41"/>
    </row>
    <row r="280" customFormat="false" ht="13.5" hidden="false" customHeight="true" outlineLevel="0" collapsed="false">
      <c r="A280" s="37" t="n">
        <v>277</v>
      </c>
      <c r="B280" s="37" t="n">
        <v>1721</v>
      </c>
      <c r="C280" s="38" t="s">
        <v>1359</v>
      </c>
      <c r="D280" s="37" t="s">
        <v>100</v>
      </c>
      <c r="E280" s="39" t="n">
        <v>19871</v>
      </c>
      <c r="F280" s="37" t="n">
        <f aca="true">IFERROR(DATEDIF(E280,TODAY(),"Y"),"")</f>
        <v>72</v>
      </c>
      <c r="G280" s="40" t="s">
        <v>1360</v>
      </c>
      <c r="H280" s="40" t="s">
        <v>1361</v>
      </c>
      <c r="I280" s="38" t="s">
        <v>1362</v>
      </c>
      <c r="J280" s="38" t="s">
        <v>15</v>
      </c>
      <c r="K280" s="38" t="s">
        <v>1363</v>
      </c>
      <c r="L280" s="38" t="s">
        <v>48</v>
      </c>
      <c r="M280" s="37"/>
      <c r="N280" s="39" t="n">
        <v>38520</v>
      </c>
      <c r="O280" s="41" t="s">
        <v>23</v>
      </c>
      <c r="P280" s="41" t="s">
        <v>105</v>
      </c>
      <c r="Q280" s="42"/>
      <c r="R280" s="41"/>
      <c r="S280" s="42"/>
      <c r="T280" s="41"/>
    </row>
    <row r="281" customFormat="false" ht="13.5" hidden="false" customHeight="true" outlineLevel="0" collapsed="false">
      <c r="A281" s="37" t="n">
        <v>278</v>
      </c>
      <c r="B281" s="37" t="n">
        <v>1722</v>
      </c>
      <c r="C281" s="38" t="s">
        <v>1364</v>
      </c>
      <c r="D281" s="37" t="s">
        <v>100</v>
      </c>
      <c r="E281" s="39" t="n">
        <v>26769</v>
      </c>
      <c r="F281" s="37" t="n">
        <f aca="true">IFERROR(DATEDIF(E281,TODAY(),"Y"),"")</f>
        <v>53</v>
      </c>
      <c r="G281" s="40" t="s">
        <v>1365</v>
      </c>
      <c r="H281" s="40" t="s">
        <v>1366</v>
      </c>
      <c r="I281" s="38" t="s">
        <v>1367</v>
      </c>
      <c r="J281" s="38"/>
      <c r="K281" s="38" t="s">
        <v>1368</v>
      </c>
      <c r="L281" s="38" t="s">
        <v>55</v>
      </c>
      <c r="M281" s="37" t="s">
        <v>120</v>
      </c>
      <c r="N281" s="39" t="n">
        <v>38520</v>
      </c>
      <c r="O281" s="41" t="s">
        <v>23</v>
      </c>
      <c r="P281" s="41" t="s">
        <v>105</v>
      </c>
      <c r="Q281" s="42"/>
      <c r="R281" s="41"/>
      <c r="S281" s="42"/>
      <c r="T281" s="41"/>
    </row>
    <row r="282" customFormat="false" ht="13.5" hidden="false" customHeight="true" outlineLevel="0" collapsed="false">
      <c r="A282" s="37" t="n">
        <v>279</v>
      </c>
      <c r="B282" s="37" t="n">
        <v>1724</v>
      </c>
      <c r="C282" s="38" t="s">
        <v>1369</v>
      </c>
      <c r="D282" s="37" t="s">
        <v>100</v>
      </c>
      <c r="E282" s="39" t="n">
        <v>30230</v>
      </c>
      <c r="F282" s="37" t="n">
        <f aca="true">IFERROR(DATEDIF(E282,TODAY(),"Y"),"")</f>
        <v>43</v>
      </c>
      <c r="G282" s="40" t="s">
        <v>1370</v>
      </c>
      <c r="H282" s="40" t="s">
        <v>1371</v>
      </c>
      <c r="I282" s="38" t="s">
        <v>1372</v>
      </c>
      <c r="J282" s="38" t="s">
        <v>18</v>
      </c>
      <c r="K282" s="38" t="s">
        <v>1373</v>
      </c>
      <c r="L282" s="38" t="s">
        <v>55</v>
      </c>
      <c r="M282" s="37" t="s">
        <v>120</v>
      </c>
      <c r="N282" s="39" t="n">
        <v>38520</v>
      </c>
      <c r="O282" s="41" t="s">
        <v>23</v>
      </c>
      <c r="P282" s="41" t="s">
        <v>105</v>
      </c>
      <c r="Q282" s="42"/>
      <c r="R282" s="41"/>
      <c r="S282" s="42"/>
      <c r="T282" s="41"/>
    </row>
    <row r="283" customFormat="false" ht="13.5" hidden="false" customHeight="true" outlineLevel="0" collapsed="false">
      <c r="A283" s="37" t="n">
        <v>280</v>
      </c>
      <c r="B283" s="37" t="n">
        <v>1726</v>
      </c>
      <c r="C283" s="38" t="s">
        <v>1374</v>
      </c>
      <c r="D283" s="37" t="s">
        <v>100</v>
      </c>
      <c r="E283" s="39" t="n">
        <v>20585</v>
      </c>
      <c r="F283" s="37" t="n">
        <f aca="true">IFERROR(DATEDIF(E283,TODAY(),"Y"),"")</f>
        <v>70</v>
      </c>
      <c r="G283" s="40" t="s">
        <v>1375</v>
      </c>
      <c r="H283" s="40" t="s">
        <v>1376</v>
      </c>
      <c r="I283" s="38"/>
      <c r="J283" s="38" t="s">
        <v>24</v>
      </c>
      <c r="K283" s="38" t="s">
        <v>1377</v>
      </c>
      <c r="L283" s="38" t="s">
        <v>51</v>
      </c>
      <c r="M283" s="37"/>
      <c r="N283" s="39" t="n">
        <v>38520</v>
      </c>
      <c r="O283" s="41" t="s">
        <v>23</v>
      </c>
      <c r="P283" s="41" t="s">
        <v>105</v>
      </c>
      <c r="Q283" s="42"/>
      <c r="R283" s="41"/>
      <c r="S283" s="42"/>
      <c r="T283" s="41"/>
    </row>
    <row r="284" customFormat="false" ht="13.5" hidden="false" customHeight="true" outlineLevel="0" collapsed="false">
      <c r="A284" s="37" t="n">
        <v>281</v>
      </c>
      <c r="B284" s="37" t="n">
        <v>1730</v>
      </c>
      <c r="C284" s="38" t="s">
        <v>1378</v>
      </c>
      <c r="D284" s="37" t="s">
        <v>100</v>
      </c>
      <c r="E284" s="39" t="n">
        <v>22431</v>
      </c>
      <c r="F284" s="37" t="n">
        <f aca="true">IFERROR(DATEDIF(E284,TODAY(),"Y"),"")</f>
        <v>65</v>
      </c>
      <c r="G284" s="40" t="s">
        <v>1379</v>
      </c>
      <c r="H284" s="40" t="s">
        <v>1380</v>
      </c>
      <c r="I284" s="38" t="s">
        <v>1381</v>
      </c>
      <c r="J284" s="38" t="s">
        <v>16</v>
      </c>
      <c r="K284" s="38" t="s">
        <v>1382</v>
      </c>
      <c r="L284" s="38" t="s">
        <v>55</v>
      </c>
      <c r="M284" s="37"/>
      <c r="N284" s="39" t="n">
        <v>38520</v>
      </c>
      <c r="O284" s="41" t="s">
        <v>23</v>
      </c>
      <c r="P284" s="41" t="s">
        <v>105</v>
      </c>
      <c r="Q284" s="42"/>
      <c r="R284" s="41"/>
      <c r="S284" s="42"/>
      <c r="T284" s="41"/>
    </row>
    <row r="285" customFormat="false" ht="13.5" hidden="false" customHeight="true" outlineLevel="0" collapsed="false">
      <c r="A285" s="37" t="n">
        <v>282</v>
      </c>
      <c r="B285" s="37" t="n">
        <v>1734</v>
      </c>
      <c r="C285" s="38" t="s">
        <v>1383</v>
      </c>
      <c r="D285" s="37" t="s">
        <v>100</v>
      </c>
      <c r="E285" s="39" t="n">
        <v>24252</v>
      </c>
      <c r="F285" s="37" t="n">
        <f aca="true">IFERROR(DATEDIF(E285,TODAY(),"Y"),"")</f>
        <v>60</v>
      </c>
      <c r="G285" s="40" t="s">
        <v>1384</v>
      </c>
      <c r="H285" s="40"/>
      <c r="I285" s="38" t="s">
        <v>1385</v>
      </c>
      <c r="J285" s="38" t="s">
        <v>16</v>
      </c>
      <c r="K285" s="38" t="s">
        <v>1386</v>
      </c>
      <c r="L285" s="38" t="s">
        <v>44</v>
      </c>
      <c r="M285" s="37"/>
      <c r="N285" s="39" t="n">
        <v>38520</v>
      </c>
      <c r="O285" s="41" t="s">
        <v>23</v>
      </c>
      <c r="P285" s="41" t="s">
        <v>105</v>
      </c>
      <c r="Q285" s="42"/>
      <c r="R285" s="41"/>
      <c r="S285" s="42"/>
      <c r="T285" s="41"/>
    </row>
    <row r="286" customFormat="false" ht="13.5" hidden="false" customHeight="true" outlineLevel="0" collapsed="false">
      <c r="A286" s="37" t="n">
        <v>283</v>
      </c>
      <c r="B286" s="37" t="n">
        <v>1736</v>
      </c>
      <c r="C286" s="38" t="s">
        <v>1387</v>
      </c>
      <c r="D286" s="37" t="s">
        <v>100</v>
      </c>
      <c r="E286" s="39" t="n">
        <v>22419</v>
      </c>
      <c r="F286" s="37" t="n">
        <f aca="true">IFERROR(DATEDIF(E286,TODAY(),"Y"),"")</f>
        <v>65</v>
      </c>
      <c r="G286" s="40" t="s">
        <v>1388</v>
      </c>
      <c r="H286" s="40"/>
      <c r="I286" s="38" t="s">
        <v>1389</v>
      </c>
      <c r="J286" s="38"/>
      <c r="K286" s="38" t="s">
        <v>1390</v>
      </c>
      <c r="L286" s="38" t="s">
        <v>55</v>
      </c>
      <c r="M286" s="37"/>
      <c r="N286" s="39" t="n">
        <v>38520</v>
      </c>
      <c r="O286" s="41" t="s">
        <v>23</v>
      </c>
      <c r="P286" s="41" t="s">
        <v>105</v>
      </c>
      <c r="Q286" s="42"/>
      <c r="R286" s="41"/>
      <c r="S286" s="42"/>
      <c r="T286" s="41"/>
    </row>
    <row r="287" customFormat="false" ht="13.5" hidden="false" customHeight="true" outlineLevel="0" collapsed="false">
      <c r="A287" s="37" t="n">
        <v>284</v>
      </c>
      <c r="B287" s="37" t="n">
        <v>1740</v>
      </c>
      <c r="C287" s="38" t="s">
        <v>1391</v>
      </c>
      <c r="D287" s="37" t="s">
        <v>100</v>
      </c>
      <c r="E287" s="39" t="n">
        <v>18636</v>
      </c>
      <c r="F287" s="37" t="n">
        <f aca="true">IFERROR(DATEDIF(E287,TODAY(),"Y"),"")</f>
        <v>75</v>
      </c>
      <c r="G287" s="40" t="s">
        <v>1392</v>
      </c>
      <c r="H287" s="40" t="s">
        <v>1393</v>
      </c>
      <c r="I287" s="38" t="s">
        <v>1394</v>
      </c>
      <c r="J287" s="38" t="s">
        <v>15</v>
      </c>
      <c r="K287" s="38" t="s">
        <v>1395</v>
      </c>
      <c r="L287" s="38" t="s">
        <v>54</v>
      </c>
      <c r="M287" s="37" t="s">
        <v>241</v>
      </c>
      <c r="N287" s="39" t="n">
        <v>38520</v>
      </c>
      <c r="O287" s="41" t="s">
        <v>23</v>
      </c>
      <c r="P287" s="41" t="s">
        <v>105</v>
      </c>
      <c r="Q287" s="42"/>
      <c r="R287" s="41"/>
      <c r="S287" s="42"/>
      <c r="T287" s="41"/>
    </row>
    <row r="288" customFormat="false" ht="13.5" hidden="false" customHeight="true" outlineLevel="0" collapsed="false">
      <c r="A288" s="37" t="n">
        <v>285</v>
      </c>
      <c r="B288" s="37" t="n">
        <v>1742</v>
      </c>
      <c r="C288" s="38" t="s">
        <v>1396</v>
      </c>
      <c r="D288" s="37" t="s">
        <v>100</v>
      </c>
      <c r="E288" s="39" t="n">
        <v>25743</v>
      </c>
      <c r="F288" s="37" t="n">
        <f aca="true">IFERROR(DATEDIF(E288,TODAY(),"Y"),"")</f>
        <v>56</v>
      </c>
      <c r="G288" s="40" t="s">
        <v>1397</v>
      </c>
      <c r="H288" s="40" t="s">
        <v>1398</v>
      </c>
      <c r="I288" s="38" t="s">
        <v>1399</v>
      </c>
      <c r="J288" s="38" t="s">
        <v>15</v>
      </c>
      <c r="K288" s="38" t="s">
        <v>1400</v>
      </c>
      <c r="L288" s="38" t="s">
        <v>47</v>
      </c>
      <c r="M288" s="37" t="s">
        <v>104</v>
      </c>
      <c r="N288" s="39" t="n">
        <v>38520</v>
      </c>
      <c r="O288" s="41" t="s">
        <v>23</v>
      </c>
      <c r="P288" s="41" t="s">
        <v>105</v>
      </c>
      <c r="Q288" s="42"/>
      <c r="R288" s="41"/>
      <c r="S288" s="42"/>
      <c r="T288" s="41"/>
    </row>
    <row r="289" customFormat="false" ht="13.5" hidden="false" customHeight="true" outlineLevel="0" collapsed="false">
      <c r="A289" s="37" t="n">
        <v>286</v>
      </c>
      <c r="B289" s="37" t="n">
        <v>1743</v>
      </c>
      <c r="C289" s="38" t="s">
        <v>1401</v>
      </c>
      <c r="D289" s="37" t="s">
        <v>100</v>
      </c>
      <c r="E289" s="39" t="n">
        <v>27036</v>
      </c>
      <c r="F289" s="37" t="n">
        <f aca="true">IFERROR(DATEDIF(E289,TODAY(),"Y"),"")</f>
        <v>52</v>
      </c>
      <c r="G289" s="40" t="s">
        <v>1402</v>
      </c>
      <c r="H289" s="40"/>
      <c r="I289" s="38" t="s">
        <v>1403</v>
      </c>
      <c r="J289" s="38" t="s">
        <v>22</v>
      </c>
      <c r="K289" s="38" t="s">
        <v>1404</v>
      </c>
      <c r="L289" s="38" t="s">
        <v>51</v>
      </c>
      <c r="M289" s="37"/>
      <c r="N289" s="39" t="n">
        <v>38520</v>
      </c>
      <c r="O289" s="41" t="s">
        <v>23</v>
      </c>
      <c r="P289" s="41" t="s">
        <v>105</v>
      </c>
      <c r="Q289" s="42"/>
      <c r="R289" s="41"/>
      <c r="S289" s="42"/>
      <c r="T289" s="41"/>
    </row>
    <row r="290" customFormat="false" ht="13.5" hidden="false" customHeight="true" outlineLevel="0" collapsed="false">
      <c r="A290" s="37" t="n">
        <v>287</v>
      </c>
      <c r="B290" s="37" t="n">
        <v>1745</v>
      </c>
      <c r="C290" s="38" t="s">
        <v>1405</v>
      </c>
      <c r="D290" s="37" t="s">
        <v>100</v>
      </c>
      <c r="E290" s="39" t="n">
        <v>26449</v>
      </c>
      <c r="F290" s="37" t="n">
        <f aca="true">IFERROR(DATEDIF(E290,TODAY(),"Y"),"")</f>
        <v>54</v>
      </c>
      <c r="G290" s="40" t="s">
        <v>1406</v>
      </c>
      <c r="H290" s="40" t="s">
        <v>1407</v>
      </c>
      <c r="I290" s="38" t="s">
        <v>1408</v>
      </c>
      <c r="J290" s="38"/>
      <c r="K290" s="38" t="s">
        <v>1409</v>
      </c>
      <c r="L290" s="38" t="s">
        <v>47</v>
      </c>
      <c r="M290" s="37"/>
      <c r="N290" s="39" t="n">
        <v>38520</v>
      </c>
      <c r="O290" s="41" t="s">
        <v>23</v>
      </c>
      <c r="P290" s="41" t="s">
        <v>105</v>
      </c>
      <c r="Q290" s="42"/>
      <c r="R290" s="41"/>
      <c r="S290" s="42"/>
      <c r="T290" s="41"/>
    </row>
    <row r="291" customFormat="false" ht="13.5" hidden="false" customHeight="true" outlineLevel="0" collapsed="false">
      <c r="A291" s="37" t="n">
        <v>288</v>
      </c>
      <c r="B291" s="37" t="n">
        <v>1746</v>
      </c>
      <c r="C291" s="38" t="s">
        <v>1410</v>
      </c>
      <c r="D291" s="37" t="s">
        <v>100</v>
      </c>
      <c r="E291" s="39" t="n">
        <v>27716</v>
      </c>
      <c r="F291" s="37" t="n">
        <f aca="true">IFERROR(DATEDIF(E291,TODAY(),"Y"),"")</f>
        <v>50</v>
      </c>
      <c r="G291" s="40" t="s">
        <v>1411</v>
      </c>
      <c r="H291" s="40" t="s">
        <v>1412</v>
      </c>
      <c r="I291" s="38" t="s">
        <v>1413</v>
      </c>
      <c r="J291" s="38"/>
      <c r="K291" s="38" t="s">
        <v>1414</v>
      </c>
      <c r="L291" s="43" t="s">
        <v>58</v>
      </c>
      <c r="M291" s="37"/>
      <c r="N291" s="39" t="n">
        <v>38520</v>
      </c>
      <c r="O291" s="41" t="s">
        <v>23</v>
      </c>
      <c r="P291" s="41" t="s">
        <v>105</v>
      </c>
      <c r="Q291" s="42"/>
      <c r="R291" s="41"/>
      <c r="S291" s="42"/>
      <c r="T291" s="41"/>
    </row>
    <row r="292" customFormat="false" ht="13.5" hidden="false" customHeight="true" outlineLevel="0" collapsed="false">
      <c r="A292" s="37" t="n">
        <v>289</v>
      </c>
      <c r="B292" s="37" t="n">
        <v>1747</v>
      </c>
      <c r="C292" s="38" t="s">
        <v>1415</v>
      </c>
      <c r="D292" s="37" t="s">
        <v>100</v>
      </c>
      <c r="E292" s="39" t="n">
        <v>27150</v>
      </c>
      <c r="F292" s="37" t="n">
        <f aca="true">IFERROR(DATEDIF(E292,TODAY(),"Y"),"")</f>
        <v>52</v>
      </c>
      <c r="G292" s="40" t="s">
        <v>1416</v>
      </c>
      <c r="H292" s="40" t="s">
        <v>1417</v>
      </c>
      <c r="I292" s="38" t="s">
        <v>1418</v>
      </c>
      <c r="J292" s="38" t="s">
        <v>15</v>
      </c>
      <c r="K292" s="38" t="s">
        <v>1419</v>
      </c>
      <c r="L292" s="38" t="s">
        <v>55</v>
      </c>
      <c r="M292" s="37" t="s">
        <v>120</v>
      </c>
      <c r="N292" s="39" t="n">
        <v>38520</v>
      </c>
      <c r="O292" s="41" t="s">
        <v>23</v>
      </c>
      <c r="P292" s="41" t="s">
        <v>105</v>
      </c>
      <c r="Q292" s="42"/>
      <c r="R292" s="41"/>
      <c r="S292" s="42"/>
      <c r="T292" s="41"/>
    </row>
    <row r="293" customFormat="false" ht="13.5" hidden="false" customHeight="true" outlineLevel="0" collapsed="false">
      <c r="A293" s="37" t="n">
        <v>290</v>
      </c>
      <c r="B293" s="37" t="n">
        <v>1749</v>
      </c>
      <c r="C293" s="38" t="s">
        <v>1420</v>
      </c>
      <c r="D293" s="37" t="s">
        <v>100</v>
      </c>
      <c r="E293" s="39" t="n">
        <v>26702</v>
      </c>
      <c r="F293" s="37" t="n">
        <f aca="true">IFERROR(DATEDIF(E293,TODAY(),"Y"),"")</f>
        <v>53</v>
      </c>
      <c r="G293" s="40" t="s">
        <v>1421</v>
      </c>
      <c r="H293" s="40" t="s">
        <v>1422</v>
      </c>
      <c r="I293" s="38" t="s">
        <v>1423</v>
      </c>
      <c r="J293" s="38" t="s">
        <v>24</v>
      </c>
      <c r="K293" s="38" t="s">
        <v>1424</v>
      </c>
      <c r="L293" s="38" t="s">
        <v>47</v>
      </c>
      <c r="M293" s="37"/>
      <c r="N293" s="39" t="n">
        <v>38520</v>
      </c>
      <c r="O293" s="41" t="s">
        <v>23</v>
      </c>
      <c r="P293" s="41" t="s">
        <v>105</v>
      </c>
      <c r="Q293" s="42"/>
      <c r="R293" s="41"/>
      <c r="S293" s="42"/>
      <c r="T293" s="41"/>
    </row>
    <row r="294" customFormat="false" ht="13.5" hidden="false" customHeight="true" outlineLevel="0" collapsed="false">
      <c r="A294" s="37" t="n">
        <v>291</v>
      </c>
      <c r="B294" s="37" t="n">
        <v>1752</v>
      </c>
      <c r="C294" s="38" t="s">
        <v>1425</v>
      </c>
      <c r="D294" s="37" t="s">
        <v>100</v>
      </c>
      <c r="E294" s="39" t="n">
        <v>30489</v>
      </c>
      <c r="F294" s="37" t="n">
        <f aca="true">IFERROR(DATEDIF(E294,TODAY(),"Y"),"")</f>
        <v>43</v>
      </c>
      <c r="G294" s="40" t="s">
        <v>1426</v>
      </c>
      <c r="H294" s="40"/>
      <c r="I294" s="38" t="s">
        <v>1427</v>
      </c>
      <c r="J294" s="38" t="s">
        <v>15</v>
      </c>
      <c r="K294" s="38" t="s">
        <v>1428</v>
      </c>
      <c r="L294" s="38" t="s">
        <v>47</v>
      </c>
      <c r="M294" s="37"/>
      <c r="N294" s="39" t="n">
        <v>38520</v>
      </c>
      <c r="O294" s="41" t="s">
        <v>23</v>
      </c>
      <c r="P294" s="41" t="s">
        <v>105</v>
      </c>
      <c r="Q294" s="42"/>
      <c r="R294" s="41"/>
      <c r="S294" s="42"/>
      <c r="T294" s="41"/>
    </row>
    <row r="295" customFormat="false" ht="13.5" hidden="false" customHeight="true" outlineLevel="0" collapsed="false">
      <c r="A295" s="37" t="n">
        <v>292</v>
      </c>
      <c r="B295" s="37" t="n">
        <v>1760</v>
      </c>
      <c r="C295" s="38" t="s">
        <v>1429</v>
      </c>
      <c r="D295" s="37" t="s">
        <v>100</v>
      </c>
      <c r="E295" s="39" t="n">
        <v>21144</v>
      </c>
      <c r="F295" s="37" t="n">
        <f aca="true">IFERROR(DATEDIF(E295,TODAY(),"Y"),"")</f>
        <v>68</v>
      </c>
      <c r="G295" s="40" t="s">
        <v>1430</v>
      </c>
      <c r="H295" s="40" t="s">
        <v>1431</v>
      </c>
      <c r="I295" s="38" t="s">
        <v>1432</v>
      </c>
      <c r="J295" s="38" t="s">
        <v>15</v>
      </c>
      <c r="K295" s="38" t="s">
        <v>1433</v>
      </c>
      <c r="L295" s="38" t="s">
        <v>46</v>
      </c>
      <c r="M295" s="37"/>
      <c r="N295" s="39" t="n">
        <v>38520</v>
      </c>
      <c r="O295" s="41" t="s">
        <v>23</v>
      </c>
      <c r="P295" s="41" t="s">
        <v>105</v>
      </c>
      <c r="Q295" s="42"/>
      <c r="R295" s="41"/>
      <c r="S295" s="42"/>
      <c r="T295" s="41"/>
    </row>
    <row r="296" customFormat="false" ht="13.5" hidden="false" customHeight="true" outlineLevel="0" collapsed="false">
      <c r="A296" s="37" t="n">
        <v>293</v>
      </c>
      <c r="B296" s="37" t="n">
        <v>1766</v>
      </c>
      <c r="C296" s="38" t="s">
        <v>1434</v>
      </c>
      <c r="D296" s="37" t="s">
        <v>100</v>
      </c>
      <c r="E296" s="39" t="n">
        <v>24871</v>
      </c>
      <c r="F296" s="37" t="n">
        <f aca="true">IFERROR(DATEDIF(E296,TODAY(),"Y"),"")</f>
        <v>58</v>
      </c>
      <c r="G296" s="40" t="s">
        <v>1435</v>
      </c>
      <c r="H296" s="40" t="s">
        <v>1436</v>
      </c>
      <c r="I296" s="38" t="s">
        <v>1437</v>
      </c>
      <c r="J296" s="38" t="s">
        <v>15</v>
      </c>
      <c r="K296" s="38" t="s">
        <v>1438</v>
      </c>
      <c r="L296" s="38" t="s">
        <v>55</v>
      </c>
      <c r="M296" s="37"/>
      <c r="N296" s="39" t="n">
        <v>38520</v>
      </c>
      <c r="O296" s="41" t="s">
        <v>23</v>
      </c>
      <c r="P296" s="41" t="s">
        <v>105</v>
      </c>
      <c r="Q296" s="42"/>
      <c r="R296" s="41"/>
      <c r="S296" s="42"/>
      <c r="T296" s="41"/>
    </row>
    <row r="297" customFormat="false" ht="13.5" hidden="false" customHeight="true" outlineLevel="0" collapsed="false">
      <c r="A297" s="37" t="n">
        <v>294</v>
      </c>
      <c r="B297" s="37" t="n">
        <v>1769</v>
      </c>
      <c r="C297" s="38" t="s">
        <v>1439</v>
      </c>
      <c r="D297" s="37" t="s">
        <v>100</v>
      </c>
      <c r="E297" s="39" t="n">
        <v>23528</v>
      </c>
      <c r="F297" s="37" t="n">
        <f aca="true">IFERROR(DATEDIF(E297,TODAY(),"Y"),"")</f>
        <v>62</v>
      </c>
      <c r="G297" s="40" t="s">
        <v>1440</v>
      </c>
      <c r="H297" s="40" t="s">
        <v>1441</v>
      </c>
      <c r="I297" s="38" t="s">
        <v>1442</v>
      </c>
      <c r="J297" s="38" t="s">
        <v>16</v>
      </c>
      <c r="K297" s="38" t="s">
        <v>1443</v>
      </c>
      <c r="L297" s="38" t="s">
        <v>53</v>
      </c>
      <c r="M297" s="37"/>
      <c r="N297" s="39" t="n">
        <v>38520</v>
      </c>
      <c r="O297" s="41" t="s">
        <v>23</v>
      </c>
      <c r="P297" s="41" t="s">
        <v>105</v>
      </c>
      <c r="Q297" s="42"/>
      <c r="R297" s="41"/>
      <c r="S297" s="42"/>
      <c r="T297" s="41"/>
    </row>
    <row r="298" customFormat="false" ht="13.5" hidden="false" customHeight="true" outlineLevel="0" collapsed="false">
      <c r="A298" s="37" t="n">
        <v>295</v>
      </c>
      <c r="B298" s="37" t="n">
        <v>1770</v>
      </c>
      <c r="C298" s="38" t="s">
        <v>1444</v>
      </c>
      <c r="D298" s="37" t="s">
        <v>100</v>
      </c>
      <c r="E298" s="39" t="n">
        <v>19874</v>
      </c>
      <c r="F298" s="37" t="n">
        <f aca="true">IFERROR(DATEDIF(E298,TODAY(),"Y"),"")</f>
        <v>72</v>
      </c>
      <c r="G298" s="40" t="s">
        <v>1445</v>
      </c>
      <c r="H298" s="40" t="s">
        <v>1446</v>
      </c>
      <c r="I298" s="38" t="s">
        <v>1447</v>
      </c>
      <c r="J298" s="38" t="s">
        <v>15</v>
      </c>
      <c r="K298" s="38" t="s">
        <v>1448</v>
      </c>
      <c r="L298" s="38" t="s">
        <v>54</v>
      </c>
      <c r="M298" s="37"/>
      <c r="N298" s="39" t="n">
        <v>38520</v>
      </c>
      <c r="O298" s="41" t="s">
        <v>23</v>
      </c>
      <c r="P298" s="41" t="s">
        <v>105</v>
      </c>
      <c r="Q298" s="42"/>
      <c r="R298" s="41"/>
      <c r="S298" s="42"/>
      <c r="T298" s="41"/>
    </row>
    <row r="299" customFormat="false" ht="13.5" hidden="false" customHeight="true" outlineLevel="0" collapsed="false">
      <c r="A299" s="37" t="n">
        <v>296</v>
      </c>
      <c r="B299" s="37" t="n">
        <v>1771</v>
      </c>
      <c r="C299" s="38" t="s">
        <v>1449</v>
      </c>
      <c r="D299" s="37" t="s">
        <v>100</v>
      </c>
      <c r="E299" s="39" t="n">
        <v>22811</v>
      </c>
      <c r="F299" s="37" t="n">
        <f aca="true">IFERROR(DATEDIF(E299,TODAY(),"Y"),"")</f>
        <v>64</v>
      </c>
      <c r="G299" s="40" t="s">
        <v>1450</v>
      </c>
      <c r="H299" s="40"/>
      <c r="I299" s="38" t="s">
        <v>1451</v>
      </c>
      <c r="J299" s="38"/>
      <c r="K299" s="38" t="s">
        <v>1452</v>
      </c>
      <c r="L299" s="38" t="s">
        <v>55</v>
      </c>
      <c r="M299" s="37"/>
      <c r="N299" s="39" t="n">
        <v>38520</v>
      </c>
      <c r="O299" s="41" t="s">
        <v>23</v>
      </c>
      <c r="P299" s="41" t="s">
        <v>105</v>
      </c>
      <c r="Q299" s="42"/>
      <c r="R299" s="41"/>
      <c r="S299" s="42"/>
      <c r="T299" s="41"/>
    </row>
    <row r="300" customFormat="false" ht="13.5" hidden="false" customHeight="true" outlineLevel="0" collapsed="false">
      <c r="A300" s="37" t="n">
        <v>297</v>
      </c>
      <c r="B300" s="37" t="n">
        <v>1776</v>
      </c>
      <c r="C300" s="38" t="s">
        <v>1453</v>
      </c>
      <c r="D300" s="37" t="s">
        <v>100</v>
      </c>
      <c r="E300" s="39" t="n">
        <v>24973</v>
      </c>
      <c r="F300" s="37" t="n">
        <f aca="true">IFERROR(DATEDIF(E300,TODAY(),"Y"),"")</f>
        <v>58</v>
      </c>
      <c r="G300" s="40" t="s">
        <v>1454</v>
      </c>
      <c r="H300" s="40"/>
      <c r="I300" s="38"/>
      <c r="J300" s="38" t="s">
        <v>18</v>
      </c>
      <c r="K300" s="38" t="s">
        <v>1455</v>
      </c>
      <c r="L300" s="38" t="s">
        <v>54</v>
      </c>
      <c r="M300" s="37"/>
      <c r="N300" s="39" t="n">
        <v>38520</v>
      </c>
      <c r="O300" s="41" t="s">
        <v>23</v>
      </c>
      <c r="P300" s="41" t="s">
        <v>105</v>
      </c>
      <c r="Q300" s="42"/>
      <c r="R300" s="41"/>
      <c r="S300" s="42"/>
      <c r="T300" s="41"/>
    </row>
    <row r="301" customFormat="false" ht="13.5" hidden="false" customHeight="true" outlineLevel="0" collapsed="false">
      <c r="A301" s="37" t="n">
        <v>298</v>
      </c>
      <c r="B301" s="37" t="n">
        <v>1785</v>
      </c>
      <c r="C301" s="38" t="s">
        <v>1456</v>
      </c>
      <c r="D301" s="37" t="s">
        <v>100</v>
      </c>
      <c r="E301" s="39" t="n">
        <v>24517</v>
      </c>
      <c r="F301" s="37" t="n">
        <f aca="true">IFERROR(DATEDIF(E301,TODAY(),"Y"),"")</f>
        <v>59</v>
      </c>
      <c r="G301" s="40" t="s">
        <v>1457</v>
      </c>
      <c r="H301" s="40" t="s">
        <v>1458</v>
      </c>
      <c r="I301" s="38" t="s">
        <v>1459</v>
      </c>
      <c r="J301" s="38" t="s">
        <v>15</v>
      </c>
      <c r="K301" s="38" t="s">
        <v>1460</v>
      </c>
      <c r="L301" s="38" t="s">
        <v>47</v>
      </c>
      <c r="M301" s="37"/>
      <c r="N301" s="39" t="n">
        <v>38520</v>
      </c>
      <c r="O301" s="41" t="s">
        <v>23</v>
      </c>
      <c r="P301" s="41" t="s">
        <v>105</v>
      </c>
      <c r="Q301" s="42"/>
      <c r="R301" s="41"/>
      <c r="S301" s="42"/>
      <c r="T301" s="41"/>
    </row>
    <row r="302" customFormat="false" ht="13.5" hidden="false" customHeight="true" outlineLevel="0" collapsed="false">
      <c r="A302" s="37" t="n">
        <v>299</v>
      </c>
      <c r="B302" s="37" t="n">
        <v>1787</v>
      </c>
      <c r="C302" s="38" t="s">
        <v>1461</v>
      </c>
      <c r="D302" s="37" t="s">
        <v>100</v>
      </c>
      <c r="E302" s="39" t="n">
        <v>23291</v>
      </c>
      <c r="F302" s="37" t="n">
        <f aca="true">IFERROR(DATEDIF(E302,TODAY(),"Y"),"")</f>
        <v>62</v>
      </c>
      <c r="G302" s="40" t="s">
        <v>1462</v>
      </c>
      <c r="H302" s="40" t="s">
        <v>1463</v>
      </c>
      <c r="I302" s="38" t="s">
        <v>1464</v>
      </c>
      <c r="J302" s="38" t="s">
        <v>15</v>
      </c>
      <c r="K302" s="38" t="s">
        <v>1465</v>
      </c>
      <c r="L302" s="38" t="s">
        <v>54</v>
      </c>
      <c r="M302" s="37" t="s">
        <v>120</v>
      </c>
      <c r="N302" s="39" t="n">
        <v>38520</v>
      </c>
      <c r="O302" s="41" t="s">
        <v>23</v>
      </c>
      <c r="P302" s="41" t="s">
        <v>105</v>
      </c>
      <c r="Q302" s="42"/>
      <c r="R302" s="41"/>
      <c r="S302" s="42"/>
      <c r="T302" s="41"/>
    </row>
    <row r="303" customFormat="false" ht="13.5" hidden="false" customHeight="true" outlineLevel="0" collapsed="false">
      <c r="A303" s="37" t="n">
        <v>300</v>
      </c>
      <c r="B303" s="37" t="n">
        <v>1790</v>
      </c>
      <c r="C303" s="38" t="s">
        <v>1466</v>
      </c>
      <c r="D303" s="37" t="s">
        <v>100</v>
      </c>
      <c r="E303" s="39" t="n">
        <v>19862</v>
      </c>
      <c r="F303" s="37" t="n">
        <f aca="true">IFERROR(DATEDIF(E303,TODAY(),"Y"),"")</f>
        <v>72</v>
      </c>
      <c r="G303" s="40" t="s">
        <v>1467</v>
      </c>
      <c r="H303" s="40" t="s">
        <v>1468</v>
      </c>
      <c r="I303" s="38" t="s">
        <v>1469</v>
      </c>
      <c r="J303" s="38" t="s">
        <v>15</v>
      </c>
      <c r="K303" s="38" t="s">
        <v>1470</v>
      </c>
      <c r="L303" s="43" t="s">
        <v>58</v>
      </c>
      <c r="M303" s="37"/>
      <c r="N303" s="39" t="n">
        <v>38520</v>
      </c>
      <c r="O303" s="41" t="s">
        <v>23</v>
      </c>
      <c r="P303" s="41" t="s">
        <v>105</v>
      </c>
      <c r="Q303" s="42"/>
      <c r="R303" s="41"/>
      <c r="S303" s="42"/>
      <c r="T303" s="41"/>
    </row>
    <row r="304" customFormat="false" ht="13.5" hidden="false" customHeight="true" outlineLevel="0" collapsed="false">
      <c r="A304" s="37" t="n">
        <v>301</v>
      </c>
      <c r="B304" s="37" t="n">
        <v>1794</v>
      </c>
      <c r="C304" s="38" t="s">
        <v>1471</v>
      </c>
      <c r="D304" s="37" t="s">
        <v>100</v>
      </c>
      <c r="E304" s="39" t="n">
        <v>21610</v>
      </c>
      <c r="F304" s="37" t="n">
        <f aca="true">IFERROR(DATEDIF(E304,TODAY(),"Y"),"")</f>
        <v>67</v>
      </c>
      <c r="G304" s="40" t="s">
        <v>1472</v>
      </c>
      <c r="H304" s="40" t="s">
        <v>1473</v>
      </c>
      <c r="I304" s="38" t="s">
        <v>1474</v>
      </c>
      <c r="J304" s="38" t="s">
        <v>16</v>
      </c>
      <c r="K304" s="38" t="s">
        <v>1475</v>
      </c>
      <c r="L304" s="38" t="s">
        <v>55</v>
      </c>
      <c r="M304" s="37"/>
      <c r="N304" s="39" t="n">
        <v>38520</v>
      </c>
      <c r="O304" s="41" t="s">
        <v>23</v>
      </c>
      <c r="P304" s="41" t="s">
        <v>105</v>
      </c>
      <c r="Q304" s="42"/>
      <c r="R304" s="41"/>
      <c r="S304" s="42"/>
      <c r="T304" s="41"/>
    </row>
    <row r="305" customFormat="false" ht="13.5" hidden="false" customHeight="true" outlineLevel="0" collapsed="false">
      <c r="A305" s="37" t="n">
        <v>302</v>
      </c>
      <c r="B305" s="37" t="n">
        <v>1798</v>
      </c>
      <c r="C305" s="38" t="s">
        <v>1476</v>
      </c>
      <c r="D305" s="37" t="s">
        <v>100</v>
      </c>
      <c r="E305" s="39" t="n">
        <v>22623</v>
      </c>
      <c r="F305" s="37" t="n">
        <f aca="true">IFERROR(DATEDIF(E305,TODAY(),"Y"),"")</f>
        <v>64</v>
      </c>
      <c r="G305" s="40" t="s">
        <v>1477</v>
      </c>
      <c r="H305" s="40"/>
      <c r="I305" s="38" t="s">
        <v>1478</v>
      </c>
      <c r="J305" s="38"/>
      <c r="K305" s="38" t="s">
        <v>1479</v>
      </c>
      <c r="L305" s="38" t="s">
        <v>55</v>
      </c>
      <c r="M305" s="37"/>
      <c r="N305" s="39" t="n">
        <v>38520</v>
      </c>
      <c r="O305" s="41" t="s">
        <v>23</v>
      </c>
      <c r="P305" s="41" t="s">
        <v>105</v>
      </c>
      <c r="Q305" s="42"/>
      <c r="R305" s="41"/>
      <c r="S305" s="42"/>
      <c r="T305" s="41"/>
    </row>
    <row r="306" customFormat="false" ht="13.5" hidden="false" customHeight="true" outlineLevel="0" collapsed="false">
      <c r="A306" s="37" t="n">
        <v>303</v>
      </c>
      <c r="B306" s="37" t="n">
        <v>1807</v>
      </c>
      <c r="C306" s="38" t="s">
        <v>1480</v>
      </c>
      <c r="D306" s="37" t="s">
        <v>100</v>
      </c>
      <c r="E306" s="39" t="n">
        <v>24988</v>
      </c>
      <c r="F306" s="37" t="n">
        <f aca="true">IFERROR(DATEDIF(E306,TODAY(),"Y"),"")</f>
        <v>58</v>
      </c>
      <c r="G306" s="40" t="s">
        <v>1481</v>
      </c>
      <c r="H306" s="40" t="s">
        <v>1482</v>
      </c>
      <c r="I306" s="38" t="s">
        <v>1483</v>
      </c>
      <c r="J306" s="38"/>
      <c r="K306" s="38" t="s">
        <v>1484</v>
      </c>
      <c r="L306" s="38" t="s">
        <v>53</v>
      </c>
      <c r="M306" s="37" t="s">
        <v>120</v>
      </c>
      <c r="N306" s="39" t="n">
        <v>38520</v>
      </c>
      <c r="O306" s="41" t="s">
        <v>23</v>
      </c>
      <c r="P306" s="41" t="s">
        <v>105</v>
      </c>
      <c r="Q306" s="42"/>
      <c r="R306" s="41"/>
      <c r="S306" s="42"/>
      <c r="T306" s="41"/>
    </row>
    <row r="307" customFormat="false" ht="13.5" hidden="false" customHeight="true" outlineLevel="0" collapsed="false">
      <c r="A307" s="37" t="n">
        <v>304</v>
      </c>
      <c r="B307" s="37" t="n">
        <v>1808</v>
      </c>
      <c r="C307" s="38" t="s">
        <v>1485</v>
      </c>
      <c r="D307" s="37" t="s">
        <v>100</v>
      </c>
      <c r="E307" s="39" t="n">
        <v>21671</v>
      </c>
      <c r="F307" s="37" t="n">
        <f aca="true">IFERROR(DATEDIF(E307,TODAY(),"Y"),"")</f>
        <v>67</v>
      </c>
      <c r="G307" s="40" t="s">
        <v>1486</v>
      </c>
      <c r="H307" s="40"/>
      <c r="I307" s="38" t="s">
        <v>1487</v>
      </c>
      <c r="J307" s="38" t="s">
        <v>15</v>
      </c>
      <c r="K307" s="38" t="s">
        <v>1488</v>
      </c>
      <c r="L307" s="38" t="s">
        <v>51</v>
      </c>
      <c r="M307" s="37"/>
      <c r="N307" s="39" t="n">
        <v>38520</v>
      </c>
      <c r="O307" s="41" t="s">
        <v>23</v>
      </c>
      <c r="P307" s="41" t="s">
        <v>105</v>
      </c>
      <c r="Q307" s="42"/>
      <c r="R307" s="41"/>
      <c r="S307" s="42"/>
      <c r="T307" s="41"/>
    </row>
    <row r="308" customFormat="false" ht="13.5" hidden="false" customHeight="true" outlineLevel="0" collapsed="false">
      <c r="A308" s="37" t="n">
        <v>305</v>
      </c>
      <c r="B308" s="37" t="n">
        <v>1811</v>
      </c>
      <c r="C308" s="38" t="s">
        <v>1489</v>
      </c>
      <c r="D308" s="37" t="s">
        <v>100</v>
      </c>
      <c r="E308" s="39" t="n">
        <v>25713</v>
      </c>
      <c r="F308" s="37" t="n">
        <f aca="true">IFERROR(DATEDIF(E308,TODAY(),"Y"),"")</f>
        <v>56</v>
      </c>
      <c r="G308" s="40" t="s">
        <v>1490</v>
      </c>
      <c r="H308" s="40" t="s">
        <v>1491</v>
      </c>
      <c r="I308" s="38" t="s">
        <v>1492</v>
      </c>
      <c r="J308" s="38" t="s">
        <v>16</v>
      </c>
      <c r="K308" s="38" t="s">
        <v>1493</v>
      </c>
      <c r="L308" s="38" t="s">
        <v>46</v>
      </c>
      <c r="M308" s="37"/>
      <c r="N308" s="39" t="n">
        <v>38520</v>
      </c>
      <c r="O308" s="41" t="s">
        <v>23</v>
      </c>
      <c r="P308" s="41" t="s">
        <v>105</v>
      </c>
      <c r="Q308" s="42"/>
      <c r="R308" s="41"/>
      <c r="S308" s="42"/>
      <c r="T308" s="41"/>
    </row>
    <row r="309" customFormat="false" ht="13.5" hidden="false" customHeight="true" outlineLevel="0" collapsed="false">
      <c r="A309" s="37" t="n">
        <v>306</v>
      </c>
      <c r="B309" s="37" t="n">
        <v>1814</v>
      </c>
      <c r="C309" s="38" t="s">
        <v>1494</v>
      </c>
      <c r="D309" s="37" t="s">
        <v>100</v>
      </c>
      <c r="E309" s="39" t="n">
        <v>20790</v>
      </c>
      <c r="F309" s="37" t="n">
        <f aca="true">IFERROR(DATEDIF(E309,TODAY(),"Y"),"")</f>
        <v>69</v>
      </c>
      <c r="G309" s="40" t="s">
        <v>1495</v>
      </c>
      <c r="H309" s="40" t="s">
        <v>1496</v>
      </c>
      <c r="I309" s="38" t="s">
        <v>1497</v>
      </c>
      <c r="J309" s="38" t="s">
        <v>15</v>
      </c>
      <c r="K309" s="38" t="s">
        <v>1498</v>
      </c>
      <c r="L309" s="38" t="s">
        <v>43</v>
      </c>
      <c r="M309" s="37"/>
      <c r="N309" s="39" t="n">
        <v>38520</v>
      </c>
      <c r="O309" s="41" t="s">
        <v>23</v>
      </c>
      <c r="P309" s="41" t="s">
        <v>105</v>
      </c>
      <c r="Q309" s="42"/>
      <c r="R309" s="41"/>
      <c r="S309" s="42"/>
      <c r="T309" s="41"/>
    </row>
    <row r="310" customFormat="false" ht="13.5" hidden="false" customHeight="true" outlineLevel="0" collapsed="false">
      <c r="A310" s="37" t="n">
        <v>307</v>
      </c>
      <c r="B310" s="37" t="n">
        <v>1815</v>
      </c>
      <c r="C310" s="38" t="s">
        <v>1499</v>
      </c>
      <c r="D310" s="37" t="s">
        <v>100</v>
      </c>
      <c r="E310" s="39" t="n">
        <v>25428</v>
      </c>
      <c r="F310" s="37" t="n">
        <f aca="true">IFERROR(DATEDIF(E310,TODAY(),"Y"),"")</f>
        <v>56</v>
      </c>
      <c r="G310" s="40" t="s">
        <v>1500</v>
      </c>
      <c r="H310" s="40"/>
      <c r="I310" s="38" t="s">
        <v>1501</v>
      </c>
      <c r="J310" s="38" t="s">
        <v>15</v>
      </c>
      <c r="K310" s="38" t="s">
        <v>1502</v>
      </c>
      <c r="L310" s="38" t="s">
        <v>54</v>
      </c>
      <c r="M310" s="37"/>
      <c r="N310" s="39" t="n">
        <v>38520</v>
      </c>
      <c r="O310" s="41" t="s">
        <v>23</v>
      </c>
      <c r="P310" s="41" t="s">
        <v>105</v>
      </c>
      <c r="Q310" s="42"/>
      <c r="R310" s="41"/>
      <c r="S310" s="42"/>
      <c r="T310" s="41"/>
    </row>
    <row r="311" customFormat="false" ht="13.5" hidden="false" customHeight="true" outlineLevel="0" collapsed="false">
      <c r="A311" s="37" t="n">
        <v>308</v>
      </c>
      <c r="B311" s="37" t="n">
        <v>1820</v>
      </c>
      <c r="C311" s="38" t="s">
        <v>1503</v>
      </c>
      <c r="D311" s="37" t="s">
        <v>100</v>
      </c>
      <c r="E311" s="39" t="n">
        <v>25719</v>
      </c>
      <c r="F311" s="37" t="n">
        <f aca="true">IFERROR(DATEDIF(E311,TODAY(),"Y"),"")</f>
        <v>56</v>
      </c>
      <c r="G311" s="40" t="s">
        <v>1504</v>
      </c>
      <c r="H311" s="40" t="s">
        <v>1505</v>
      </c>
      <c r="I311" s="38" t="s">
        <v>1506</v>
      </c>
      <c r="J311" s="38" t="s">
        <v>16</v>
      </c>
      <c r="K311" s="38" t="s">
        <v>1507</v>
      </c>
      <c r="L311" s="38" t="s">
        <v>47</v>
      </c>
      <c r="M311" s="37" t="s">
        <v>120</v>
      </c>
      <c r="N311" s="39" t="n">
        <v>38520</v>
      </c>
      <c r="O311" s="41" t="s">
        <v>23</v>
      </c>
      <c r="P311" s="41" t="s">
        <v>105</v>
      </c>
      <c r="Q311" s="42"/>
      <c r="R311" s="41"/>
      <c r="S311" s="42"/>
      <c r="T311" s="41"/>
    </row>
    <row r="312" customFormat="false" ht="13.5" hidden="false" customHeight="true" outlineLevel="0" collapsed="false">
      <c r="A312" s="37" t="n">
        <v>309</v>
      </c>
      <c r="B312" s="37" t="n">
        <v>1823</v>
      </c>
      <c r="C312" s="38" t="s">
        <v>1508</v>
      </c>
      <c r="D312" s="37" t="s">
        <v>100</v>
      </c>
      <c r="E312" s="39" t="n">
        <v>22797</v>
      </c>
      <c r="F312" s="37" t="n">
        <f aca="true">IFERROR(DATEDIF(E312,TODAY(),"Y"),"")</f>
        <v>64</v>
      </c>
      <c r="G312" s="40" t="s">
        <v>1509</v>
      </c>
      <c r="H312" s="40"/>
      <c r="I312" s="38" t="s">
        <v>1510</v>
      </c>
      <c r="J312" s="38" t="s">
        <v>15</v>
      </c>
      <c r="K312" s="38" t="s">
        <v>1511</v>
      </c>
      <c r="L312" s="38" t="s">
        <v>54</v>
      </c>
      <c r="M312" s="37" t="s">
        <v>231</v>
      </c>
      <c r="N312" s="39" t="n">
        <v>38520</v>
      </c>
      <c r="O312" s="41" t="s">
        <v>23</v>
      </c>
      <c r="P312" s="41" t="s">
        <v>105</v>
      </c>
      <c r="Q312" s="42"/>
      <c r="R312" s="41"/>
      <c r="S312" s="42"/>
      <c r="T312" s="41"/>
    </row>
    <row r="313" customFormat="false" ht="13.5" hidden="false" customHeight="true" outlineLevel="0" collapsed="false">
      <c r="A313" s="37" t="n">
        <v>310</v>
      </c>
      <c r="B313" s="37" t="n">
        <v>1825</v>
      </c>
      <c r="C313" s="38" t="s">
        <v>1512</v>
      </c>
      <c r="D313" s="37" t="s">
        <v>100</v>
      </c>
      <c r="E313" s="39" t="n">
        <v>26084</v>
      </c>
      <c r="F313" s="37" t="n">
        <f aca="true">IFERROR(DATEDIF(E313,TODAY(),"Y"),"")</f>
        <v>55</v>
      </c>
      <c r="G313" s="40" t="s">
        <v>1513</v>
      </c>
      <c r="H313" s="40" t="s">
        <v>1514</v>
      </c>
      <c r="I313" s="38" t="s">
        <v>1515</v>
      </c>
      <c r="J313" s="38"/>
      <c r="K313" s="38" t="s">
        <v>1516</v>
      </c>
      <c r="L313" s="38" t="s">
        <v>48</v>
      </c>
      <c r="M313" s="37"/>
      <c r="N313" s="39" t="n">
        <v>38520</v>
      </c>
      <c r="O313" s="41" t="s">
        <v>23</v>
      </c>
      <c r="P313" s="41" t="s">
        <v>105</v>
      </c>
      <c r="Q313" s="42"/>
      <c r="R313" s="41"/>
      <c r="S313" s="42"/>
      <c r="T313" s="41"/>
    </row>
    <row r="314" customFormat="false" ht="13.5" hidden="false" customHeight="true" outlineLevel="0" collapsed="false">
      <c r="A314" s="37" t="n">
        <v>311</v>
      </c>
      <c r="B314" s="37" t="n">
        <v>1826</v>
      </c>
      <c r="C314" s="38" t="s">
        <v>1517</v>
      </c>
      <c r="D314" s="37" t="s">
        <v>100</v>
      </c>
      <c r="E314" s="39" t="n">
        <v>27544</v>
      </c>
      <c r="F314" s="37" t="n">
        <f aca="true">IFERROR(DATEDIF(E314,TODAY(),"Y"),"")</f>
        <v>51</v>
      </c>
      <c r="G314" s="40" t="s">
        <v>1513</v>
      </c>
      <c r="H314" s="40" t="s">
        <v>1514</v>
      </c>
      <c r="I314" s="38" t="s">
        <v>1515</v>
      </c>
      <c r="J314" s="38"/>
      <c r="K314" s="38" t="s">
        <v>1518</v>
      </c>
      <c r="L314" s="38" t="s">
        <v>54</v>
      </c>
      <c r="M314" s="37"/>
      <c r="N314" s="39" t="n">
        <v>38520</v>
      </c>
      <c r="O314" s="41" t="s">
        <v>23</v>
      </c>
      <c r="P314" s="41" t="s">
        <v>105</v>
      </c>
      <c r="Q314" s="42"/>
      <c r="R314" s="41"/>
      <c r="S314" s="42"/>
      <c r="T314" s="41"/>
    </row>
    <row r="315" customFormat="false" ht="13.5" hidden="false" customHeight="true" outlineLevel="0" collapsed="false">
      <c r="A315" s="37" t="n">
        <v>312</v>
      </c>
      <c r="B315" s="37" t="n">
        <v>1828</v>
      </c>
      <c r="C315" s="38" t="s">
        <v>1519</v>
      </c>
      <c r="D315" s="37" t="s">
        <v>100</v>
      </c>
      <c r="E315" s="39" t="n">
        <v>20367</v>
      </c>
      <c r="F315" s="37" t="n">
        <f aca="true">IFERROR(DATEDIF(E315,TODAY(),"Y"),"")</f>
        <v>70</v>
      </c>
      <c r="G315" s="40" t="s">
        <v>1520</v>
      </c>
      <c r="H315" s="40" t="s">
        <v>1521</v>
      </c>
      <c r="I315" s="38" t="s">
        <v>1522</v>
      </c>
      <c r="J315" s="38" t="s">
        <v>15</v>
      </c>
      <c r="K315" s="38" t="s">
        <v>1523</v>
      </c>
      <c r="L315" s="38" t="s">
        <v>51</v>
      </c>
      <c r="M315" s="37"/>
      <c r="N315" s="39" t="n">
        <v>38520</v>
      </c>
      <c r="O315" s="41" t="s">
        <v>23</v>
      </c>
      <c r="P315" s="41" t="s">
        <v>105</v>
      </c>
      <c r="Q315" s="42"/>
      <c r="R315" s="41"/>
      <c r="S315" s="42"/>
      <c r="T315" s="41"/>
    </row>
    <row r="316" customFormat="false" ht="13.5" hidden="false" customHeight="true" outlineLevel="0" collapsed="false">
      <c r="A316" s="37" t="n">
        <v>313</v>
      </c>
      <c r="B316" s="37" t="n">
        <v>1830</v>
      </c>
      <c r="C316" s="38" t="s">
        <v>1524</v>
      </c>
      <c r="D316" s="37" t="s">
        <v>100</v>
      </c>
      <c r="E316" s="39" t="n">
        <v>22748</v>
      </c>
      <c r="F316" s="37" t="n">
        <f aca="true">IFERROR(DATEDIF(E316,TODAY(),"Y"),"")</f>
        <v>64</v>
      </c>
      <c r="G316" s="40" t="s">
        <v>1525</v>
      </c>
      <c r="H316" s="40" t="s">
        <v>1526</v>
      </c>
      <c r="I316" s="38" t="s">
        <v>1527</v>
      </c>
      <c r="J316" s="38"/>
      <c r="K316" s="38" t="s">
        <v>1528</v>
      </c>
      <c r="L316" s="38" t="s">
        <v>55</v>
      </c>
      <c r="M316" s="37"/>
      <c r="N316" s="39" t="n">
        <v>38520</v>
      </c>
      <c r="O316" s="41" t="s">
        <v>23</v>
      </c>
      <c r="P316" s="41" t="s">
        <v>105</v>
      </c>
      <c r="Q316" s="42"/>
      <c r="R316" s="41"/>
      <c r="S316" s="42"/>
      <c r="T316" s="41"/>
    </row>
    <row r="317" customFormat="false" ht="13.5" hidden="false" customHeight="true" outlineLevel="0" collapsed="false">
      <c r="A317" s="37" t="n">
        <v>314</v>
      </c>
      <c r="B317" s="37" t="n">
        <v>1832</v>
      </c>
      <c r="C317" s="38" t="s">
        <v>1529</v>
      </c>
      <c r="D317" s="37" t="s">
        <v>100</v>
      </c>
      <c r="E317" s="39" t="n">
        <v>18037</v>
      </c>
      <c r="F317" s="37" t="n">
        <f aca="true">IFERROR(DATEDIF(E317,TODAY(),"Y"),"")</f>
        <v>77</v>
      </c>
      <c r="G317" s="40" t="s">
        <v>1530</v>
      </c>
      <c r="H317" s="40"/>
      <c r="I317" s="38" t="s">
        <v>1531</v>
      </c>
      <c r="J317" s="38" t="s">
        <v>16</v>
      </c>
      <c r="K317" s="38" t="s">
        <v>1532</v>
      </c>
      <c r="L317" s="38" t="s">
        <v>55</v>
      </c>
      <c r="M317" s="37" t="s">
        <v>104</v>
      </c>
      <c r="N317" s="39" t="n">
        <v>38520</v>
      </c>
      <c r="O317" s="41" t="s">
        <v>23</v>
      </c>
      <c r="P317" s="41" t="s">
        <v>105</v>
      </c>
      <c r="Q317" s="42"/>
      <c r="R317" s="41"/>
      <c r="S317" s="42"/>
      <c r="T317" s="41"/>
    </row>
    <row r="318" customFormat="false" ht="13.5" hidden="false" customHeight="true" outlineLevel="0" collapsed="false">
      <c r="A318" s="37" t="n">
        <v>315</v>
      </c>
      <c r="B318" s="37" t="n">
        <v>1833</v>
      </c>
      <c r="C318" s="38" t="s">
        <v>1533</v>
      </c>
      <c r="D318" s="37" t="s">
        <v>100</v>
      </c>
      <c r="E318" s="39" t="n">
        <v>28604</v>
      </c>
      <c r="F318" s="37" t="n">
        <f aca="true">IFERROR(DATEDIF(E318,TODAY(),"Y"),"")</f>
        <v>48</v>
      </c>
      <c r="G318" s="40" t="s">
        <v>1534</v>
      </c>
      <c r="H318" s="40" t="s">
        <v>1535</v>
      </c>
      <c r="I318" s="38" t="s">
        <v>1536</v>
      </c>
      <c r="J318" s="38"/>
      <c r="K318" s="38" t="s">
        <v>1537</v>
      </c>
      <c r="L318" s="38" t="s">
        <v>51</v>
      </c>
      <c r="M318" s="37"/>
      <c r="N318" s="39" t="n">
        <v>38520</v>
      </c>
      <c r="O318" s="41" t="s">
        <v>23</v>
      </c>
      <c r="P318" s="41" t="s">
        <v>105</v>
      </c>
      <c r="Q318" s="42"/>
      <c r="R318" s="41"/>
      <c r="S318" s="42"/>
      <c r="T318" s="41"/>
    </row>
    <row r="319" customFormat="false" ht="13.5" hidden="false" customHeight="true" outlineLevel="0" collapsed="false">
      <c r="A319" s="37" t="n">
        <v>316</v>
      </c>
      <c r="B319" s="37" t="n">
        <v>1835</v>
      </c>
      <c r="C319" s="38" t="s">
        <v>1538</v>
      </c>
      <c r="D319" s="37" t="s">
        <v>100</v>
      </c>
      <c r="E319" s="39" t="n">
        <v>25338</v>
      </c>
      <c r="F319" s="37" t="n">
        <f aca="true">IFERROR(DATEDIF(E319,TODAY(),"Y"),"")</f>
        <v>57</v>
      </c>
      <c r="G319" s="40" t="s">
        <v>1539</v>
      </c>
      <c r="H319" s="40" t="s">
        <v>1540</v>
      </c>
      <c r="I319" s="38" t="s">
        <v>1541</v>
      </c>
      <c r="J319" s="38" t="s">
        <v>16</v>
      </c>
      <c r="K319" s="38" t="s">
        <v>1542</v>
      </c>
      <c r="L319" s="38" t="s">
        <v>43</v>
      </c>
      <c r="M319" s="37" t="s">
        <v>120</v>
      </c>
      <c r="N319" s="39" t="n">
        <v>38520</v>
      </c>
      <c r="O319" s="41" t="s">
        <v>23</v>
      </c>
      <c r="P319" s="41" t="s">
        <v>105</v>
      </c>
      <c r="Q319" s="42"/>
      <c r="R319" s="41"/>
      <c r="S319" s="42"/>
      <c r="T319" s="41"/>
    </row>
    <row r="320" customFormat="false" ht="13.5" hidden="false" customHeight="true" outlineLevel="0" collapsed="false">
      <c r="A320" s="37" t="n">
        <v>317</v>
      </c>
      <c r="B320" s="37" t="n">
        <v>1836</v>
      </c>
      <c r="C320" s="38" t="s">
        <v>1543</v>
      </c>
      <c r="D320" s="37" t="s">
        <v>100</v>
      </c>
      <c r="E320" s="39" t="n">
        <v>29706</v>
      </c>
      <c r="F320" s="37" t="n">
        <f aca="true">IFERROR(DATEDIF(E320,TODAY(),"Y"),"")</f>
        <v>45</v>
      </c>
      <c r="G320" s="40" t="s">
        <v>1544</v>
      </c>
      <c r="H320" s="40"/>
      <c r="I320" s="38" t="s">
        <v>1545</v>
      </c>
      <c r="J320" s="38" t="s">
        <v>16</v>
      </c>
      <c r="K320" s="38" t="s">
        <v>1546</v>
      </c>
      <c r="L320" s="38" t="s">
        <v>54</v>
      </c>
      <c r="M320" s="37" t="s">
        <v>104</v>
      </c>
      <c r="N320" s="39" t="n">
        <v>38520</v>
      </c>
      <c r="O320" s="41" t="s">
        <v>23</v>
      </c>
      <c r="P320" s="41" t="s">
        <v>105</v>
      </c>
      <c r="Q320" s="42"/>
      <c r="R320" s="41"/>
      <c r="S320" s="42"/>
      <c r="T320" s="41"/>
    </row>
    <row r="321" customFormat="false" ht="13.5" hidden="false" customHeight="true" outlineLevel="0" collapsed="false">
      <c r="A321" s="37" t="n">
        <v>318</v>
      </c>
      <c r="B321" s="37" t="n">
        <v>1837</v>
      </c>
      <c r="C321" s="38" t="s">
        <v>1547</v>
      </c>
      <c r="D321" s="37" t="s">
        <v>100</v>
      </c>
      <c r="E321" s="39" t="n">
        <v>22785</v>
      </c>
      <c r="F321" s="37" t="n">
        <f aca="true">IFERROR(DATEDIF(E321,TODAY(),"Y"),"")</f>
        <v>64</v>
      </c>
      <c r="G321" s="40" t="s">
        <v>1548</v>
      </c>
      <c r="H321" s="40"/>
      <c r="I321" s="38" t="s">
        <v>1549</v>
      </c>
      <c r="J321" s="38"/>
      <c r="K321" s="38" t="s">
        <v>1550</v>
      </c>
      <c r="L321" s="38" t="s">
        <v>48</v>
      </c>
      <c r="M321" s="37"/>
      <c r="N321" s="39" t="n">
        <v>38520</v>
      </c>
      <c r="O321" s="41" t="s">
        <v>23</v>
      </c>
      <c r="P321" s="41" t="s">
        <v>105</v>
      </c>
      <c r="Q321" s="42"/>
      <c r="R321" s="41"/>
      <c r="S321" s="42"/>
      <c r="T321" s="41"/>
    </row>
    <row r="322" customFormat="false" ht="13.5" hidden="false" customHeight="true" outlineLevel="0" collapsed="false">
      <c r="A322" s="37" t="n">
        <v>319</v>
      </c>
      <c r="B322" s="37" t="n">
        <v>1838</v>
      </c>
      <c r="C322" s="38" t="s">
        <v>1551</v>
      </c>
      <c r="D322" s="37" t="s">
        <v>100</v>
      </c>
      <c r="E322" s="39" t="n">
        <v>21669</v>
      </c>
      <c r="F322" s="37" t="n">
        <f aca="true">IFERROR(DATEDIF(E322,TODAY(),"Y"),"")</f>
        <v>67</v>
      </c>
      <c r="G322" s="40" t="s">
        <v>1552</v>
      </c>
      <c r="H322" s="40"/>
      <c r="I322" s="38" t="s">
        <v>1553</v>
      </c>
      <c r="J322" s="38"/>
      <c r="K322" s="38" t="s">
        <v>1554</v>
      </c>
      <c r="L322" s="38" t="s">
        <v>48</v>
      </c>
      <c r="M322" s="37"/>
      <c r="N322" s="39" t="n">
        <v>38520</v>
      </c>
      <c r="O322" s="41" t="s">
        <v>23</v>
      </c>
      <c r="P322" s="41" t="s">
        <v>105</v>
      </c>
      <c r="Q322" s="42"/>
      <c r="R322" s="41"/>
      <c r="S322" s="42"/>
      <c r="T322" s="41"/>
    </row>
    <row r="323" customFormat="false" ht="13.5" hidden="false" customHeight="true" outlineLevel="0" collapsed="false">
      <c r="A323" s="37" t="n">
        <v>320</v>
      </c>
      <c r="B323" s="37" t="n">
        <v>1839</v>
      </c>
      <c r="C323" s="38" t="s">
        <v>1555</v>
      </c>
      <c r="D323" s="37" t="s">
        <v>100</v>
      </c>
      <c r="E323" s="39" t="n">
        <v>23222</v>
      </c>
      <c r="F323" s="37" t="n">
        <f aca="true">IFERROR(DATEDIF(E323,TODAY(),"Y"),"")</f>
        <v>63</v>
      </c>
      <c r="G323" s="40" t="s">
        <v>1556</v>
      </c>
      <c r="H323" s="40" t="s">
        <v>1557</v>
      </c>
      <c r="I323" s="38" t="s">
        <v>1558</v>
      </c>
      <c r="J323" s="38" t="s">
        <v>15</v>
      </c>
      <c r="K323" s="38" t="s">
        <v>1559</v>
      </c>
      <c r="L323" s="38" t="s">
        <v>55</v>
      </c>
      <c r="M323" s="37" t="s">
        <v>104</v>
      </c>
      <c r="N323" s="39" t="n">
        <v>38520</v>
      </c>
      <c r="O323" s="41" t="s">
        <v>23</v>
      </c>
      <c r="P323" s="41" t="s">
        <v>105</v>
      </c>
      <c r="Q323" s="42"/>
      <c r="R323" s="41"/>
      <c r="S323" s="42"/>
      <c r="T323" s="41"/>
    </row>
    <row r="324" customFormat="false" ht="13.5" hidden="false" customHeight="true" outlineLevel="0" collapsed="false">
      <c r="A324" s="37" t="n">
        <v>321</v>
      </c>
      <c r="B324" s="37" t="n">
        <v>1841</v>
      </c>
      <c r="C324" s="38" t="s">
        <v>1560</v>
      </c>
      <c r="D324" s="37" t="s">
        <v>100</v>
      </c>
      <c r="E324" s="39" t="n">
        <v>22718</v>
      </c>
      <c r="F324" s="37" t="n">
        <f aca="true">IFERROR(DATEDIF(E324,TODAY(),"Y"),"")</f>
        <v>64</v>
      </c>
      <c r="G324" s="40" t="s">
        <v>1561</v>
      </c>
      <c r="H324" s="40"/>
      <c r="I324" s="38"/>
      <c r="J324" s="38"/>
      <c r="K324" s="38" t="s">
        <v>1562</v>
      </c>
      <c r="L324" s="38" t="s">
        <v>47</v>
      </c>
      <c r="M324" s="37"/>
      <c r="N324" s="39" t="n">
        <v>38520</v>
      </c>
      <c r="O324" s="41" t="s">
        <v>23</v>
      </c>
      <c r="P324" s="41" t="s">
        <v>105</v>
      </c>
      <c r="Q324" s="42"/>
      <c r="R324" s="41"/>
      <c r="S324" s="42"/>
      <c r="T324" s="41"/>
    </row>
    <row r="325" customFormat="false" ht="13.5" hidden="false" customHeight="true" outlineLevel="0" collapsed="false">
      <c r="A325" s="37" t="n">
        <v>322</v>
      </c>
      <c r="B325" s="37" t="n">
        <v>1842</v>
      </c>
      <c r="C325" s="38" t="s">
        <v>1563</v>
      </c>
      <c r="D325" s="37" t="s">
        <v>100</v>
      </c>
      <c r="E325" s="39" t="n">
        <v>23195</v>
      </c>
      <c r="F325" s="37" t="n">
        <f aca="true">IFERROR(DATEDIF(E325,TODAY(),"Y"),"")</f>
        <v>63</v>
      </c>
      <c r="G325" s="40" t="s">
        <v>1564</v>
      </c>
      <c r="H325" s="40" t="s">
        <v>1565</v>
      </c>
      <c r="I325" s="38" t="s">
        <v>1566</v>
      </c>
      <c r="J325" s="38" t="s">
        <v>15</v>
      </c>
      <c r="K325" s="38" t="s">
        <v>1567</v>
      </c>
      <c r="L325" s="38" t="s">
        <v>51</v>
      </c>
      <c r="M325" s="37" t="s">
        <v>231</v>
      </c>
      <c r="N325" s="39" t="n">
        <v>38520</v>
      </c>
      <c r="O325" s="41" t="s">
        <v>23</v>
      </c>
      <c r="P325" s="41" t="s">
        <v>105</v>
      </c>
      <c r="Q325" s="42"/>
      <c r="R325" s="41"/>
      <c r="S325" s="42"/>
      <c r="T325" s="41"/>
    </row>
    <row r="326" customFormat="false" ht="13.5" hidden="false" customHeight="true" outlineLevel="0" collapsed="false">
      <c r="A326" s="37" t="n">
        <v>323</v>
      </c>
      <c r="B326" s="37" t="n">
        <v>1844</v>
      </c>
      <c r="C326" s="38" t="s">
        <v>1568</v>
      </c>
      <c r="D326" s="37" t="s">
        <v>100</v>
      </c>
      <c r="E326" s="39" t="n">
        <v>23491</v>
      </c>
      <c r="F326" s="37" t="n">
        <f aca="true">IFERROR(DATEDIF(E326,TODAY(),"Y"),"")</f>
        <v>62</v>
      </c>
      <c r="G326" s="40" t="s">
        <v>1569</v>
      </c>
      <c r="H326" s="40" t="s">
        <v>1570</v>
      </c>
      <c r="I326" s="38" t="s">
        <v>1571</v>
      </c>
      <c r="J326" s="38" t="s">
        <v>16</v>
      </c>
      <c r="K326" s="38" t="s">
        <v>1572</v>
      </c>
      <c r="L326" s="38" t="s">
        <v>55</v>
      </c>
      <c r="M326" s="37"/>
      <c r="N326" s="39" t="n">
        <v>38520</v>
      </c>
      <c r="O326" s="41" t="s">
        <v>23</v>
      </c>
      <c r="P326" s="41" t="s">
        <v>105</v>
      </c>
      <c r="Q326" s="42"/>
      <c r="R326" s="41"/>
      <c r="S326" s="42"/>
      <c r="T326" s="41"/>
    </row>
    <row r="327" customFormat="false" ht="13.5" hidden="false" customHeight="true" outlineLevel="0" collapsed="false">
      <c r="A327" s="37" t="n">
        <v>324</v>
      </c>
      <c r="B327" s="37" t="n">
        <v>1845</v>
      </c>
      <c r="C327" s="38" t="s">
        <v>1573</v>
      </c>
      <c r="D327" s="37" t="s">
        <v>100</v>
      </c>
      <c r="E327" s="39" t="n">
        <v>20605</v>
      </c>
      <c r="F327" s="37" t="n">
        <f aca="true">IFERROR(DATEDIF(E327,TODAY(),"Y"),"")</f>
        <v>70</v>
      </c>
      <c r="G327" s="40" t="s">
        <v>1574</v>
      </c>
      <c r="H327" s="40" t="s">
        <v>1575</v>
      </c>
      <c r="I327" s="38" t="s">
        <v>1576</v>
      </c>
      <c r="J327" s="38"/>
      <c r="K327" s="38" t="s">
        <v>1577</v>
      </c>
      <c r="L327" s="43" t="s">
        <v>58</v>
      </c>
      <c r="M327" s="37"/>
      <c r="N327" s="39" t="n">
        <v>38520</v>
      </c>
      <c r="O327" s="41" t="s">
        <v>23</v>
      </c>
      <c r="P327" s="41" t="s">
        <v>105</v>
      </c>
      <c r="Q327" s="42"/>
      <c r="R327" s="41"/>
      <c r="S327" s="42"/>
      <c r="T327" s="41"/>
    </row>
    <row r="328" customFormat="false" ht="13.5" hidden="false" customHeight="true" outlineLevel="0" collapsed="false">
      <c r="A328" s="37" t="n">
        <v>325</v>
      </c>
      <c r="B328" s="37" t="n">
        <v>1848</v>
      </c>
      <c r="C328" s="38" t="s">
        <v>1578</v>
      </c>
      <c r="D328" s="37" t="s">
        <v>100</v>
      </c>
      <c r="E328" s="39" t="n">
        <v>27174</v>
      </c>
      <c r="F328" s="37" t="n">
        <f aca="true">IFERROR(DATEDIF(E328,TODAY(),"Y"),"")</f>
        <v>52</v>
      </c>
      <c r="G328" s="40" t="s">
        <v>1579</v>
      </c>
      <c r="H328" s="40" t="s">
        <v>1580</v>
      </c>
      <c r="I328" s="38" t="s">
        <v>1581</v>
      </c>
      <c r="J328" s="38" t="s">
        <v>16</v>
      </c>
      <c r="K328" s="38" t="s">
        <v>1582</v>
      </c>
      <c r="L328" s="38" t="s">
        <v>53</v>
      </c>
      <c r="M328" s="37" t="s">
        <v>177</v>
      </c>
      <c r="N328" s="39" t="n">
        <v>38520</v>
      </c>
      <c r="O328" s="41" t="s">
        <v>23</v>
      </c>
      <c r="P328" s="41" t="s">
        <v>105</v>
      </c>
      <c r="Q328" s="42"/>
      <c r="R328" s="41"/>
      <c r="S328" s="42"/>
      <c r="T328" s="41"/>
    </row>
    <row r="329" customFormat="false" ht="13.5" hidden="false" customHeight="true" outlineLevel="0" collapsed="false">
      <c r="A329" s="37" t="n">
        <v>326</v>
      </c>
      <c r="B329" s="37" t="n">
        <v>1851</v>
      </c>
      <c r="C329" s="38" t="s">
        <v>1583</v>
      </c>
      <c r="D329" s="37" t="s">
        <v>100</v>
      </c>
      <c r="E329" s="39" t="n">
        <v>18282</v>
      </c>
      <c r="F329" s="37" t="n">
        <f aca="true">IFERROR(DATEDIF(E329,TODAY(),"Y"),"")</f>
        <v>76</v>
      </c>
      <c r="G329" s="40" t="s">
        <v>1584</v>
      </c>
      <c r="H329" s="40"/>
      <c r="I329" s="38"/>
      <c r="J329" s="38"/>
      <c r="K329" s="38" t="s">
        <v>1585</v>
      </c>
      <c r="L329" s="43" t="s">
        <v>58</v>
      </c>
      <c r="M329" s="37"/>
      <c r="N329" s="39" t="n">
        <v>38520</v>
      </c>
      <c r="O329" s="41" t="s">
        <v>23</v>
      </c>
      <c r="P329" s="41" t="s">
        <v>105</v>
      </c>
      <c r="Q329" s="42"/>
      <c r="R329" s="41"/>
      <c r="S329" s="42"/>
      <c r="T329" s="41"/>
    </row>
    <row r="330" customFormat="false" ht="13.5" hidden="false" customHeight="true" outlineLevel="0" collapsed="false">
      <c r="A330" s="37" t="n">
        <v>327</v>
      </c>
      <c r="B330" s="37" t="n">
        <v>1853</v>
      </c>
      <c r="C330" s="38" t="s">
        <v>1586</v>
      </c>
      <c r="D330" s="37" t="s">
        <v>100</v>
      </c>
      <c r="E330" s="39" t="n">
        <v>27167</v>
      </c>
      <c r="F330" s="37" t="n">
        <f aca="true">IFERROR(DATEDIF(E330,TODAY(),"Y"),"")</f>
        <v>52</v>
      </c>
      <c r="G330" s="40" t="s">
        <v>1587</v>
      </c>
      <c r="H330" s="40" t="s">
        <v>1588</v>
      </c>
      <c r="I330" s="38" t="s">
        <v>1589</v>
      </c>
      <c r="J330" s="38"/>
      <c r="K330" s="38" t="s">
        <v>1590</v>
      </c>
      <c r="L330" s="38" t="s">
        <v>55</v>
      </c>
      <c r="M330" s="37"/>
      <c r="N330" s="39" t="n">
        <v>38520</v>
      </c>
      <c r="O330" s="41" t="s">
        <v>23</v>
      </c>
      <c r="P330" s="41" t="s">
        <v>105</v>
      </c>
      <c r="Q330" s="42"/>
      <c r="R330" s="41"/>
      <c r="S330" s="42"/>
      <c r="T330" s="41"/>
    </row>
    <row r="331" customFormat="false" ht="13.5" hidden="false" customHeight="true" outlineLevel="0" collapsed="false">
      <c r="A331" s="37" t="n">
        <v>328</v>
      </c>
      <c r="B331" s="37" t="n">
        <v>1854</v>
      </c>
      <c r="C331" s="38" t="s">
        <v>1591</v>
      </c>
      <c r="D331" s="37" t="s">
        <v>100</v>
      </c>
      <c r="E331" s="39" t="n">
        <v>23532</v>
      </c>
      <c r="F331" s="37" t="n">
        <f aca="true">IFERROR(DATEDIF(E331,TODAY(),"Y"),"")</f>
        <v>62</v>
      </c>
      <c r="G331" s="40" t="s">
        <v>1592</v>
      </c>
      <c r="H331" s="40" t="s">
        <v>1593</v>
      </c>
      <c r="I331" s="38"/>
      <c r="J331" s="38" t="s">
        <v>18</v>
      </c>
      <c r="K331" s="38" t="s">
        <v>1594</v>
      </c>
      <c r="L331" s="38" t="s">
        <v>47</v>
      </c>
      <c r="M331" s="37"/>
      <c r="N331" s="39" t="n">
        <v>38520</v>
      </c>
      <c r="O331" s="41" t="s">
        <v>23</v>
      </c>
      <c r="P331" s="41" t="s">
        <v>105</v>
      </c>
      <c r="Q331" s="42"/>
      <c r="R331" s="41"/>
      <c r="S331" s="42"/>
      <c r="T331" s="41"/>
    </row>
    <row r="332" customFormat="false" ht="13.5" hidden="false" customHeight="true" outlineLevel="0" collapsed="false">
      <c r="A332" s="37" t="n">
        <v>329</v>
      </c>
      <c r="B332" s="37" t="n">
        <v>1856</v>
      </c>
      <c r="C332" s="38" t="s">
        <v>1595</v>
      </c>
      <c r="D332" s="37" t="s">
        <v>100</v>
      </c>
      <c r="E332" s="39" t="n">
        <v>28526</v>
      </c>
      <c r="F332" s="37" t="n">
        <f aca="true">IFERROR(DATEDIF(E332,TODAY(),"Y"),"")</f>
        <v>48</v>
      </c>
      <c r="G332" s="40" t="s">
        <v>1596</v>
      </c>
      <c r="H332" s="40" t="s">
        <v>1597</v>
      </c>
      <c r="I332" s="38" t="s">
        <v>1598</v>
      </c>
      <c r="J332" s="38"/>
      <c r="K332" s="38" t="s">
        <v>1599</v>
      </c>
      <c r="L332" s="38" t="s">
        <v>51</v>
      </c>
      <c r="M332" s="37"/>
      <c r="N332" s="39" t="n">
        <v>38520</v>
      </c>
      <c r="O332" s="41" t="s">
        <v>23</v>
      </c>
      <c r="P332" s="41" t="s">
        <v>105</v>
      </c>
      <c r="Q332" s="42"/>
      <c r="R332" s="41"/>
      <c r="S332" s="42"/>
      <c r="T332" s="41"/>
    </row>
    <row r="333" customFormat="false" ht="13.5" hidden="false" customHeight="true" outlineLevel="0" collapsed="false">
      <c r="A333" s="37" t="n">
        <v>330</v>
      </c>
      <c r="B333" s="37" t="n">
        <v>1864</v>
      </c>
      <c r="C333" s="38" t="s">
        <v>1600</v>
      </c>
      <c r="D333" s="37" t="s">
        <v>100</v>
      </c>
      <c r="E333" s="39" t="n">
        <v>26785</v>
      </c>
      <c r="F333" s="37" t="n">
        <f aca="true">IFERROR(DATEDIF(E333,TODAY(),"Y"),"")</f>
        <v>53</v>
      </c>
      <c r="G333" s="40" t="s">
        <v>1601</v>
      </c>
      <c r="H333" s="40" t="s">
        <v>1602</v>
      </c>
      <c r="I333" s="38" t="s">
        <v>1603</v>
      </c>
      <c r="J333" s="38"/>
      <c r="K333" s="38" t="s">
        <v>1604</v>
      </c>
      <c r="L333" s="38" t="s">
        <v>51</v>
      </c>
      <c r="M333" s="37"/>
      <c r="N333" s="39" t="n">
        <v>38520</v>
      </c>
      <c r="O333" s="41" t="s">
        <v>23</v>
      </c>
      <c r="P333" s="41" t="s">
        <v>105</v>
      </c>
      <c r="Q333" s="42"/>
      <c r="R333" s="41"/>
      <c r="S333" s="42"/>
      <c r="T333" s="41"/>
    </row>
    <row r="334" customFormat="false" ht="13.5" hidden="false" customHeight="true" outlineLevel="0" collapsed="false">
      <c r="A334" s="37" t="n">
        <v>331</v>
      </c>
      <c r="B334" s="37" t="n">
        <v>1867</v>
      </c>
      <c r="C334" s="38" t="s">
        <v>1605</v>
      </c>
      <c r="D334" s="37" t="s">
        <v>100</v>
      </c>
      <c r="E334" s="39" t="n">
        <v>17533</v>
      </c>
      <c r="F334" s="37" t="n">
        <f aca="true">IFERROR(DATEDIF(E334,TODAY(),"Y"),"")</f>
        <v>78</v>
      </c>
      <c r="G334" s="40" t="s">
        <v>1606</v>
      </c>
      <c r="H334" s="40" t="s">
        <v>1607</v>
      </c>
      <c r="I334" s="38" t="s">
        <v>1608</v>
      </c>
      <c r="J334" s="38" t="s">
        <v>15</v>
      </c>
      <c r="K334" s="38" t="s">
        <v>1609</v>
      </c>
      <c r="L334" s="38" t="s">
        <v>43</v>
      </c>
      <c r="M334" s="37"/>
      <c r="N334" s="39" t="n">
        <v>38520</v>
      </c>
      <c r="O334" s="41" t="s">
        <v>23</v>
      </c>
      <c r="P334" s="41" t="s">
        <v>105</v>
      </c>
      <c r="Q334" s="42"/>
      <c r="R334" s="41"/>
      <c r="S334" s="42"/>
      <c r="T334" s="41"/>
    </row>
    <row r="335" customFormat="false" ht="13.5" hidden="false" customHeight="true" outlineLevel="0" collapsed="false">
      <c r="A335" s="37" t="n">
        <v>332</v>
      </c>
      <c r="B335" s="37" t="n">
        <v>1868</v>
      </c>
      <c r="C335" s="38" t="s">
        <v>1610</v>
      </c>
      <c r="D335" s="37" t="s">
        <v>100</v>
      </c>
      <c r="E335" s="39" t="n">
        <v>25694</v>
      </c>
      <c r="F335" s="37" t="n">
        <f aca="true">IFERROR(DATEDIF(E335,TODAY(),"Y"),"")</f>
        <v>56</v>
      </c>
      <c r="G335" s="40" t="s">
        <v>1611</v>
      </c>
      <c r="H335" s="40"/>
      <c r="I335" s="38" t="s">
        <v>1612</v>
      </c>
      <c r="J335" s="38" t="s">
        <v>15</v>
      </c>
      <c r="K335" s="38" t="s">
        <v>1613</v>
      </c>
      <c r="L335" s="38" t="s">
        <v>50</v>
      </c>
      <c r="M335" s="37"/>
      <c r="N335" s="39" t="n">
        <v>38520</v>
      </c>
      <c r="O335" s="41" t="s">
        <v>23</v>
      </c>
      <c r="P335" s="41" t="s">
        <v>105</v>
      </c>
      <c r="Q335" s="42"/>
      <c r="R335" s="41"/>
      <c r="S335" s="42"/>
      <c r="T335" s="41"/>
    </row>
    <row r="336" customFormat="false" ht="13.5" hidden="false" customHeight="true" outlineLevel="0" collapsed="false">
      <c r="A336" s="37" t="n">
        <v>333</v>
      </c>
      <c r="B336" s="37" t="n">
        <v>1875</v>
      </c>
      <c r="C336" s="38" t="s">
        <v>1614</v>
      </c>
      <c r="D336" s="37" t="s">
        <v>100</v>
      </c>
      <c r="E336" s="39" t="n">
        <v>25278</v>
      </c>
      <c r="F336" s="37" t="n">
        <f aca="true">IFERROR(DATEDIF(E336,TODAY(),"Y"),"")</f>
        <v>57</v>
      </c>
      <c r="G336" s="40" t="s">
        <v>1615</v>
      </c>
      <c r="H336" s="40"/>
      <c r="I336" s="38" t="s">
        <v>1616</v>
      </c>
      <c r="J336" s="38" t="s">
        <v>15</v>
      </c>
      <c r="K336" s="38" t="s">
        <v>1617</v>
      </c>
      <c r="L336" s="38" t="s">
        <v>51</v>
      </c>
      <c r="M336" s="37"/>
      <c r="N336" s="39" t="n">
        <v>38520</v>
      </c>
      <c r="O336" s="41" t="s">
        <v>23</v>
      </c>
      <c r="P336" s="41" t="s">
        <v>105</v>
      </c>
      <c r="Q336" s="42"/>
      <c r="R336" s="41"/>
      <c r="S336" s="42"/>
      <c r="T336" s="41"/>
    </row>
    <row r="337" customFormat="false" ht="13.5" hidden="false" customHeight="true" outlineLevel="0" collapsed="false">
      <c r="A337" s="37" t="n">
        <v>334</v>
      </c>
      <c r="B337" s="37" t="n">
        <v>1877</v>
      </c>
      <c r="C337" s="38" t="s">
        <v>1618</v>
      </c>
      <c r="D337" s="37" t="s">
        <v>100</v>
      </c>
      <c r="E337" s="39" t="n">
        <v>27878</v>
      </c>
      <c r="F337" s="37" t="n">
        <f aca="true">IFERROR(DATEDIF(E337,TODAY(),"Y"),"")</f>
        <v>50</v>
      </c>
      <c r="G337" s="40" t="s">
        <v>1619</v>
      </c>
      <c r="H337" s="40" t="s">
        <v>1620</v>
      </c>
      <c r="I337" s="38" t="s">
        <v>1621</v>
      </c>
      <c r="J337" s="38" t="s">
        <v>16</v>
      </c>
      <c r="K337" s="38" t="s">
        <v>1622</v>
      </c>
      <c r="L337" s="38" t="s">
        <v>55</v>
      </c>
      <c r="M337" s="37"/>
      <c r="N337" s="39" t="n">
        <v>38520</v>
      </c>
      <c r="O337" s="41" t="s">
        <v>23</v>
      </c>
      <c r="P337" s="41" t="s">
        <v>105</v>
      </c>
      <c r="Q337" s="42"/>
      <c r="R337" s="41"/>
      <c r="S337" s="42"/>
      <c r="T337" s="41"/>
    </row>
    <row r="338" customFormat="false" ht="13.5" hidden="false" customHeight="true" outlineLevel="0" collapsed="false">
      <c r="A338" s="37" t="n">
        <v>335</v>
      </c>
      <c r="B338" s="37" t="n">
        <v>1881</v>
      </c>
      <c r="C338" s="38" t="s">
        <v>1623</v>
      </c>
      <c r="D338" s="37" t="s">
        <v>100</v>
      </c>
      <c r="E338" s="39" t="n">
        <v>25324</v>
      </c>
      <c r="F338" s="37" t="n">
        <f aca="true">IFERROR(DATEDIF(E338,TODAY(),"Y"),"")</f>
        <v>57</v>
      </c>
      <c r="G338" s="40" t="s">
        <v>1624</v>
      </c>
      <c r="H338" s="40"/>
      <c r="I338" s="38" t="s">
        <v>1625</v>
      </c>
      <c r="J338" s="38" t="s">
        <v>18</v>
      </c>
      <c r="K338" s="38" t="s">
        <v>1626</v>
      </c>
      <c r="L338" s="38" t="s">
        <v>47</v>
      </c>
      <c r="M338" s="37"/>
      <c r="N338" s="39" t="n">
        <v>38520</v>
      </c>
      <c r="O338" s="41" t="s">
        <v>23</v>
      </c>
      <c r="P338" s="41" t="s">
        <v>105</v>
      </c>
      <c r="Q338" s="42"/>
      <c r="R338" s="41"/>
      <c r="S338" s="42"/>
      <c r="T338" s="41"/>
    </row>
    <row r="339" customFormat="false" ht="13.5" hidden="false" customHeight="true" outlineLevel="0" collapsed="false">
      <c r="A339" s="37" t="n">
        <v>336</v>
      </c>
      <c r="B339" s="37" t="n">
        <v>1883</v>
      </c>
      <c r="C339" s="38" t="s">
        <v>1627</v>
      </c>
      <c r="D339" s="37" t="s">
        <v>100</v>
      </c>
      <c r="E339" s="39" t="n">
        <v>19088</v>
      </c>
      <c r="F339" s="37" t="n">
        <f aca="true">IFERROR(DATEDIF(E339,TODAY(),"Y"),"")</f>
        <v>74</v>
      </c>
      <c r="G339" s="40" t="s">
        <v>1628</v>
      </c>
      <c r="H339" s="40" t="s">
        <v>1629</v>
      </c>
      <c r="I339" s="38" t="s">
        <v>1630</v>
      </c>
      <c r="J339" s="38" t="s">
        <v>15</v>
      </c>
      <c r="K339" s="38" t="s">
        <v>1631</v>
      </c>
      <c r="L339" s="38" t="s">
        <v>43</v>
      </c>
      <c r="M339" s="37"/>
      <c r="N339" s="39" t="n">
        <v>38520</v>
      </c>
      <c r="O339" s="41" t="s">
        <v>23</v>
      </c>
      <c r="P339" s="41" t="s">
        <v>105</v>
      </c>
      <c r="Q339" s="42"/>
      <c r="R339" s="41"/>
      <c r="S339" s="42"/>
      <c r="T339" s="41"/>
    </row>
    <row r="340" customFormat="false" ht="13.5" hidden="false" customHeight="true" outlineLevel="0" collapsed="false">
      <c r="A340" s="37" t="n">
        <v>337</v>
      </c>
      <c r="B340" s="37" t="n">
        <v>1884</v>
      </c>
      <c r="C340" s="38" t="s">
        <v>1632</v>
      </c>
      <c r="D340" s="37" t="s">
        <v>100</v>
      </c>
      <c r="E340" s="39" t="n">
        <v>23425</v>
      </c>
      <c r="F340" s="37" t="n">
        <f aca="true">IFERROR(DATEDIF(E340,TODAY(),"Y"),"")</f>
        <v>62</v>
      </c>
      <c r="G340" s="40" t="s">
        <v>1633</v>
      </c>
      <c r="H340" s="40" t="s">
        <v>1634</v>
      </c>
      <c r="I340" s="38" t="s">
        <v>1635</v>
      </c>
      <c r="J340" s="38"/>
      <c r="K340" s="38" t="s">
        <v>1636</v>
      </c>
      <c r="L340" s="38" t="s">
        <v>43</v>
      </c>
      <c r="M340" s="37"/>
      <c r="N340" s="39" t="n">
        <v>38520</v>
      </c>
      <c r="O340" s="41" t="s">
        <v>23</v>
      </c>
      <c r="P340" s="41" t="s">
        <v>105</v>
      </c>
      <c r="Q340" s="42"/>
      <c r="R340" s="41"/>
      <c r="S340" s="42"/>
      <c r="T340" s="41"/>
    </row>
    <row r="341" customFormat="false" ht="13.5" hidden="false" customHeight="true" outlineLevel="0" collapsed="false">
      <c r="A341" s="37" t="n">
        <v>338</v>
      </c>
      <c r="B341" s="37" t="n">
        <v>1885</v>
      </c>
      <c r="C341" s="38" t="s">
        <v>1637</v>
      </c>
      <c r="D341" s="37" t="s">
        <v>100</v>
      </c>
      <c r="E341" s="39" t="n">
        <v>21702</v>
      </c>
      <c r="F341" s="37" t="n">
        <f aca="true">IFERROR(DATEDIF(E341,TODAY(),"Y"),"")</f>
        <v>67</v>
      </c>
      <c r="G341" s="40" t="s">
        <v>1638</v>
      </c>
      <c r="H341" s="40" t="s">
        <v>1639</v>
      </c>
      <c r="I341" s="38" t="s">
        <v>1640</v>
      </c>
      <c r="J341" s="38" t="s">
        <v>25</v>
      </c>
      <c r="K341" s="38" t="s">
        <v>1641</v>
      </c>
      <c r="L341" s="38" t="s">
        <v>55</v>
      </c>
      <c r="M341" s="37"/>
      <c r="N341" s="39" t="n">
        <v>38520</v>
      </c>
      <c r="O341" s="41" t="s">
        <v>23</v>
      </c>
      <c r="P341" s="41" t="s">
        <v>105</v>
      </c>
      <c r="Q341" s="42"/>
      <c r="R341" s="41"/>
      <c r="S341" s="42"/>
      <c r="T341" s="41"/>
    </row>
    <row r="342" customFormat="false" ht="13.5" hidden="false" customHeight="true" outlineLevel="0" collapsed="false">
      <c r="A342" s="37" t="n">
        <v>339</v>
      </c>
      <c r="B342" s="37" t="n">
        <v>1893</v>
      </c>
      <c r="C342" s="38" t="s">
        <v>1642</v>
      </c>
      <c r="D342" s="37" t="s">
        <v>100</v>
      </c>
      <c r="E342" s="39" t="n">
        <v>21702</v>
      </c>
      <c r="F342" s="37" t="n">
        <f aca="true">IFERROR(DATEDIF(E342,TODAY(),"Y"),"")</f>
        <v>67</v>
      </c>
      <c r="G342" s="40" t="s">
        <v>1643</v>
      </c>
      <c r="H342" s="40" t="s">
        <v>1644</v>
      </c>
      <c r="I342" s="38" t="s">
        <v>1645</v>
      </c>
      <c r="J342" s="38"/>
      <c r="K342" s="38" t="s">
        <v>1646</v>
      </c>
      <c r="L342" s="38" t="s">
        <v>50</v>
      </c>
      <c r="M342" s="37"/>
      <c r="N342" s="39" t="n">
        <v>38520</v>
      </c>
      <c r="O342" s="41" t="s">
        <v>23</v>
      </c>
      <c r="P342" s="41" t="s">
        <v>105</v>
      </c>
      <c r="Q342" s="42"/>
      <c r="R342" s="41"/>
      <c r="S342" s="42"/>
      <c r="T342" s="41"/>
    </row>
    <row r="343" customFormat="false" ht="13.5" hidden="false" customHeight="true" outlineLevel="0" collapsed="false">
      <c r="A343" s="37" t="n">
        <v>340</v>
      </c>
      <c r="B343" s="37" t="n">
        <v>1897</v>
      </c>
      <c r="C343" s="38" t="s">
        <v>1647</v>
      </c>
      <c r="D343" s="37" t="s">
        <v>100</v>
      </c>
      <c r="E343" s="39" t="n">
        <v>22054</v>
      </c>
      <c r="F343" s="37" t="n">
        <f aca="true">IFERROR(DATEDIF(E343,TODAY(),"Y"),"")</f>
        <v>66</v>
      </c>
      <c r="G343" s="40" t="s">
        <v>1648</v>
      </c>
      <c r="H343" s="40" t="s">
        <v>1649</v>
      </c>
      <c r="I343" s="38" t="s">
        <v>1650</v>
      </c>
      <c r="J343" s="38"/>
      <c r="K343" s="38" t="s">
        <v>1651</v>
      </c>
      <c r="L343" s="38" t="s">
        <v>54</v>
      </c>
      <c r="M343" s="37"/>
      <c r="N343" s="39" t="n">
        <v>38520</v>
      </c>
      <c r="O343" s="41" t="s">
        <v>23</v>
      </c>
      <c r="P343" s="41" t="s">
        <v>105</v>
      </c>
      <c r="Q343" s="42"/>
      <c r="R343" s="41"/>
      <c r="S343" s="42"/>
      <c r="T343" s="41"/>
    </row>
    <row r="344" customFormat="false" ht="13.5" hidden="false" customHeight="true" outlineLevel="0" collapsed="false">
      <c r="A344" s="37" t="n">
        <v>341</v>
      </c>
      <c r="B344" s="37" t="n">
        <v>1898</v>
      </c>
      <c r="C344" s="38" t="s">
        <v>1652</v>
      </c>
      <c r="D344" s="37" t="s">
        <v>100</v>
      </c>
      <c r="E344" s="39" t="n">
        <v>22939</v>
      </c>
      <c r="F344" s="37" t="n">
        <f aca="true">IFERROR(DATEDIF(E344,TODAY(),"Y"),"")</f>
        <v>63</v>
      </c>
      <c r="G344" s="40" t="s">
        <v>1653</v>
      </c>
      <c r="H344" s="40"/>
      <c r="I344" s="38" t="s">
        <v>1654</v>
      </c>
      <c r="J344" s="38"/>
      <c r="K344" s="38" t="s">
        <v>1655</v>
      </c>
      <c r="L344" s="38" t="s">
        <v>46</v>
      </c>
      <c r="M344" s="37"/>
      <c r="N344" s="39" t="n">
        <v>38520</v>
      </c>
      <c r="O344" s="41" t="s">
        <v>23</v>
      </c>
      <c r="P344" s="41" t="s">
        <v>105</v>
      </c>
      <c r="Q344" s="42"/>
      <c r="R344" s="41"/>
      <c r="S344" s="42"/>
      <c r="T344" s="41"/>
    </row>
    <row r="345" customFormat="false" ht="13.5" hidden="false" customHeight="true" outlineLevel="0" collapsed="false">
      <c r="A345" s="37" t="n">
        <v>342</v>
      </c>
      <c r="B345" s="37" t="n">
        <v>1899</v>
      </c>
      <c r="C345" s="38" t="s">
        <v>1656</v>
      </c>
      <c r="D345" s="37" t="s">
        <v>100</v>
      </c>
      <c r="E345" s="39" t="n">
        <v>20577</v>
      </c>
      <c r="F345" s="37" t="n">
        <f aca="true">IFERROR(DATEDIF(E345,TODAY(),"Y"),"")</f>
        <v>70</v>
      </c>
      <c r="G345" s="40" t="s">
        <v>1657</v>
      </c>
      <c r="H345" s="40"/>
      <c r="I345" s="38" t="s">
        <v>1658</v>
      </c>
      <c r="J345" s="38"/>
      <c r="K345" s="38" t="s">
        <v>1659</v>
      </c>
      <c r="L345" s="38" t="s">
        <v>55</v>
      </c>
      <c r="M345" s="37"/>
      <c r="N345" s="39" t="n">
        <v>38520</v>
      </c>
      <c r="O345" s="41" t="s">
        <v>23</v>
      </c>
      <c r="P345" s="41" t="s">
        <v>105</v>
      </c>
      <c r="Q345" s="42"/>
      <c r="R345" s="41"/>
      <c r="S345" s="42"/>
      <c r="T345" s="41"/>
    </row>
    <row r="346" customFormat="false" ht="13.5" hidden="false" customHeight="true" outlineLevel="0" collapsed="false">
      <c r="A346" s="37" t="n">
        <v>343</v>
      </c>
      <c r="B346" s="37" t="n">
        <v>1907</v>
      </c>
      <c r="C346" s="38" t="s">
        <v>1660</v>
      </c>
      <c r="D346" s="37" t="s">
        <v>100</v>
      </c>
      <c r="E346" s="39" t="n">
        <v>24558</v>
      </c>
      <c r="F346" s="37" t="n">
        <f aca="true">IFERROR(DATEDIF(E346,TODAY(),"Y"),"")</f>
        <v>59</v>
      </c>
      <c r="G346" s="40" t="s">
        <v>1661</v>
      </c>
      <c r="H346" s="40" t="s">
        <v>1662</v>
      </c>
      <c r="I346" s="38" t="s">
        <v>1663</v>
      </c>
      <c r="J346" s="38"/>
      <c r="K346" s="38" t="s">
        <v>1664</v>
      </c>
      <c r="L346" s="38" t="s">
        <v>49</v>
      </c>
      <c r="M346" s="37"/>
      <c r="N346" s="39" t="n">
        <v>38520</v>
      </c>
      <c r="O346" s="41" t="s">
        <v>23</v>
      </c>
      <c r="P346" s="41" t="s">
        <v>105</v>
      </c>
      <c r="Q346" s="42"/>
      <c r="R346" s="41"/>
      <c r="S346" s="42"/>
      <c r="T346" s="41"/>
    </row>
    <row r="347" customFormat="false" ht="13.5" hidden="false" customHeight="true" outlineLevel="0" collapsed="false">
      <c r="A347" s="37" t="n">
        <v>344</v>
      </c>
      <c r="B347" s="37" t="n">
        <v>1910</v>
      </c>
      <c r="C347" s="38" t="s">
        <v>1665</v>
      </c>
      <c r="D347" s="37" t="s">
        <v>100</v>
      </c>
      <c r="E347" s="39" t="n">
        <v>24623</v>
      </c>
      <c r="F347" s="37" t="n">
        <f aca="true">IFERROR(DATEDIF(E347,TODAY(),"Y"),"")</f>
        <v>59</v>
      </c>
      <c r="G347" s="40" t="s">
        <v>1666</v>
      </c>
      <c r="H347" s="40" t="s">
        <v>1667</v>
      </c>
      <c r="I347" s="38" t="s">
        <v>1668</v>
      </c>
      <c r="J347" s="38" t="s">
        <v>16</v>
      </c>
      <c r="K347" s="38" t="s">
        <v>1669</v>
      </c>
      <c r="L347" s="38" t="s">
        <v>55</v>
      </c>
      <c r="M347" s="37" t="s">
        <v>177</v>
      </c>
      <c r="N347" s="39" t="n">
        <v>38520</v>
      </c>
      <c r="O347" s="41" t="s">
        <v>23</v>
      </c>
      <c r="P347" s="41" t="s">
        <v>105</v>
      </c>
      <c r="Q347" s="42"/>
      <c r="R347" s="41"/>
      <c r="S347" s="42"/>
      <c r="T347" s="41"/>
    </row>
    <row r="348" customFormat="false" ht="13.5" hidden="false" customHeight="true" outlineLevel="0" collapsed="false">
      <c r="A348" s="37" t="n">
        <v>345</v>
      </c>
      <c r="B348" s="37" t="n">
        <v>1911</v>
      </c>
      <c r="C348" s="38" t="s">
        <v>1670</v>
      </c>
      <c r="D348" s="37" t="s">
        <v>100</v>
      </c>
      <c r="E348" s="39" t="n">
        <v>16697</v>
      </c>
      <c r="F348" s="37" t="n">
        <f aca="true">IFERROR(DATEDIF(E348,TODAY(),"Y"),"")</f>
        <v>80</v>
      </c>
      <c r="G348" s="40" t="s">
        <v>1671</v>
      </c>
      <c r="H348" s="40" t="s">
        <v>1672</v>
      </c>
      <c r="I348" s="38" t="s">
        <v>1673</v>
      </c>
      <c r="J348" s="38" t="s">
        <v>15</v>
      </c>
      <c r="K348" s="38" t="s">
        <v>1674</v>
      </c>
      <c r="L348" s="38" t="s">
        <v>57</v>
      </c>
      <c r="M348" s="37" t="s">
        <v>104</v>
      </c>
      <c r="N348" s="39" t="n">
        <v>38520</v>
      </c>
      <c r="O348" s="41" t="s">
        <v>23</v>
      </c>
      <c r="P348" s="41" t="s">
        <v>105</v>
      </c>
      <c r="Q348" s="42"/>
      <c r="R348" s="41"/>
      <c r="S348" s="42"/>
      <c r="T348" s="41"/>
    </row>
    <row r="349" customFormat="false" ht="13.5" hidden="false" customHeight="true" outlineLevel="0" collapsed="false">
      <c r="A349" s="37" t="n">
        <v>346</v>
      </c>
      <c r="B349" s="37" t="n">
        <v>1912</v>
      </c>
      <c r="C349" s="38" t="s">
        <v>1675</v>
      </c>
      <c r="D349" s="37" t="s">
        <v>100</v>
      </c>
      <c r="E349" s="39" t="n">
        <v>29361</v>
      </c>
      <c r="F349" s="37" t="n">
        <f aca="true">IFERROR(DATEDIF(E349,TODAY(),"Y"),"")</f>
        <v>46</v>
      </c>
      <c r="G349" s="40" t="s">
        <v>1676</v>
      </c>
      <c r="H349" s="40" t="s">
        <v>1677</v>
      </c>
      <c r="I349" s="38" t="s">
        <v>1678</v>
      </c>
      <c r="J349" s="38"/>
      <c r="K349" s="38" t="s">
        <v>1679</v>
      </c>
      <c r="L349" s="38" t="s">
        <v>55</v>
      </c>
      <c r="M349" s="37"/>
      <c r="N349" s="39" t="n">
        <v>38520</v>
      </c>
      <c r="O349" s="41" t="s">
        <v>23</v>
      </c>
      <c r="P349" s="41" t="s">
        <v>105</v>
      </c>
      <c r="Q349" s="42"/>
      <c r="R349" s="41"/>
      <c r="S349" s="42"/>
      <c r="T349" s="41"/>
    </row>
    <row r="350" customFormat="false" ht="13.5" hidden="false" customHeight="true" outlineLevel="0" collapsed="false">
      <c r="A350" s="37" t="n">
        <v>347</v>
      </c>
      <c r="B350" s="37" t="n">
        <v>1919</v>
      </c>
      <c r="C350" s="38" t="s">
        <v>1680</v>
      </c>
      <c r="D350" s="37" t="s">
        <v>100</v>
      </c>
      <c r="E350" s="39" t="n">
        <v>26741</v>
      </c>
      <c r="F350" s="37" t="n">
        <f aca="true">IFERROR(DATEDIF(E350,TODAY(),"Y"),"")</f>
        <v>53</v>
      </c>
      <c r="G350" s="40" t="s">
        <v>1681</v>
      </c>
      <c r="H350" s="40"/>
      <c r="I350" s="38" t="s">
        <v>1682</v>
      </c>
      <c r="J350" s="38"/>
      <c r="K350" s="38" t="s">
        <v>1683</v>
      </c>
      <c r="L350" s="38" t="s">
        <v>46</v>
      </c>
      <c r="M350" s="37" t="s">
        <v>731</v>
      </c>
      <c r="N350" s="39" t="n">
        <v>38520</v>
      </c>
      <c r="O350" s="41" t="s">
        <v>23</v>
      </c>
      <c r="P350" s="41" t="s">
        <v>105</v>
      </c>
      <c r="Q350" s="42"/>
      <c r="R350" s="41"/>
      <c r="S350" s="42"/>
      <c r="T350" s="41"/>
    </row>
    <row r="351" customFormat="false" ht="13.5" hidden="false" customHeight="true" outlineLevel="0" collapsed="false">
      <c r="A351" s="37" t="n">
        <v>348</v>
      </c>
      <c r="B351" s="37" t="n">
        <v>1920</v>
      </c>
      <c r="C351" s="38" t="s">
        <v>1684</v>
      </c>
      <c r="D351" s="37" t="s">
        <v>100</v>
      </c>
      <c r="E351" s="39" t="n">
        <v>30582</v>
      </c>
      <c r="F351" s="37" t="n">
        <f aca="true">IFERROR(DATEDIF(E351,TODAY(),"Y"),"")</f>
        <v>42</v>
      </c>
      <c r="G351" s="40" t="s">
        <v>1685</v>
      </c>
      <c r="H351" s="40"/>
      <c r="I351" s="38" t="s">
        <v>1686</v>
      </c>
      <c r="J351" s="38"/>
      <c r="K351" s="38" t="s">
        <v>1687</v>
      </c>
      <c r="L351" s="38" t="s">
        <v>55</v>
      </c>
      <c r="M351" s="37"/>
      <c r="N351" s="39" t="n">
        <v>38520</v>
      </c>
      <c r="O351" s="41" t="s">
        <v>23</v>
      </c>
      <c r="P351" s="41" t="s">
        <v>105</v>
      </c>
      <c r="Q351" s="42"/>
      <c r="R351" s="41"/>
      <c r="S351" s="42"/>
      <c r="T351" s="41"/>
    </row>
    <row r="352" customFormat="false" ht="13.5" hidden="false" customHeight="true" outlineLevel="0" collapsed="false">
      <c r="A352" s="37" t="n">
        <v>349</v>
      </c>
      <c r="B352" s="37" t="n">
        <v>1927</v>
      </c>
      <c r="C352" s="38" t="s">
        <v>1688</v>
      </c>
      <c r="D352" s="37" t="s">
        <v>100</v>
      </c>
      <c r="E352" s="39" t="n">
        <v>25974</v>
      </c>
      <c r="F352" s="37" t="n">
        <f aca="true">IFERROR(DATEDIF(E352,TODAY(),"Y"),"")</f>
        <v>55</v>
      </c>
      <c r="G352" s="40" t="s">
        <v>1689</v>
      </c>
      <c r="H352" s="40"/>
      <c r="I352" s="38" t="s">
        <v>1690</v>
      </c>
      <c r="J352" s="38" t="s">
        <v>15</v>
      </c>
      <c r="K352" s="38" t="s">
        <v>1691</v>
      </c>
      <c r="L352" s="38" t="s">
        <v>51</v>
      </c>
      <c r="M352" s="37"/>
      <c r="N352" s="39" t="n">
        <v>38520</v>
      </c>
      <c r="O352" s="41" t="s">
        <v>23</v>
      </c>
      <c r="P352" s="41" t="s">
        <v>105</v>
      </c>
      <c r="Q352" s="42"/>
      <c r="R352" s="41"/>
      <c r="S352" s="42"/>
      <c r="T352" s="41"/>
    </row>
    <row r="353" customFormat="false" ht="13.5" hidden="false" customHeight="true" outlineLevel="0" collapsed="false">
      <c r="A353" s="37" t="n">
        <v>350</v>
      </c>
      <c r="B353" s="37" t="n">
        <v>1929</v>
      </c>
      <c r="C353" s="38" t="s">
        <v>1692</v>
      </c>
      <c r="D353" s="37" t="s">
        <v>100</v>
      </c>
      <c r="E353" s="39" t="n">
        <v>24268</v>
      </c>
      <c r="F353" s="37" t="n">
        <f aca="true">IFERROR(DATEDIF(E353,TODAY(),"Y"),"")</f>
        <v>60</v>
      </c>
      <c r="G353" s="40" t="s">
        <v>1693</v>
      </c>
      <c r="H353" s="40" t="s">
        <v>1694</v>
      </c>
      <c r="I353" s="38"/>
      <c r="J353" s="38" t="s">
        <v>15</v>
      </c>
      <c r="K353" s="38" t="s">
        <v>1695</v>
      </c>
      <c r="L353" s="38" t="s">
        <v>55</v>
      </c>
      <c r="M353" s="37" t="s">
        <v>120</v>
      </c>
      <c r="N353" s="39" t="n">
        <v>38520</v>
      </c>
      <c r="O353" s="41" t="s">
        <v>23</v>
      </c>
      <c r="P353" s="41" t="s">
        <v>105</v>
      </c>
      <c r="Q353" s="42"/>
      <c r="R353" s="41"/>
      <c r="S353" s="42"/>
      <c r="T353" s="41"/>
    </row>
    <row r="354" customFormat="false" ht="13.5" hidden="false" customHeight="true" outlineLevel="0" collapsed="false">
      <c r="A354" s="37" t="n">
        <v>351</v>
      </c>
      <c r="B354" s="37" t="n">
        <v>1931</v>
      </c>
      <c r="C354" s="38" t="s">
        <v>1696</v>
      </c>
      <c r="D354" s="37" t="s">
        <v>100</v>
      </c>
      <c r="E354" s="39" t="n">
        <v>24922</v>
      </c>
      <c r="F354" s="37" t="n">
        <f aca="true">IFERROR(DATEDIF(E354,TODAY(),"Y"),"")</f>
        <v>58</v>
      </c>
      <c r="G354" s="40" t="s">
        <v>1697</v>
      </c>
      <c r="H354" s="40" t="s">
        <v>1698</v>
      </c>
      <c r="I354" s="38" t="s">
        <v>1699</v>
      </c>
      <c r="J354" s="38" t="s">
        <v>15</v>
      </c>
      <c r="K354" s="38" t="s">
        <v>1700</v>
      </c>
      <c r="L354" s="38" t="s">
        <v>48</v>
      </c>
      <c r="M354" s="37" t="s">
        <v>120</v>
      </c>
      <c r="N354" s="39" t="n">
        <v>38520</v>
      </c>
      <c r="O354" s="41" t="s">
        <v>23</v>
      </c>
      <c r="P354" s="41" t="s">
        <v>105</v>
      </c>
      <c r="Q354" s="42"/>
      <c r="R354" s="41"/>
      <c r="S354" s="42"/>
      <c r="T354" s="41"/>
    </row>
    <row r="355" customFormat="false" ht="13.5" hidden="false" customHeight="true" outlineLevel="0" collapsed="false">
      <c r="A355" s="37" t="n">
        <v>352</v>
      </c>
      <c r="B355" s="37" t="n">
        <v>1933</v>
      </c>
      <c r="C355" s="38" t="s">
        <v>1701</v>
      </c>
      <c r="D355" s="37" t="s">
        <v>100</v>
      </c>
      <c r="E355" s="39" t="n">
        <v>22065</v>
      </c>
      <c r="F355" s="37" t="n">
        <f aca="true">IFERROR(DATEDIF(E355,TODAY(),"Y"),"")</f>
        <v>66</v>
      </c>
      <c r="G355" s="40" t="s">
        <v>1702</v>
      </c>
      <c r="H355" s="40"/>
      <c r="I355" s="38" t="s">
        <v>1703</v>
      </c>
      <c r="J355" s="38" t="s">
        <v>16</v>
      </c>
      <c r="K355" s="38" t="s">
        <v>1704</v>
      </c>
      <c r="L355" s="38" t="s">
        <v>47</v>
      </c>
      <c r="M355" s="37"/>
      <c r="N355" s="39" t="n">
        <v>38520</v>
      </c>
      <c r="O355" s="41" t="s">
        <v>23</v>
      </c>
      <c r="P355" s="41" t="s">
        <v>105</v>
      </c>
      <c r="Q355" s="42"/>
      <c r="R355" s="41"/>
      <c r="S355" s="42"/>
      <c r="T355" s="41"/>
    </row>
    <row r="356" customFormat="false" ht="13.5" hidden="false" customHeight="true" outlineLevel="0" collapsed="false">
      <c r="A356" s="37" t="n">
        <v>353</v>
      </c>
      <c r="B356" s="37" t="n">
        <v>1935</v>
      </c>
      <c r="C356" s="38" t="s">
        <v>1705</v>
      </c>
      <c r="D356" s="37" t="s">
        <v>100</v>
      </c>
      <c r="E356" s="39" t="n">
        <v>30230</v>
      </c>
      <c r="F356" s="37" t="n">
        <f aca="true">IFERROR(DATEDIF(E356,TODAY(),"Y"),"")</f>
        <v>43</v>
      </c>
      <c r="G356" s="40" t="s">
        <v>1706</v>
      </c>
      <c r="H356" s="40" t="s">
        <v>1707</v>
      </c>
      <c r="I356" s="38" t="s">
        <v>1708</v>
      </c>
      <c r="J356" s="38" t="s">
        <v>15</v>
      </c>
      <c r="K356" s="38" t="s">
        <v>1709</v>
      </c>
      <c r="L356" s="38" t="s">
        <v>53</v>
      </c>
      <c r="M356" s="37"/>
      <c r="N356" s="39" t="n">
        <v>38520</v>
      </c>
      <c r="O356" s="41" t="s">
        <v>23</v>
      </c>
      <c r="P356" s="41" t="s">
        <v>105</v>
      </c>
      <c r="Q356" s="42"/>
      <c r="R356" s="41"/>
      <c r="S356" s="42"/>
      <c r="T356" s="41"/>
    </row>
    <row r="357" customFormat="false" ht="13.5" hidden="false" customHeight="true" outlineLevel="0" collapsed="false">
      <c r="A357" s="37" t="n">
        <v>354</v>
      </c>
      <c r="B357" s="37" t="n">
        <v>1936</v>
      </c>
      <c r="C357" s="38" t="s">
        <v>1710</v>
      </c>
      <c r="D357" s="37" t="s">
        <v>100</v>
      </c>
      <c r="E357" s="39" t="n">
        <v>13881</v>
      </c>
      <c r="F357" s="37" t="n">
        <f aca="true">IFERROR(DATEDIF(E357,TODAY(),"Y"),"")</f>
        <v>88</v>
      </c>
      <c r="G357" s="40" t="s">
        <v>1711</v>
      </c>
      <c r="H357" s="40" t="s">
        <v>1712</v>
      </c>
      <c r="I357" s="38" t="s">
        <v>1713</v>
      </c>
      <c r="J357" s="38" t="s">
        <v>15</v>
      </c>
      <c r="K357" s="38" t="s">
        <v>1714</v>
      </c>
      <c r="L357" s="38" t="s">
        <v>57</v>
      </c>
      <c r="M357" s="37" t="s">
        <v>177</v>
      </c>
      <c r="N357" s="39" t="n">
        <v>38520</v>
      </c>
      <c r="O357" s="41" t="s">
        <v>23</v>
      </c>
      <c r="P357" s="41" t="s">
        <v>105</v>
      </c>
      <c r="Q357" s="42"/>
      <c r="R357" s="41"/>
      <c r="S357" s="42"/>
      <c r="T357" s="41"/>
    </row>
    <row r="358" customFormat="false" ht="13.5" hidden="false" customHeight="true" outlineLevel="0" collapsed="false">
      <c r="A358" s="37" t="n">
        <v>355</v>
      </c>
      <c r="B358" s="37" t="n">
        <v>1937</v>
      </c>
      <c r="C358" s="38" t="s">
        <v>1715</v>
      </c>
      <c r="D358" s="37" t="s">
        <v>100</v>
      </c>
      <c r="E358" s="39" t="n">
        <v>19863</v>
      </c>
      <c r="F358" s="37" t="n">
        <f aca="true">IFERROR(DATEDIF(E358,TODAY(),"Y"),"")</f>
        <v>72</v>
      </c>
      <c r="G358" s="40" t="s">
        <v>1716</v>
      </c>
      <c r="H358" s="40" t="s">
        <v>1717</v>
      </c>
      <c r="I358" s="38" t="s">
        <v>1718</v>
      </c>
      <c r="J358" s="38" t="s">
        <v>15</v>
      </c>
      <c r="K358" s="38" t="s">
        <v>1719</v>
      </c>
      <c r="L358" s="38" t="s">
        <v>51</v>
      </c>
      <c r="M358" s="37"/>
      <c r="N358" s="39" t="n">
        <v>38520</v>
      </c>
      <c r="O358" s="41" t="s">
        <v>23</v>
      </c>
      <c r="P358" s="41" t="s">
        <v>105</v>
      </c>
      <c r="Q358" s="42"/>
      <c r="R358" s="41"/>
      <c r="S358" s="42"/>
      <c r="T358" s="41"/>
    </row>
    <row r="359" customFormat="false" ht="13.5" hidden="false" customHeight="true" outlineLevel="0" collapsed="false">
      <c r="A359" s="37" t="n">
        <v>356</v>
      </c>
      <c r="B359" s="37" t="n">
        <v>1940</v>
      </c>
      <c r="C359" s="38" t="s">
        <v>1720</v>
      </c>
      <c r="D359" s="37" t="s">
        <v>100</v>
      </c>
      <c r="E359" s="39" t="n">
        <v>23449</v>
      </c>
      <c r="F359" s="37" t="n">
        <f aca="true">IFERROR(DATEDIF(E359,TODAY(),"Y"),"")</f>
        <v>62</v>
      </c>
      <c r="G359" s="40" t="s">
        <v>1721</v>
      </c>
      <c r="H359" s="40"/>
      <c r="I359" s="38" t="s">
        <v>1722</v>
      </c>
      <c r="J359" s="38" t="s">
        <v>15</v>
      </c>
      <c r="K359" s="38" t="s">
        <v>1723</v>
      </c>
      <c r="L359" s="38" t="s">
        <v>44</v>
      </c>
      <c r="M359" s="37"/>
      <c r="N359" s="39" t="n">
        <v>38520</v>
      </c>
      <c r="O359" s="41" t="s">
        <v>23</v>
      </c>
      <c r="P359" s="41" t="s">
        <v>105</v>
      </c>
      <c r="Q359" s="42"/>
      <c r="R359" s="41"/>
      <c r="S359" s="42"/>
      <c r="T359" s="41"/>
    </row>
    <row r="360" customFormat="false" ht="13.5" hidden="false" customHeight="true" outlineLevel="0" collapsed="false">
      <c r="A360" s="37" t="n">
        <v>357</v>
      </c>
      <c r="B360" s="37" t="n">
        <v>1941</v>
      </c>
      <c r="C360" s="38" t="s">
        <v>1724</v>
      </c>
      <c r="D360" s="37" t="s">
        <v>100</v>
      </c>
      <c r="E360" s="39" t="n">
        <v>23413</v>
      </c>
      <c r="F360" s="37" t="n">
        <f aca="true">IFERROR(DATEDIF(E360,TODAY(),"Y"),"")</f>
        <v>62</v>
      </c>
      <c r="G360" s="40" t="s">
        <v>1725</v>
      </c>
      <c r="H360" s="40"/>
      <c r="I360" s="38" t="s">
        <v>1726</v>
      </c>
      <c r="J360" s="38" t="s">
        <v>16</v>
      </c>
      <c r="K360" s="38" t="s">
        <v>1727</v>
      </c>
      <c r="L360" s="43" t="s">
        <v>58</v>
      </c>
      <c r="M360" s="37"/>
      <c r="N360" s="39" t="n">
        <v>38520</v>
      </c>
      <c r="O360" s="41" t="s">
        <v>23</v>
      </c>
      <c r="P360" s="41" t="s">
        <v>105</v>
      </c>
      <c r="Q360" s="42"/>
      <c r="R360" s="41"/>
      <c r="S360" s="42"/>
      <c r="T360" s="41"/>
    </row>
    <row r="361" customFormat="false" ht="13.5" hidden="false" customHeight="true" outlineLevel="0" collapsed="false">
      <c r="A361" s="37" t="n">
        <v>358</v>
      </c>
      <c r="B361" s="37" t="n">
        <v>1943</v>
      </c>
      <c r="C361" s="38" t="s">
        <v>1728</v>
      </c>
      <c r="D361" s="37" t="s">
        <v>100</v>
      </c>
      <c r="E361" s="39" t="n">
        <v>26421</v>
      </c>
      <c r="F361" s="37" t="n">
        <f aca="true">IFERROR(DATEDIF(E361,TODAY(),"Y"),"")</f>
        <v>54</v>
      </c>
      <c r="G361" s="40" t="s">
        <v>1729</v>
      </c>
      <c r="H361" s="40" t="s">
        <v>1730</v>
      </c>
      <c r="I361" s="38" t="s">
        <v>1731</v>
      </c>
      <c r="J361" s="38" t="s">
        <v>15</v>
      </c>
      <c r="K361" s="38" t="s">
        <v>1732</v>
      </c>
      <c r="L361" s="38" t="s">
        <v>47</v>
      </c>
      <c r="M361" s="37"/>
      <c r="N361" s="39" t="n">
        <v>38520</v>
      </c>
      <c r="O361" s="41" t="s">
        <v>23</v>
      </c>
      <c r="P361" s="41" t="s">
        <v>105</v>
      </c>
      <c r="Q361" s="42"/>
      <c r="R361" s="41"/>
      <c r="S361" s="42"/>
      <c r="T361" s="41"/>
    </row>
    <row r="362" customFormat="false" ht="13.5" hidden="false" customHeight="true" outlineLevel="0" collapsed="false">
      <c r="A362" s="37" t="n">
        <v>359</v>
      </c>
      <c r="B362" s="37" t="n">
        <v>1944</v>
      </c>
      <c r="C362" s="38" t="s">
        <v>1733</v>
      </c>
      <c r="D362" s="37" t="s">
        <v>100</v>
      </c>
      <c r="E362" s="39" t="n">
        <v>21549</v>
      </c>
      <c r="F362" s="37" t="n">
        <f aca="true">IFERROR(DATEDIF(E362,TODAY(),"Y"),"")</f>
        <v>67</v>
      </c>
      <c r="G362" s="40" t="s">
        <v>1734</v>
      </c>
      <c r="H362" s="40" t="s">
        <v>1735</v>
      </c>
      <c r="I362" s="38" t="s">
        <v>1736</v>
      </c>
      <c r="J362" s="38" t="s">
        <v>15</v>
      </c>
      <c r="K362" s="38" t="s">
        <v>1737</v>
      </c>
      <c r="L362" s="43" t="s">
        <v>58</v>
      </c>
      <c r="M362" s="37"/>
      <c r="N362" s="39" t="n">
        <v>38520</v>
      </c>
      <c r="O362" s="41" t="s">
        <v>23</v>
      </c>
      <c r="P362" s="41" t="s">
        <v>105</v>
      </c>
      <c r="Q362" s="42"/>
      <c r="R362" s="41"/>
      <c r="S362" s="42"/>
      <c r="T362" s="41"/>
    </row>
    <row r="363" customFormat="false" ht="13.5" hidden="false" customHeight="true" outlineLevel="0" collapsed="false">
      <c r="A363" s="37" t="n">
        <v>360</v>
      </c>
      <c r="B363" s="37" t="n">
        <v>1945</v>
      </c>
      <c r="C363" s="38" t="s">
        <v>1738</v>
      </c>
      <c r="D363" s="37" t="s">
        <v>100</v>
      </c>
      <c r="E363" s="39" t="n">
        <v>21921</v>
      </c>
      <c r="F363" s="37" t="n">
        <f aca="true">IFERROR(DATEDIF(E363,TODAY(),"Y"),"")</f>
        <v>66</v>
      </c>
      <c r="G363" s="40" t="s">
        <v>1739</v>
      </c>
      <c r="H363" s="40" t="s">
        <v>1740</v>
      </c>
      <c r="I363" s="38" t="s">
        <v>1741</v>
      </c>
      <c r="J363" s="38" t="s">
        <v>18</v>
      </c>
      <c r="K363" s="38" t="s">
        <v>1742</v>
      </c>
      <c r="L363" s="38" t="s">
        <v>48</v>
      </c>
      <c r="M363" s="37"/>
      <c r="N363" s="39" t="n">
        <v>38520</v>
      </c>
      <c r="O363" s="41" t="s">
        <v>23</v>
      </c>
      <c r="P363" s="41" t="s">
        <v>105</v>
      </c>
      <c r="Q363" s="42"/>
      <c r="R363" s="41"/>
      <c r="S363" s="42"/>
      <c r="T363" s="41"/>
    </row>
    <row r="364" customFormat="false" ht="13.5" hidden="false" customHeight="true" outlineLevel="0" collapsed="false">
      <c r="A364" s="37" t="n">
        <v>361</v>
      </c>
      <c r="B364" s="37" t="n">
        <v>1949</v>
      </c>
      <c r="C364" s="38" t="s">
        <v>1743</v>
      </c>
      <c r="D364" s="37" t="s">
        <v>100</v>
      </c>
      <c r="E364" s="39" t="n">
        <v>22364</v>
      </c>
      <c r="F364" s="37" t="n">
        <f aca="true">IFERROR(DATEDIF(E364,TODAY(),"Y"),"")</f>
        <v>65</v>
      </c>
      <c r="G364" s="40" t="s">
        <v>1744</v>
      </c>
      <c r="H364" s="40" t="s">
        <v>1745</v>
      </c>
      <c r="I364" s="38" t="s">
        <v>1746</v>
      </c>
      <c r="J364" s="38" t="s">
        <v>15</v>
      </c>
      <c r="K364" s="38" t="s">
        <v>1747</v>
      </c>
      <c r="L364" s="38" t="s">
        <v>43</v>
      </c>
      <c r="M364" s="37" t="s">
        <v>731</v>
      </c>
      <c r="N364" s="39" t="n">
        <v>38520</v>
      </c>
      <c r="O364" s="41" t="s">
        <v>23</v>
      </c>
      <c r="P364" s="41" t="s">
        <v>105</v>
      </c>
      <c r="Q364" s="42"/>
      <c r="R364" s="41"/>
      <c r="S364" s="42"/>
      <c r="T364" s="41"/>
    </row>
    <row r="365" customFormat="false" ht="13.5" hidden="false" customHeight="true" outlineLevel="0" collapsed="false">
      <c r="A365" s="37" t="n">
        <v>362</v>
      </c>
      <c r="B365" s="37" t="n">
        <v>1953</v>
      </c>
      <c r="C365" s="38" t="s">
        <v>1748</v>
      </c>
      <c r="D365" s="37" t="s">
        <v>100</v>
      </c>
      <c r="E365" s="39" t="n">
        <v>18336</v>
      </c>
      <c r="F365" s="37" t="n">
        <f aca="true">IFERROR(DATEDIF(E365,TODAY(),"Y"),"")</f>
        <v>76</v>
      </c>
      <c r="G365" s="40" t="s">
        <v>1749</v>
      </c>
      <c r="H365" s="40" t="s">
        <v>1750</v>
      </c>
      <c r="I365" s="38" t="s">
        <v>1751</v>
      </c>
      <c r="J365" s="38" t="s">
        <v>15</v>
      </c>
      <c r="K365" s="38" t="s">
        <v>1752</v>
      </c>
      <c r="L365" s="38" t="s">
        <v>53</v>
      </c>
      <c r="M365" s="37"/>
      <c r="N365" s="39" t="n">
        <v>38520</v>
      </c>
      <c r="O365" s="41" t="s">
        <v>23</v>
      </c>
      <c r="P365" s="41" t="s">
        <v>105</v>
      </c>
      <c r="Q365" s="42"/>
      <c r="R365" s="41"/>
      <c r="S365" s="42"/>
      <c r="T365" s="41"/>
    </row>
    <row r="366" customFormat="false" ht="13.5" hidden="false" customHeight="true" outlineLevel="0" collapsed="false">
      <c r="A366" s="37" t="n">
        <v>363</v>
      </c>
      <c r="B366" s="37" t="n">
        <v>1957</v>
      </c>
      <c r="C366" s="38" t="s">
        <v>1753</v>
      </c>
      <c r="D366" s="37" t="s">
        <v>100</v>
      </c>
      <c r="E366" s="39" t="n">
        <v>24217</v>
      </c>
      <c r="F366" s="37" t="n">
        <f aca="true">IFERROR(DATEDIF(E366,TODAY(),"Y"),"")</f>
        <v>60</v>
      </c>
      <c r="G366" s="40" t="s">
        <v>1754</v>
      </c>
      <c r="H366" s="40" t="s">
        <v>1755</v>
      </c>
      <c r="I366" s="38" t="s">
        <v>1756</v>
      </c>
      <c r="J366" s="38" t="s">
        <v>16</v>
      </c>
      <c r="K366" s="38" t="s">
        <v>1757</v>
      </c>
      <c r="L366" s="38" t="s">
        <v>55</v>
      </c>
      <c r="M366" s="37" t="s">
        <v>120</v>
      </c>
      <c r="N366" s="39" t="n">
        <v>38520</v>
      </c>
      <c r="O366" s="41" t="s">
        <v>23</v>
      </c>
      <c r="P366" s="41" t="s">
        <v>105</v>
      </c>
      <c r="Q366" s="42"/>
      <c r="R366" s="41"/>
      <c r="S366" s="42"/>
      <c r="T366" s="41"/>
    </row>
    <row r="367" customFormat="false" ht="13.5" hidden="false" customHeight="true" outlineLevel="0" collapsed="false">
      <c r="A367" s="37" t="n">
        <v>364</v>
      </c>
      <c r="B367" s="37" t="n">
        <v>1959</v>
      </c>
      <c r="C367" s="38" t="s">
        <v>1758</v>
      </c>
      <c r="D367" s="37" t="s">
        <v>100</v>
      </c>
      <c r="E367" s="39" t="n">
        <v>26439</v>
      </c>
      <c r="F367" s="37" t="n">
        <f aca="true">IFERROR(DATEDIF(E367,TODAY(),"Y"),"")</f>
        <v>54</v>
      </c>
      <c r="G367" s="40" t="s">
        <v>159</v>
      </c>
      <c r="H367" s="40"/>
      <c r="I367" s="38"/>
      <c r="J367" s="38" t="s">
        <v>15</v>
      </c>
      <c r="K367" s="38" t="s">
        <v>1759</v>
      </c>
      <c r="L367" s="43" t="s">
        <v>58</v>
      </c>
      <c r="M367" s="37"/>
      <c r="N367" s="39" t="n">
        <v>38520</v>
      </c>
      <c r="O367" s="41" t="s">
        <v>23</v>
      </c>
      <c r="P367" s="41" t="s">
        <v>105</v>
      </c>
      <c r="Q367" s="42"/>
      <c r="R367" s="41"/>
      <c r="S367" s="42"/>
      <c r="T367" s="41"/>
    </row>
    <row r="368" customFormat="false" ht="13.5" hidden="false" customHeight="true" outlineLevel="0" collapsed="false">
      <c r="A368" s="37" t="n">
        <v>365</v>
      </c>
      <c r="B368" s="37" t="n">
        <v>1961</v>
      </c>
      <c r="C368" s="38" t="s">
        <v>1760</v>
      </c>
      <c r="D368" s="37" t="s">
        <v>100</v>
      </c>
      <c r="E368" s="39" t="n">
        <v>22008</v>
      </c>
      <c r="F368" s="37" t="n">
        <f aca="true">IFERROR(DATEDIF(E368,TODAY(),"Y"),"")</f>
        <v>66</v>
      </c>
      <c r="G368" s="40" t="s">
        <v>1761</v>
      </c>
      <c r="H368" s="40"/>
      <c r="I368" s="38" t="s">
        <v>1762</v>
      </c>
      <c r="J368" s="38" t="s">
        <v>15</v>
      </c>
      <c r="K368" s="38" t="s">
        <v>1763</v>
      </c>
      <c r="L368" s="38" t="s">
        <v>54</v>
      </c>
      <c r="M368" s="37"/>
      <c r="N368" s="39" t="n">
        <v>38520</v>
      </c>
      <c r="O368" s="41" t="s">
        <v>23</v>
      </c>
      <c r="P368" s="41" t="s">
        <v>105</v>
      </c>
      <c r="Q368" s="42"/>
      <c r="R368" s="41"/>
      <c r="S368" s="42"/>
      <c r="T368" s="41"/>
    </row>
    <row r="369" customFormat="false" ht="13.5" hidden="false" customHeight="true" outlineLevel="0" collapsed="false">
      <c r="A369" s="37" t="n">
        <v>366</v>
      </c>
      <c r="B369" s="37" t="n">
        <v>1962</v>
      </c>
      <c r="C369" s="38" t="s">
        <v>1764</v>
      </c>
      <c r="D369" s="37" t="s">
        <v>100</v>
      </c>
      <c r="E369" s="39" t="n">
        <v>22490</v>
      </c>
      <c r="F369" s="37" t="n">
        <f aca="true">IFERROR(DATEDIF(E369,TODAY(),"Y"),"")</f>
        <v>65</v>
      </c>
      <c r="G369" s="40" t="s">
        <v>1765</v>
      </c>
      <c r="H369" s="40" t="s">
        <v>1766</v>
      </c>
      <c r="I369" s="38" t="s">
        <v>1767</v>
      </c>
      <c r="J369" s="38"/>
      <c r="K369" s="38" t="s">
        <v>1768</v>
      </c>
      <c r="L369" s="38" t="s">
        <v>53</v>
      </c>
      <c r="M369" s="37"/>
      <c r="N369" s="39" t="n">
        <v>38520</v>
      </c>
      <c r="O369" s="41" t="s">
        <v>23</v>
      </c>
      <c r="P369" s="41" t="s">
        <v>105</v>
      </c>
      <c r="Q369" s="42"/>
      <c r="R369" s="41"/>
      <c r="S369" s="42"/>
      <c r="T369" s="41"/>
    </row>
    <row r="370" customFormat="false" ht="13.5" hidden="false" customHeight="true" outlineLevel="0" collapsed="false">
      <c r="A370" s="37" t="n">
        <v>367</v>
      </c>
      <c r="B370" s="37" t="n">
        <v>1963</v>
      </c>
      <c r="C370" s="38" t="s">
        <v>1769</v>
      </c>
      <c r="D370" s="37" t="s">
        <v>100</v>
      </c>
      <c r="E370" s="39" t="n">
        <v>29912</v>
      </c>
      <c r="F370" s="37" t="n">
        <f aca="true">IFERROR(DATEDIF(E370,TODAY(),"Y"),"")</f>
        <v>44</v>
      </c>
      <c r="G370" s="40" t="s">
        <v>1770</v>
      </c>
      <c r="H370" s="40" t="s">
        <v>1771</v>
      </c>
      <c r="I370" s="38" t="s">
        <v>1772</v>
      </c>
      <c r="J370" s="38" t="s">
        <v>15</v>
      </c>
      <c r="K370" s="38" t="s">
        <v>1773</v>
      </c>
      <c r="L370" s="38" t="s">
        <v>55</v>
      </c>
      <c r="M370" s="37"/>
      <c r="N370" s="39" t="n">
        <v>38520</v>
      </c>
      <c r="O370" s="41" t="s">
        <v>23</v>
      </c>
      <c r="P370" s="41" t="s">
        <v>105</v>
      </c>
      <c r="Q370" s="42"/>
      <c r="R370" s="41"/>
      <c r="S370" s="42"/>
      <c r="T370" s="41"/>
    </row>
    <row r="371" customFormat="false" ht="13.5" hidden="false" customHeight="true" outlineLevel="0" collapsed="false">
      <c r="A371" s="37" t="n">
        <v>368</v>
      </c>
      <c r="B371" s="37" t="n">
        <v>1964</v>
      </c>
      <c r="C371" s="38" t="s">
        <v>1774</v>
      </c>
      <c r="D371" s="37" t="s">
        <v>100</v>
      </c>
      <c r="E371" s="39" t="n">
        <v>23887</v>
      </c>
      <c r="F371" s="37" t="n">
        <f aca="true">IFERROR(DATEDIF(E371,TODAY(),"Y"),"")</f>
        <v>61</v>
      </c>
      <c r="G371" s="40" t="s">
        <v>1775</v>
      </c>
      <c r="H371" s="40" t="s">
        <v>1776</v>
      </c>
      <c r="I371" s="38" t="s">
        <v>1777</v>
      </c>
      <c r="J371" s="38" t="s">
        <v>16</v>
      </c>
      <c r="K371" s="38" t="s">
        <v>1778</v>
      </c>
      <c r="L371" s="38" t="s">
        <v>44</v>
      </c>
      <c r="M371" s="37"/>
      <c r="N371" s="39" t="n">
        <v>38520</v>
      </c>
      <c r="O371" s="41" t="s">
        <v>23</v>
      </c>
      <c r="P371" s="41" t="s">
        <v>105</v>
      </c>
      <c r="Q371" s="42"/>
      <c r="R371" s="41"/>
      <c r="S371" s="42"/>
      <c r="T371" s="41"/>
    </row>
    <row r="372" customFormat="false" ht="13.5" hidden="false" customHeight="true" outlineLevel="0" collapsed="false">
      <c r="A372" s="37" t="n">
        <v>369</v>
      </c>
      <c r="B372" s="37" t="n">
        <v>1966</v>
      </c>
      <c r="C372" s="38" t="s">
        <v>1779</v>
      </c>
      <c r="D372" s="37" t="s">
        <v>100</v>
      </c>
      <c r="E372" s="39" t="n">
        <v>23862</v>
      </c>
      <c r="F372" s="37" t="n">
        <f aca="true">IFERROR(DATEDIF(E372,TODAY(),"Y"),"")</f>
        <v>61</v>
      </c>
      <c r="G372" s="40" t="s">
        <v>1780</v>
      </c>
      <c r="H372" s="40" t="s">
        <v>1781</v>
      </c>
      <c r="I372" s="38" t="s">
        <v>1782</v>
      </c>
      <c r="J372" s="38" t="s">
        <v>15</v>
      </c>
      <c r="K372" s="38" t="s">
        <v>1783</v>
      </c>
      <c r="L372" s="38" t="s">
        <v>48</v>
      </c>
      <c r="M372" s="37"/>
      <c r="N372" s="39" t="n">
        <v>38520</v>
      </c>
      <c r="O372" s="41" t="s">
        <v>23</v>
      </c>
      <c r="P372" s="41" t="s">
        <v>105</v>
      </c>
      <c r="Q372" s="42"/>
      <c r="R372" s="41"/>
      <c r="S372" s="42"/>
      <c r="T372" s="41"/>
    </row>
    <row r="373" customFormat="false" ht="13.5" hidden="false" customHeight="true" outlineLevel="0" collapsed="false">
      <c r="A373" s="37" t="n">
        <v>370</v>
      </c>
      <c r="B373" s="37" t="n">
        <v>1967</v>
      </c>
      <c r="C373" s="38" t="s">
        <v>1784</v>
      </c>
      <c r="D373" s="37" t="s">
        <v>100</v>
      </c>
      <c r="E373" s="39" t="n">
        <v>23961</v>
      </c>
      <c r="F373" s="37" t="n">
        <f aca="true">IFERROR(DATEDIF(E373,TODAY(),"Y"),"")</f>
        <v>61</v>
      </c>
      <c r="G373" s="40" t="s">
        <v>1785</v>
      </c>
      <c r="H373" s="40"/>
      <c r="I373" s="38"/>
      <c r="J373" s="38" t="s">
        <v>15</v>
      </c>
      <c r="K373" s="38" t="s">
        <v>1786</v>
      </c>
      <c r="L373" s="38" t="s">
        <v>47</v>
      </c>
      <c r="M373" s="37"/>
      <c r="N373" s="39" t="n">
        <v>38520</v>
      </c>
      <c r="O373" s="41" t="s">
        <v>23</v>
      </c>
      <c r="P373" s="41" t="s">
        <v>105</v>
      </c>
      <c r="Q373" s="42"/>
      <c r="R373" s="41"/>
      <c r="S373" s="42"/>
      <c r="T373" s="41"/>
    </row>
    <row r="374" customFormat="false" ht="13.5" hidden="false" customHeight="true" outlineLevel="0" collapsed="false">
      <c r="A374" s="37" t="n">
        <v>371</v>
      </c>
      <c r="B374" s="37" t="n">
        <v>1971</v>
      </c>
      <c r="C374" s="38" t="s">
        <v>1787</v>
      </c>
      <c r="D374" s="37" t="s">
        <v>100</v>
      </c>
      <c r="E374" s="39" t="n">
        <v>22587</v>
      </c>
      <c r="F374" s="37" t="n">
        <f aca="true">IFERROR(DATEDIF(E374,TODAY(),"Y"),"")</f>
        <v>64</v>
      </c>
      <c r="G374" s="40" t="s">
        <v>1788</v>
      </c>
      <c r="H374" s="40" t="s">
        <v>1789</v>
      </c>
      <c r="I374" s="38" t="s">
        <v>1790</v>
      </c>
      <c r="J374" s="38" t="s">
        <v>15</v>
      </c>
      <c r="K374" s="38" t="s">
        <v>1791</v>
      </c>
      <c r="L374" s="38" t="s">
        <v>55</v>
      </c>
      <c r="M374" s="37"/>
      <c r="N374" s="39" t="n">
        <v>38520</v>
      </c>
      <c r="O374" s="41" t="s">
        <v>23</v>
      </c>
      <c r="P374" s="41" t="s">
        <v>105</v>
      </c>
      <c r="Q374" s="42"/>
      <c r="R374" s="41"/>
      <c r="S374" s="42"/>
      <c r="T374" s="41"/>
    </row>
    <row r="375" customFormat="false" ht="13.5" hidden="false" customHeight="true" outlineLevel="0" collapsed="false">
      <c r="A375" s="37" t="n">
        <v>372</v>
      </c>
      <c r="B375" s="37" t="n">
        <v>1973</v>
      </c>
      <c r="C375" s="38" t="s">
        <v>1792</v>
      </c>
      <c r="D375" s="37" t="s">
        <v>100</v>
      </c>
      <c r="E375" s="39" t="n">
        <v>27339</v>
      </c>
      <c r="F375" s="37" t="n">
        <f aca="true">IFERROR(DATEDIF(E375,TODAY(),"Y"),"")</f>
        <v>51</v>
      </c>
      <c r="G375" s="40" t="s">
        <v>1793</v>
      </c>
      <c r="H375" s="40" t="s">
        <v>1794</v>
      </c>
      <c r="I375" s="38" t="s">
        <v>1795</v>
      </c>
      <c r="J375" s="38" t="s">
        <v>15</v>
      </c>
      <c r="K375" s="38" t="s">
        <v>1796</v>
      </c>
      <c r="L375" s="38" t="s">
        <v>46</v>
      </c>
      <c r="M375" s="37" t="s">
        <v>177</v>
      </c>
      <c r="N375" s="39" t="n">
        <v>38520</v>
      </c>
      <c r="O375" s="41" t="s">
        <v>23</v>
      </c>
      <c r="P375" s="41" t="s">
        <v>105</v>
      </c>
      <c r="Q375" s="42"/>
      <c r="R375" s="41"/>
      <c r="S375" s="42"/>
      <c r="T375" s="41"/>
    </row>
    <row r="376" customFormat="false" ht="13.5" hidden="false" customHeight="true" outlineLevel="0" collapsed="false">
      <c r="A376" s="37" t="n">
        <v>373</v>
      </c>
      <c r="B376" s="37" t="n">
        <v>1975</v>
      </c>
      <c r="C376" s="38" t="s">
        <v>1797</v>
      </c>
      <c r="D376" s="37" t="s">
        <v>100</v>
      </c>
      <c r="E376" s="39" t="n">
        <v>23887</v>
      </c>
      <c r="F376" s="37" t="n">
        <f aca="true">IFERROR(DATEDIF(E376,TODAY(),"Y"),"")</f>
        <v>61</v>
      </c>
      <c r="G376" s="40" t="s">
        <v>1798</v>
      </c>
      <c r="H376" s="40"/>
      <c r="I376" s="38"/>
      <c r="J376" s="38" t="s">
        <v>15</v>
      </c>
      <c r="K376" s="38" t="s">
        <v>1799</v>
      </c>
      <c r="L376" s="38" t="s">
        <v>47</v>
      </c>
      <c r="M376" s="37"/>
      <c r="N376" s="39" t="n">
        <v>38520</v>
      </c>
      <c r="O376" s="41" t="s">
        <v>23</v>
      </c>
      <c r="P376" s="41" t="s">
        <v>105</v>
      </c>
      <c r="Q376" s="42"/>
      <c r="R376" s="41"/>
      <c r="S376" s="42"/>
      <c r="T376" s="41"/>
    </row>
    <row r="377" customFormat="false" ht="13.5" hidden="false" customHeight="true" outlineLevel="0" collapsed="false">
      <c r="A377" s="37" t="n">
        <v>374</v>
      </c>
      <c r="B377" s="37" t="n">
        <v>1977</v>
      </c>
      <c r="C377" s="38" t="s">
        <v>1800</v>
      </c>
      <c r="D377" s="37" t="s">
        <v>100</v>
      </c>
      <c r="E377" s="39" t="n">
        <v>20424</v>
      </c>
      <c r="F377" s="37" t="n">
        <f aca="true">IFERROR(DATEDIF(E377,TODAY(),"Y"),"")</f>
        <v>70</v>
      </c>
      <c r="G377" s="40" t="s">
        <v>1801</v>
      </c>
      <c r="H377" s="40" t="s">
        <v>1802</v>
      </c>
      <c r="I377" s="38" t="s">
        <v>1803</v>
      </c>
      <c r="J377" s="38" t="s">
        <v>15</v>
      </c>
      <c r="K377" s="38" t="s">
        <v>1804</v>
      </c>
      <c r="L377" s="38" t="s">
        <v>55</v>
      </c>
      <c r="M377" s="37"/>
      <c r="N377" s="39" t="n">
        <v>38520</v>
      </c>
      <c r="O377" s="41" t="s">
        <v>23</v>
      </c>
      <c r="P377" s="41" t="s">
        <v>105</v>
      </c>
      <c r="Q377" s="42"/>
      <c r="R377" s="41"/>
      <c r="S377" s="42"/>
      <c r="T377" s="41"/>
    </row>
    <row r="378" customFormat="false" ht="13.5" hidden="false" customHeight="true" outlineLevel="0" collapsed="false">
      <c r="A378" s="37" t="n">
        <v>375</v>
      </c>
      <c r="B378" s="37" t="n">
        <v>1979</v>
      </c>
      <c r="C378" s="38" t="s">
        <v>1805</v>
      </c>
      <c r="D378" s="37" t="s">
        <v>100</v>
      </c>
      <c r="E378" s="39" t="n">
        <v>23156</v>
      </c>
      <c r="F378" s="37" t="n">
        <f aca="true">IFERROR(DATEDIF(E378,TODAY(),"Y"),"")</f>
        <v>63</v>
      </c>
      <c r="G378" s="40" t="s">
        <v>1806</v>
      </c>
      <c r="H378" s="40" t="s">
        <v>1807</v>
      </c>
      <c r="I378" s="38" t="s">
        <v>1808</v>
      </c>
      <c r="J378" s="38" t="s">
        <v>16</v>
      </c>
      <c r="K378" s="38" t="s">
        <v>1809</v>
      </c>
      <c r="L378" s="38" t="s">
        <v>48</v>
      </c>
      <c r="M378" s="37" t="s">
        <v>788</v>
      </c>
      <c r="N378" s="39" t="n">
        <v>38520</v>
      </c>
      <c r="O378" s="41" t="s">
        <v>23</v>
      </c>
      <c r="P378" s="41" t="s">
        <v>105</v>
      </c>
      <c r="Q378" s="42"/>
      <c r="R378" s="41"/>
      <c r="S378" s="42"/>
      <c r="T378" s="41"/>
    </row>
    <row r="379" customFormat="false" ht="13.5" hidden="false" customHeight="true" outlineLevel="0" collapsed="false">
      <c r="A379" s="37" t="n">
        <v>376</v>
      </c>
      <c r="B379" s="37" t="n">
        <v>1986</v>
      </c>
      <c r="C379" s="38" t="s">
        <v>1810</v>
      </c>
      <c r="D379" s="37" t="s">
        <v>100</v>
      </c>
      <c r="E379" s="39" t="n">
        <v>23856</v>
      </c>
      <c r="F379" s="37" t="n">
        <f aca="true">IFERROR(DATEDIF(E379,TODAY(),"Y"),"")</f>
        <v>61</v>
      </c>
      <c r="G379" s="40" t="s">
        <v>1811</v>
      </c>
      <c r="H379" s="40" t="s">
        <v>1812</v>
      </c>
      <c r="I379" s="38" t="s">
        <v>1813</v>
      </c>
      <c r="J379" s="38" t="s">
        <v>15</v>
      </c>
      <c r="K379" s="38" t="s">
        <v>1814</v>
      </c>
      <c r="L379" s="38" t="s">
        <v>54</v>
      </c>
      <c r="M379" s="37"/>
      <c r="N379" s="39" t="n">
        <v>38520</v>
      </c>
      <c r="O379" s="41" t="s">
        <v>23</v>
      </c>
      <c r="P379" s="41" t="s">
        <v>105</v>
      </c>
      <c r="Q379" s="42"/>
      <c r="R379" s="41"/>
      <c r="S379" s="42"/>
      <c r="T379" s="41"/>
    </row>
    <row r="380" customFormat="false" ht="13.5" hidden="false" customHeight="true" outlineLevel="0" collapsed="false">
      <c r="A380" s="37" t="n">
        <v>377</v>
      </c>
      <c r="B380" s="37" t="n">
        <v>1988</v>
      </c>
      <c r="C380" s="38" t="s">
        <v>1815</v>
      </c>
      <c r="D380" s="37" t="s">
        <v>100</v>
      </c>
      <c r="E380" s="39" t="n">
        <v>25325</v>
      </c>
      <c r="F380" s="37" t="n">
        <f aca="true">IFERROR(DATEDIF(E380,TODAY(),"Y"),"")</f>
        <v>57</v>
      </c>
      <c r="G380" s="40" t="s">
        <v>1816</v>
      </c>
      <c r="H380" s="40"/>
      <c r="I380" s="38" t="s">
        <v>1817</v>
      </c>
      <c r="J380" s="38" t="s">
        <v>15</v>
      </c>
      <c r="K380" s="38" t="s">
        <v>1818</v>
      </c>
      <c r="L380" s="38" t="s">
        <v>46</v>
      </c>
      <c r="M380" s="37" t="s">
        <v>120</v>
      </c>
      <c r="N380" s="39" t="n">
        <v>38520</v>
      </c>
      <c r="O380" s="41" t="s">
        <v>23</v>
      </c>
      <c r="P380" s="41" t="s">
        <v>105</v>
      </c>
      <c r="Q380" s="42"/>
      <c r="R380" s="41"/>
      <c r="S380" s="42"/>
      <c r="T380" s="41"/>
    </row>
    <row r="381" customFormat="false" ht="13.5" hidden="false" customHeight="true" outlineLevel="0" collapsed="false">
      <c r="A381" s="37" t="n">
        <v>378</v>
      </c>
      <c r="B381" s="37" t="n">
        <v>1991</v>
      </c>
      <c r="C381" s="38" t="s">
        <v>1819</v>
      </c>
      <c r="D381" s="37" t="s">
        <v>100</v>
      </c>
      <c r="E381" s="39" t="n">
        <v>19322</v>
      </c>
      <c r="F381" s="37" t="n">
        <f aca="true">IFERROR(DATEDIF(E381,TODAY(),"Y"),"")</f>
        <v>73</v>
      </c>
      <c r="G381" s="40" t="s">
        <v>1820</v>
      </c>
      <c r="H381" s="40"/>
      <c r="I381" s="38" t="s">
        <v>1821</v>
      </c>
      <c r="J381" s="38" t="s">
        <v>16</v>
      </c>
      <c r="K381" s="38" t="s">
        <v>1822</v>
      </c>
      <c r="L381" s="38" t="s">
        <v>55</v>
      </c>
      <c r="M381" s="37" t="s">
        <v>177</v>
      </c>
      <c r="N381" s="39" t="n">
        <v>38520</v>
      </c>
      <c r="O381" s="41" t="s">
        <v>23</v>
      </c>
      <c r="P381" s="41" t="s">
        <v>105</v>
      </c>
      <c r="Q381" s="42"/>
      <c r="R381" s="41"/>
      <c r="S381" s="42"/>
      <c r="T381" s="41"/>
    </row>
    <row r="382" customFormat="false" ht="13.5" hidden="false" customHeight="true" outlineLevel="0" collapsed="false">
      <c r="A382" s="37" t="n">
        <v>379</v>
      </c>
      <c r="B382" s="37" t="n">
        <v>1992</v>
      </c>
      <c r="C382" s="38" t="s">
        <v>1823</v>
      </c>
      <c r="D382" s="37" t="s">
        <v>100</v>
      </c>
      <c r="E382" s="39" t="n">
        <v>24593</v>
      </c>
      <c r="F382" s="37" t="n">
        <f aca="true">IFERROR(DATEDIF(E382,TODAY(),"Y"),"")</f>
        <v>59</v>
      </c>
      <c r="G382" s="40" t="s">
        <v>1824</v>
      </c>
      <c r="H382" s="40" t="s">
        <v>1825</v>
      </c>
      <c r="I382" s="38" t="s">
        <v>1826</v>
      </c>
      <c r="J382" s="38" t="s">
        <v>15</v>
      </c>
      <c r="K382" s="38" t="s">
        <v>1827</v>
      </c>
      <c r="L382" s="38" t="s">
        <v>48</v>
      </c>
      <c r="M382" s="37"/>
      <c r="N382" s="39" t="n">
        <v>38520</v>
      </c>
      <c r="O382" s="41" t="s">
        <v>23</v>
      </c>
      <c r="P382" s="41" t="s">
        <v>105</v>
      </c>
      <c r="Q382" s="42"/>
      <c r="R382" s="41"/>
      <c r="S382" s="42"/>
      <c r="T382" s="41"/>
    </row>
    <row r="383" customFormat="false" ht="13.5" hidden="false" customHeight="true" outlineLevel="0" collapsed="false">
      <c r="A383" s="37" t="n">
        <v>380</v>
      </c>
      <c r="B383" s="37" t="n">
        <v>1993</v>
      </c>
      <c r="C383" s="38" t="s">
        <v>1828</v>
      </c>
      <c r="D383" s="37" t="s">
        <v>100</v>
      </c>
      <c r="E383" s="39" t="n">
        <v>25341</v>
      </c>
      <c r="F383" s="37" t="n">
        <f aca="true">IFERROR(DATEDIF(E383,TODAY(),"Y"),"")</f>
        <v>57</v>
      </c>
      <c r="G383" s="40" t="s">
        <v>1829</v>
      </c>
      <c r="H383" s="40" t="s">
        <v>1830</v>
      </c>
      <c r="I383" s="38" t="s">
        <v>1831</v>
      </c>
      <c r="J383" s="38" t="s">
        <v>16</v>
      </c>
      <c r="K383" s="38" t="s">
        <v>1832</v>
      </c>
      <c r="L383" s="38" t="s">
        <v>55</v>
      </c>
      <c r="M383" s="37"/>
      <c r="N383" s="39" t="n">
        <v>38520</v>
      </c>
      <c r="O383" s="41" t="s">
        <v>23</v>
      </c>
      <c r="P383" s="41" t="s">
        <v>105</v>
      </c>
      <c r="Q383" s="42"/>
      <c r="R383" s="41"/>
      <c r="S383" s="42"/>
      <c r="T383" s="41"/>
    </row>
    <row r="384" customFormat="false" ht="13.5" hidden="false" customHeight="true" outlineLevel="0" collapsed="false">
      <c r="A384" s="37" t="n">
        <v>381</v>
      </c>
      <c r="B384" s="37" t="n">
        <v>1997</v>
      </c>
      <c r="C384" s="38" t="s">
        <v>1833</v>
      </c>
      <c r="D384" s="37" t="s">
        <v>100</v>
      </c>
      <c r="E384" s="39" t="n">
        <v>18643</v>
      </c>
      <c r="F384" s="37" t="n">
        <f aca="true">IFERROR(DATEDIF(E384,TODAY(),"Y"),"")</f>
        <v>75</v>
      </c>
      <c r="G384" s="40" t="s">
        <v>1834</v>
      </c>
      <c r="H384" s="40" t="s">
        <v>1835</v>
      </c>
      <c r="I384" s="38" t="s">
        <v>1836</v>
      </c>
      <c r="J384" s="38" t="s">
        <v>15</v>
      </c>
      <c r="K384" s="38" t="s">
        <v>1837</v>
      </c>
      <c r="L384" s="38" t="s">
        <v>55</v>
      </c>
      <c r="M384" s="37"/>
      <c r="N384" s="39" t="n">
        <v>38520</v>
      </c>
      <c r="O384" s="41" t="s">
        <v>23</v>
      </c>
      <c r="P384" s="41" t="s">
        <v>105</v>
      </c>
      <c r="Q384" s="42"/>
      <c r="R384" s="41"/>
      <c r="S384" s="42"/>
      <c r="T384" s="41"/>
    </row>
    <row r="385" customFormat="false" ht="13.5" hidden="false" customHeight="true" outlineLevel="0" collapsed="false">
      <c r="A385" s="37" t="n">
        <v>382</v>
      </c>
      <c r="B385" s="37" t="n">
        <v>2000</v>
      </c>
      <c r="C385" s="38" t="s">
        <v>1838</v>
      </c>
      <c r="D385" s="37" t="s">
        <v>100</v>
      </c>
      <c r="E385" s="39" t="n">
        <v>27091</v>
      </c>
      <c r="F385" s="37" t="n">
        <f aca="true">IFERROR(DATEDIF(E385,TODAY(),"Y"),"")</f>
        <v>52</v>
      </c>
      <c r="G385" s="40" t="s">
        <v>1839</v>
      </c>
      <c r="H385" s="40" t="s">
        <v>1840</v>
      </c>
      <c r="I385" s="38" t="s">
        <v>1841</v>
      </c>
      <c r="J385" s="38" t="s">
        <v>16</v>
      </c>
      <c r="K385" s="38" t="s">
        <v>1842</v>
      </c>
      <c r="L385" s="38" t="s">
        <v>46</v>
      </c>
      <c r="M385" s="37"/>
      <c r="N385" s="39" t="n">
        <v>38520</v>
      </c>
      <c r="O385" s="41" t="s">
        <v>23</v>
      </c>
      <c r="P385" s="41" t="s">
        <v>105</v>
      </c>
      <c r="Q385" s="42"/>
      <c r="R385" s="41"/>
      <c r="S385" s="42"/>
      <c r="T385" s="41"/>
    </row>
    <row r="386" customFormat="false" ht="13.5" hidden="false" customHeight="true" outlineLevel="0" collapsed="false">
      <c r="A386" s="37" t="n">
        <v>383</v>
      </c>
      <c r="B386" s="37" t="n">
        <v>2003</v>
      </c>
      <c r="C386" s="38" t="s">
        <v>1843</v>
      </c>
      <c r="D386" s="37" t="s">
        <v>100</v>
      </c>
      <c r="E386" s="39" t="n">
        <v>22392</v>
      </c>
      <c r="F386" s="37" t="n">
        <f aca="true">IFERROR(DATEDIF(E386,TODAY(),"Y"),"")</f>
        <v>65</v>
      </c>
      <c r="G386" s="40" t="s">
        <v>1844</v>
      </c>
      <c r="H386" s="40" t="s">
        <v>1845</v>
      </c>
      <c r="I386" s="38" t="s">
        <v>1846</v>
      </c>
      <c r="J386" s="38" t="s">
        <v>15</v>
      </c>
      <c r="K386" s="38" t="s">
        <v>1847</v>
      </c>
      <c r="L386" s="38" t="s">
        <v>55</v>
      </c>
      <c r="M386" s="37"/>
      <c r="N386" s="39" t="n">
        <v>38520</v>
      </c>
      <c r="O386" s="41" t="s">
        <v>23</v>
      </c>
      <c r="P386" s="41" t="s">
        <v>105</v>
      </c>
      <c r="Q386" s="42"/>
      <c r="R386" s="41"/>
      <c r="S386" s="42"/>
      <c r="T386" s="41"/>
    </row>
    <row r="387" customFormat="false" ht="13.5" hidden="false" customHeight="true" outlineLevel="0" collapsed="false">
      <c r="A387" s="37" t="n">
        <v>384</v>
      </c>
      <c r="B387" s="37" t="n">
        <v>2005</v>
      </c>
      <c r="C387" s="38" t="s">
        <v>1848</v>
      </c>
      <c r="D387" s="37" t="s">
        <v>100</v>
      </c>
      <c r="E387" s="39" t="n">
        <v>19335</v>
      </c>
      <c r="F387" s="37" t="n">
        <f aca="true">IFERROR(DATEDIF(E387,TODAY(),"Y"),"")</f>
        <v>73</v>
      </c>
      <c r="G387" s="40" t="s">
        <v>1849</v>
      </c>
      <c r="H387" s="40"/>
      <c r="I387" s="38" t="s">
        <v>1850</v>
      </c>
      <c r="J387" s="38" t="s">
        <v>15</v>
      </c>
      <c r="K387" s="38" t="s">
        <v>1851</v>
      </c>
      <c r="L387" s="38" t="s">
        <v>46</v>
      </c>
      <c r="M387" s="37"/>
      <c r="N387" s="39" t="n">
        <v>38520</v>
      </c>
      <c r="O387" s="41" t="s">
        <v>23</v>
      </c>
      <c r="P387" s="41" t="s">
        <v>105</v>
      </c>
      <c r="Q387" s="42"/>
      <c r="R387" s="41"/>
      <c r="S387" s="42"/>
      <c r="T387" s="41"/>
    </row>
    <row r="388" customFormat="false" ht="13.5" hidden="false" customHeight="true" outlineLevel="0" collapsed="false">
      <c r="A388" s="37" t="n">
        <v>385</v>
      </c>
      <c r="B388" s="37" t="n">
        <v>2010</v>
      </c>
      <c r="C388" s="38" t="s">
        <v>1852</v>
      </c>
      <c r="D388" s="37" t="s">
        <v>100</v>
      </c>
      <c r="E388" s="39" t="n">
        <v>21971</v>
      </c>
      <c r="F388" s="37" t="n">
        <f aca="true">IFERROR(DATEDIF(E388,TODAY(),"Y"),"")</f>
        <v>66</v>
      </c>
      <c r="G388" s="40" t="s">
        <v>1853</v>
      </c>
      <c r="H388" s="40" t="s">
        <v>1854</v>
      </c>
      <c r="I388" s="38" t="s">
        <v>1855</v>
      </c>
      <c r="J388" s="38" t="s">
        <v>15</v>
      </c>
      <c r="K388" s="38" t="s">
        <v>1856</v>
      </c>
      <c r="L388" s="38" t="s">
        <v>43</v>
      </c>
      <c r="M388" s="37" t="s">
        <v>493</v>
      </c>
      <c r="N388" s="39" t="n">
        <v>38520</v>
      </c>
      <c r="O388" s="41" t="s">
        <v>23</v>
      </c>
      <c r="P388" s="41" t="s">
        <v>105</v>
      </c>
      <c r="Q388" s="42"/>
      <c r="R388" s="41"/>
      <c r="S388" s="42"/>
      <c r="T388" s="41"/>
    </row>
    <row r="389" customFormat="false" ht="13.5" hidden="false" customHeight="true" outlineLevel="0" collapsed="false">
      <c r="A389" s="37" t="n">
        <v>386</v>
      </c>
      <c r="B389" s="37" t="n">
        <v>2011</v>
      </c>
      <c r="C389" s="38" t="s">
        <v>1857</v>
      </c>
      <c r="D389" s="37" t="s">
        <v>100</v>
      </c>
      <c r="E389" s="39" t="n">
        <v>28934</v>
      </c>
      <c r="F389" s="37" t="n">
        <f aca="true">IFERROR(DATEDIF(E389,TODAY(),"Y"),"")</f>
        <v>47</v>
      </c>
      <c r="G389" s="40" t="s">
        <v>1858</v>
      </c>
      <c r="H389" s="40" t="s">
        <v>1859</v>
      </c>
      <c r="I389" s="38" t="s">
        <v>1860</v>
      </c>
      <c r="J389" s="38" t="s">
        <v>16</v>
      </c>
      <c r="K389" s="38" t="s">
        <v>1861</v>
      </c>
      <c r="L389" s="38" t="s">
        <v>54</v>
      </c>
      <c r="M389" s="37"/>
      <c r="N389" s="39" t="n">
        <v>38520</v>
      </c>
      <c r="O389" s="41" t="s">
        <v>23</v>
      </c>
      <c r="P389" s="41" t="s">
        <v>105</v>
      </c>
      <c r="Q389" s="42"/>
      <c r="R389" s="41"/>
      <c r="S389" s="42"/>
      <c r="T389" s="41"/>
    </row>
    <row r="390" customFormat="false" ht="13.5" hidden="false" customHeight="true" outlineLevel="0" collapsed="false">
      <c r="A390" s="37" t="n">
        <v>387</v>
      </c>
      <c r="B390" s="37" t="n">
        <v>2017</v>
      </c>
      <c r="C390" s="38" t="s">
        <v>1862</v>
      </c>
      <c r="D390" s="37" t="s">
        <v>100</v>
      </c>
      <c r="E390" s="39" t="n">
        <v>19270</v>
      </c>
      <c r="F390" s="37" t="n">
        <f aca="true">IFERROR(DATEDIF(E390,TODAY(),"Y"),"")</f>
        <v>73</v>
      </c>
      <c r="G390" s="40" t="s">
        <v>1863</v>
      </c>
      <c r="H390" s="40" t="s">
        <v>1864</v>
      </c>
      <c r="I390" s="38" t="s">
        <v>1865</v>
      </c>
      <c r="J390" s="38" t="s">
        <v>15</v>
      </c>
      <c r="K390" s="38" t="s">
        <v>1866</v>
      </c>
      <c r="L390" s="38" t="s">
        <v>55</v>
      </c>
      <c r="M390" s="37"/>
      <c r="N390" s="39" t="n">
        <v>38520</v>
      </c>
      <c r="O390" s="41" t="s">
        <v>23</v>
      </c>
      <c r="P390" s="41" t="s">
        <v>105</v>
      </c>
      <c r="Q390" s="42"/>
      <c r="R390" s="41"/>
      <c r="S390" s="42"/>
      <c r="T390" s="41"/>
    </row>
    <row r="391" customFormat="false" ht="13.5" hidden="false" customHeight="true" outlineLevel="0" collapsed="false">
      <c r="A391" s="37" t="n">
        <v>388</v>
      </c>
      <c r="B391" s="37" t="n">
        <v>2020</v>
      </c>
      <c r="C391" s="38" t="s">
        <v>1867</v>
      </c>
      <c r="D391" s="37" t="s">
        <v>100</v>
      </c>
      <c r="E391" s="39" t="n">
        <v>29190</v>
      </c>
      <c r="F391" s="37" t="n">
        <f aca="true">IFERROR(DATEDIF(E391,TODAY(),"Y"),"")</f>
        <v>46</v>
      </c>
      <c r="G391" s="40" t="s">
        <v>1868</v>
      </c>
      <c r="H391" s="40" t="s">
        <v>1869</v>
      </c>
      <c r="I391" s="38" t="s">
        <v>1870</v>
      </c>
      <c r="J391" s="38"/>
      <c r="K391" s="38" t="s">
        <v>1871</v>
      </c>
      <c r="L391" s="38" t="s">
        <v>51</v>
      </c>
      <c r="M391" s="37"/>
      <c r="N391" s="39" t="n">
        <v>38520</v>
      </c>
      <c r="O391" s="41" t="s">
        <v>23</v>
      </c>
      <c r="P391" s="41" t="s">
        <v>105</v>
      </c>
      <c r="Q391" s="42"/>
      <c r="R391" s="41"/>
      <c r="S391" s="42"/>
      <c r="T391" s="41"/>
    </row>
    <row r="392" customFormat="false" ht="13.5" hidden="false" customHeight="true" outlineLevel="0" collapsed="false">
      <c r="A392" s="37" t="n">
        <v>389</v>
      </c>
      <c r="B392" s="37" t="n">
        <v>2026</v>
      </c>
      <c r="C392" s="38" t="s">
        <v>1872</v>
      </c>
      <c r="D392" s="37" t="s">
        <v>100</v>
      </c>
      <c r="E392" s="39" t="n">
        <v>26074</v>
      </c>
      <c r="F392" s="37" t="n">
        <f aca="true">IFERROR(DATEDIF(E392,TODAY(),"Y"),"")</f>
        <v>55</v>
      </c>
      <c r="G392" s="40" t="s">
        <v>1873</v>
      </c>
      <c r="H392" s="40"/>
      <c r="I392" s="38" t="s">
        <v>1874</v>
      </c>
      <c r="J392" s="38" t="s">
        <v>15</v>
      </c>
      <c r="K392" s="38" t="s">
        <v>1875</v>
      </c>
      <c r="L392" s="38" t="s">
        <v>48</v>
      </c>
      <c r="M392" s="37" t="s">
        <v>104</v>
      </c>
      <c r="N392" s="39" t="n">
        <v>38520</v>
      </c>
      <c r="O392" s="41" t="s">
        <v>23</v>
      </c>
      <c r="P392" s="41" t="s">
        <v>105</v>
      </c>
      <c r="Q392" s="42"/>
      <c r="R392" s="41"/>
      <c r="S392" s="42"/>
      <c r="T392" s="41"/>
    </row>
    <row r="393" customFormat="false" ht="13.5" hidden="false" customHeight="true" outlineLevel="0" collapsed="false">
      <c r="A393" s="37" t="n">
        <v>390</v>
      </c>
      <c r="B393" s="37" t="n">
        <v>2028</v>
      </c>
      <c r="C393" s="38" t="s">
        <v>1876</v>
      </c>
      <c r="D393" s="37" t="s">
        <v>100</v>
      </c>
      <c r="E393" s="39" t="n">
        <v>24304</v>
      </c>
      <c r="F393" s="37" t="n">
        <f aca="true">IFERROR(DATEDIF(E393,TODAY(),"Y"),"")</f>
        <v>60</v>
      </c>
      <c r="G393" s="40" t="s">
        <v>1877</v>
      </c>
      <c r="H393" s="40" t="s">
        <v>1878</v>
      </c>
      <c r="I393" s="38" t="s">
        <v>1879</v>
      </c>
      <c r="J393" s="38" t="s">
        <v>24</v>
      </c>
      <c r="K393" s="38" t="s">
        <v>1880</v>
      </c>
      <c r="L393" s="38" t="s">
        <v>53</v>
      </c>
      <c r="M393" s="37" t="s">
        <v>120</v>
      </c>
      <c r="N393" s="39" t="n">
        <v>38520</v>
      </c>
      <c r="O393" s="41" t="s">
        <v>23</v>
      </c>
      <c r="P393" s="41" t="s">
        <v>105</v>
      </c>
      <c r="Q393" s="42"/>
      <c r="R393" s="41"/>
      <c r="S393" s="42"/>
      <c r="T393" s="41"/>
    </row>
    <row r="394" customFormat="false" ht="13.5" hidden="false" customHeight="true" outlineLevel="0" collapsed="false">
      <c r="A394" s="37" t="n">
        <v>391</v>
      </c>
      <c r="B394" s="37" t="n">
        <v>2029</v>
      </c>
      <c r="C394" s="38" t="s">
        <v>1881</v>
      </c>
      <c r="D394" s="37" t="s">
        <v>100</v>
      </c>
      <c r="E394" s="39" t="n">
        <v>25844</v>
      </c>
      <c r="F394" s="37" t="n">
        <f aca="true">IFERROR(DATEDIF(E394,TODAY(),"Y"),"")</f>
        <v>55</v>
      </c>
      <c r="G394" s="40" t="s">
        <v>1882</v>
      </c>
      <c r="H394" s="40" t="s">
        <v>1883</v>
      </c>
      <c r="I394" s="38" t="s">
        <v>1884</v>
      </c>
      <c r="J394" s="38" t="s">
        <v>25</v>
      </c>
      <c r="K394" s="38" t="s">
        <v>1885</v>
      </c>
      <c r="L394" s="38" t="s">
        <v>53</v>
      </c>
      <c r="M394" s="37" t="s">
        <v>120</v>
      </c>
      <c r="N394" s="39" t="n">
        <v>38520</v>
      </c>
      <c r="O394" s="41" t="s">
        <v>23</v>
      </c>
      <c r="P394" s="41" t="s">
        <v>105</v>
      </c>
      <c r="Q394" s="42"/>
      <c r="R394" s="41"/>
      <c r="S394" s="42"/>
      <c r="T394" s="41"/>
    </row>
    <row r="395" customFormat="false" ht="13.5" hidden="false" customHeight="true" outlineLevel="0" collapsed="false">
      <c r="A395" s="37" t="n">
        <v>392</v>
      </c>
      <c r="B395" s="37" t="n">
        <v>2033</v>
      </c>
      <c r="C395" s="38" t="s">
        <v>1886</v>
      </c>
      <c r="D395" s="37" t="s">
        <v>100</v>
      </c>
      <c r="E395" s="39" t="n">
        <v>26053</v>
      </c>
      <c r="F395" s="37" t="n">
        <f aca="true">IFERROR(DATEDIF(E395,TODAY(),"Y"),"")</f>
        <v>55</v>
      </c>
      <c r="G395" s="40" t="s">
        <v>1887</v>
      </c>
      <c r="H395" s="40"/>
      <c r="I395" s="38"/>
      <c r="J395" s="38" t="s">
        <v>15</v>
      </c>
      <c r="K395" s="38" t="s">
        <v>1888</v>
      </c>
      <c r="L395" s="38" t="s">
        <v>49</v>
      </c>
      <c r="M395" s="37"/>
      <c r="N395" s="39" t="n">
        <v>38520</v>
      </c>
      <c r="O395" s="41" t="s">
        <v>23</v>
      </c>
      <c r="P395" s="41" t="s">
        <v>105</v>
      </c>
      <c r="Q395" s="42"/>
      <c r="R395" s="41"/>
      <c r="S395" s="42"/>
      <c r="T395" s="41"/>
    </row>
    <row r="396" customFormat="false" ht="13.5" hidden="false" customHeight="true" outlineLevel="0" collapsed="false">
      <c r="A396" s="37" t="n">
        <v>393</v>
      </c>
      <c r="B396" s="37" t="n">
        <v>2034</v>
      </c>
      <c r="C396" s="38" t="s">
        <v>1889</v>
      </c>
      <c r="D396" s="37" t="s">
        <v>100</v>
      </c>
      <c r="E396" s="39" t="n">
        <v>23432</v>
      </c>
      <c r="F396" s="37" t="n">
        <f aca="true">IFERROR(DATEDIF(E396,TODAY(),"Y"),"")</f>
        <v>62</v>
      </c>
      <c r="G396" s="40" t="s">
        <v>1890</v>
      </c>
      <c r="H396" s="40" t="s">
        <v>1891</v>
      </c>
      <c r="I396" s="38" t="s">
        <v>1892</v>
      </c>
      <c r="J396" s="38" t="s">
        <v>15</v>
      </c>
      <c r="K396" s="38" t="s">
        <v>1893</v>
      </c>
      <c r="L396" s="38" t="s">
        <v>49</v>
      </c>
      <c r="M396" s="37" t="s">
        <v>177</v>
      </c>
      <c r="N396" s="39" t="n">
        <v>38520</v>
      </c>
      <c r="O396" s="41" t="s">
        <v>23</v>
      </c>
      <c r="P396" s="41" t="s">
        <v>105</v>
      </c>
      <c r="Q396" s="42"/>
      <c r="R396" s="41"/>
      <c r="S396" s="42"/>
      <c r="T396" s="41"/>
    </row>
    <row r="397" customFormat="false" ht="13.5" hidden="false" customHeight="true" outlineLevel="0" collapsed="false">
      <c r="A397" s="37" t="n">
        <v>394</v>
      </c>
      <c r="B397" s="37" t="n">
        <v>2035</v>
      </c>
      <c r="C397" s="38" t="s">
        <v>1894</v>
      </c>
      <c r="D397" s="37" t="s">
        <v>100</v>
      </c>
      <c r="E397" s="39" t="n">
        <v>20784</v>
      </c>
      <c r="F397" s="37" t="n">
        <f aca="true">IFERROR(DATEDIF(E397,TODAY(),"Y"),"")</f>
        <v>69</v>
      </c>
      <c r="G397" s="40" t="s">
        <v>1895</v>
      </c>
      <c r="H397" s="40" t="s">
        <v>1896</v>
      </c>
      <c r="I397" s="38" t="s">
        <v>1897</v>
      </c>
      <c r="J397" s="38" t="s">
        <v>18</v>
      </c>
      <c r="K397" s="38" t="s">
        <v>1898</v>
      </c>
      <c r="L397" s="38" t="s">
        <v>55</v>
      </c>
      <c r="M397" s="37"/>
      <c r="N397" s="39" t="n">
        <v>38520</v>
      </c>
      <c r="O397" s="41" t="s">
        <v>23</v>
      </c>
      <c r="P397" s="41" t="s">
        <v>105</v>
      </c>
      <c r="Q397" s="42"/>
      <c r="R397" s="41"/>
      <c r="S397" s="42"/>
      <c r="T397" s="41"/>
    </row>
    <row r="398" customFormat="false" ht="13.5" hidden="false" customHeight="true" outlineLevel="0" collapsed="false">
      <c r="A398" s="37" t="n">
        <v>395</v>
      </c>
      <c r="B398" s="37" t="n">
        <v>2038</v>
      </c>
      <c r="C398" s="38" t="s">
        <v>1899</v>
      </c>
      <c r="D398" s="37" t="s">
        <v>100</v>
      </c>
      <c r="E398" s="39" t="n">
        <v>28407</v>
      </c>
      <c r="F398" s="37" t="n">
        <f aca="true">IFERROR(DATEDIF(E398,TODAY(),"Y"),"")</f>
        <v>48</v>
      </c>
      <c r="G398" s="40" t="s">
        <v>1900</v>
      </c>
      <c r="H398" s="40" t="s">
        <v>1901</v>
      </c>
      <c r="I398" s="38" t="s">
        <v>1902</v>
      </c>
      <c r="J398" s="38" t="s">
        <v>15</v>
      </c>
      <c r="K398" s="38" t="s">
        <v>1903</v>
      </c>
      <c r="L398" s="38" t="s">
        <v>47</v>
      </c>
      <c r="M398" s="37"/>
      <c r="N398" s="39" t="n">
        <v>38520</v>
      </c>
      <c r="O398" s="41" t="s">
        <v>23</v>
      </c>
      <c r="P398" s="41" t="s">
        <v>105</v>
      </c>
      <c r="Q398" s="42"/>
      <c r="R398" s="41"/>
      <c r="S398" s="42"/>
      <c r="T398" s="41"/>
    </row>
    <row r="399" customFormat="false" ht="13.5" hidden="false" customHeight="true" outlineLevel="0" collapsed="false">
      <c r="A399" s="37" t="n">
        <v>396</v>
      </c>
      <c r="B399" s="37" t="n">
        <v>2039</v>
      </c>
      <c r="C399" s="38" t="s">
        <v>1904</v>
      </c>
      <c r="D399" s="37" t="s">
        <v>100</v>
      </c>
      <c r="E399" s="39" t="n">
        <v>24228</v>
      </c>
      <c r="F399" s="37" t="n">
        <f aca="true">IFERROR(DATEDIF(E399,TODAY(),"Y"),"")</f>
        <v>60</v>
      </c>
      <c r="G399" s="40" t="s">
        <v>1905</v>
      </c>
      <c r="H399" s="40" t="s">
        <v>1906</v>
      </c>
      <c r="I399" s="38" t="s">
        <v>1907</v>
      </c>
      <c r="J399" s="38" t="s">
        <v>15</v>
      </c>
      <c r="K399" s="38" t="s">
        <v>1908</v>
      </c>
      <c r="L399" s="38" t="s">
        <v>47</v>
      </c>
      <c r="M399" s="37"/>
      <c r="N399" s="39" t="n">
        <v>38520</v>
      </c>
      <c r="O399" s="41" t="s">
        <v>23</v>
      </c>
      <c r="P399" s="41" t="s">
        <v>105</v>
      </c>
      <c r="Q399" s="42"/>
      <c r="R399" s="41"/>
      <c r="S399" s="42"/>
      <c r="T399" s="41"/>
    </row>
    <row r="400" customFormat="false" ht="13.5" hidden="false" customHeight="true" outlineLevel="0" collapsed="false">
      <c r="A400" s="37" t="n">
        <v>397</v>
      </c>
      <c r="B400" s="37" t="n">
        <v>2044</v>
      </c>
      <c r="C400" s="38" t="s">
        <v>1909</v>
      </c>
      <c r="D400" s="37" t="s">
        <v>100</v>
      </c>
      <c r="E400" s="39" t="n">
        <v>24303</v>
      </c>
      <c r="F400" s="37" t="n">
        <f aca="true">IFERROR(DATEDIF(E400,TODAY(),"Y"),"")</f>
        <v>60</v>
      </c>
      <c r="G400" s="40" t="s">
        <v>1910</v>
      </c>
      <c r="H400" s="40" t="s">
        <v>1911</v>
      </c>
      <c r="I400" s="38" t="s">
        <v>1912</v>
      </c>
      <c r="J400" s="38" t="s">
        <v>15</v>
      </c>
      <c r="K400" s="38" t="s">
        <v>1913</v>
      </c>
      <c r="L400" s="38" t="s">
        <v>51</v>
      </c>
      <c r="M400" s="37" t="s">
        <v>177</v>
      </c>
      <c r="N400" s="39" t="n">
        <v>38520</v>
      </c>
      <c r="O400" s="41" t="s">
        <v>23</v>
      </c>
      <c r="P400" s="41" t="s">
        <v>105</v>
      </c>
      <c r="Q400" s="42"/>
      <c r="R400" s="41"/>
      <c r="S400" s="42"/>
      <c r="T400" s="41"/>
    </row>
    <row r="401" customFormat="false" ht="13.5" hidden="false" customHeight="true" outlineLevel="0" collapsed="false">
      <c r="A401" s="37" t="n">
        <v>398</v>
      </c>
      <c r="B401" s="37" t="n">
        <v>2046</v>
      </c>
      <c r="C401" s="38" t="s">
        <v>1914</v>
      </c>
      <c r="D401" s="37" t="s">
        <v>100</v>
      </c>
      <c r="E401" s="39" t="n">
        <v>25347</v>
      </c>
      <c r="F401" s="37" t="n">
        <f aca="true">IFERROR(DATEDIF(E401,TODAY(),"Y"),"")</f>
        <v>57</v>
      </c>
      <c r="G401" s="40" t="s">
        <v>1915</v>
      </c>
      <c r="H401" s="40"/>
      <c r="I401" s="38" t="s">
        <v>1916</v>
      </c>
      <c r="J401" s="38" t="s">
        <v>18</v>
      </c>
      <c r="K401" s="38" t="s">
        <v>1917</v>
      </c>
      <c r="L401" s="38" t="s">
        <v>54</v>
      </c>
      <c r="M401" s="37" t="s">
        <v>120</v>
      </c>
      <c r="N401" s="39" t="n">
        <v>38520</v>
      </c>
      <c r="O401" s="41" t="s">
        <v>23</v>
      </c>
      <c r="P401" s="41" t="s">
        <v>105</v>
      </c>
      <c r="Q401" s="42"/>
      <c r="R401" s="41"/>
      <c r="S401" s="42"/>
      <c r="T401" s="41"/>
    </row>
    <row r="402" customFormat="false" ht="13.5" hidden="false" customHeight="true" outlineLevel="0" collapsed="false">
      <c r="A402" s="37" t="n">
        <v>399</v>
      </c>
      <c r="B402" s="37" t="n">
        <v>2047</v>
      </c>
      <c r="C402" s="38" t="s">
        <v>1918</v>
      </c>
      <c r="D402" s="37" t="s">
        <v>100</v>
      </c>
      <c r="E402" s="39" t="n">
        <v>23204</v>
      </c>
      <c r="F402" s="37" t="n">
        <f aca="true">IFERROR(DATEDIF(E402,TODAY(),"Y"),"")</f>
        <v>63</v>
      </c>
      <c r="G402" s="40" t="s">
        <v>1919</v>
      </c>
      <c r="H402" s="40"/>
      <c r="I402" s="38" t="s">
        <v>1920</v>
      </c>
      <c r="J402" s="38" t="s">
        <v>15</v>
      </c>
      <c r="K402" s="38" t="s">
        <v>1921</v>
      </c>
      <c r="L402" s="43" t="s">
        <v>58</v>
      </c>
      <c r="M402" s="37"/>
      <c r="N402" s="39" t="n">
        <v>38520</v>
      </c>
      <c r="O402" s="41" t="s">
        <v>23</v>
      </c>
      <c r="P402" s="41" t="s">
        <v>105</v>
      </c>
      <c r="Q402" s="42"/>
      <c r="R402" s="41"/>
      <c r="S402" s="42"/>
      <c r="T402" s="41"/>
    </row>
    <row r="403" customFormat="false" ht="13.5" hidden="false" customHeight="true" outlineLevel="0" collapsed="false">
      <c r="A403" s="37" t="n">
        <v>400</v>
      </c>
      <c r="B403" s="37" t="n">
        <v>2048</v>
      </c>
      <c r="C403" s="38" t="s">
        <v>1922</v>
      </c>
      <c r="D403" s="37" t="s">
        <v>100</v>
      </c>
      <c r="E403" s="39" t="n">
        <v>25242</v>
      </c>
      <c r="F403" s="37" t="n">
        <f aca="true">IFERROR(DATEDIF(E403,TODAY(),"Y"),"")</f>
        <v>57</v>
      </c>
      <c r="G403" s="40" t="s">
        <v>1923</v>
      </c>
      <c r="H403" s="40" t="s">
        <v>1924</v>
      </c>
      <c r="I403" s="38" t="s">
        <v>1925</v>
      </c>
      <c r="J403" s="38" t="s">
        <v>15</v>
      </c>
      <c r="K403" s="38" t="s">
        <v>1926</v>
      </c>
      <c r="L403" s="38" t="s">
        <v>51</v>
      </c>
      <c r="M403" s="37"/>
      <c r="N403" s="39" t="n">
        <v>38520</v>
      </c>
      <c r="O403" s="41" t="s">
        <v>23</v>
      </c>
      <c r="P403" s="41" t="s">
        <v>105</v>
      </c>
      <c r="Q403" s="42"/>
      <c r="R403" s="41"/>
      <c r="S403" s="42"/>
      <c r="T403" s="41"/>
    </row>
    <row r="404" customFormat="false" ht="13.5" hidden="false" customHeight="true" outlineLevel="0" collapsed="false">
      <c r="A404" s="37" t="n">
        <v>401</v>
      </c>
      <c r="B404" s="37" t="n">
        <v>2049</v>
      </c>
      <c r="C404" s="38" t="s">
        <v>1927</v>
      </c>
      <c r="D404" s="37" t="s">
        <v>100</v>
      </c>
      <c r="E404" s="39" t="n">
        <v>20596</v>
      </c>
      <c r="F404" s="37" t="n">
        <f aca="true">IFERROR(DATEDIF(E404,TODAY(),"Y"),"")</f>
        <v>70</v>
      </c>
      <c r="G404" s="40" t="s">
        <v>1928</v>
      </c>
      <c r="H404" s="40" t="s">
        <v>1929</v>
      </c>
      <c r="I404" s="38" t="s">
        <v>1930</v>
      </c>
      <c r="J404" s="38" t="s">
        <v>15</v>
      </c>
      <c r="K404" s="38" t="s">
        <v>1931</v>
      </c>
      <c r="L404" s="38" t="s">
        <v>46</v>
      </c>
      <c r="M404" s="37"/>
      <c r="N404" s="39" t="n">
        <v>38520</v>
      </c>
      <c r="O404" s="41" t="s">
        <v>23</v>
      </c>
      <c r="P404" s="41" t="s">
        <v>105</v>
      </c>
      <c r="Q404" s="42"/>
      <c r="R404" s="41"/>
      <c r="S404" s="42"/>
      <c r="T404" s="41"/>
    </row>
    <row r="405" customFormat="false" ht="13.5" hidden="false" customHeight="true" outlineLevel="0" collapsed="false">
      <c r="A405" s="37" t="n">
        <v>402</v>
      </c>
      <c r="B405" s="37" t="n">
        <v>2051</v>
      </c>
      <c r="C405" s="38" t="s">
        <v>1932</v>
      </c>
      <c r="D405" s="37" t="s">
        <v>100</v>
      </c>
      <c r="E405" s="39" t="n">
        <v>22179</v>
      </c>
      <c r="F405" s="37" t="n">
        <f aca="true">IFERROR(DATEDIF(E405,TODAY(),"Y"),"")</f>
        <v>65</v>
      </c>
      <c r="G405" s="40" t="s">
        <v>1933</v>
      </c>
      <c r="H405" s="40" t="s">
        <v>1934</v>
      </c>
      <c r="I405" s="38"/>
      <c r="J405" s="38" t="s">
        <v>15</v>
      </c>
      <c r="K405" s="38" t="s">
        <v>1935</v>
      </c>
      <c r="L405" s="38" t="s">
        <v>47</v>
      </c>
      <c r="M405" s="37"/>
      <c r="N405" s="39" t="n">
        <v>38520</v>
      </c>
      <c r="O405" s="41" t="s">
        <v>23</v>
      </c>
      <c r="P405" s="41" t="s">
        <v>105</v>
      </c>
      <c r="Q405" s="42"/>
      <c r="R405" s="41"/>
      <c r="S405" s="42"/>
      <c r="T405" s="41"/>
    </row>
    <row r="406" customFormat="false" ht="13.5" hidden="false" customHeight="true" outlineLevel="0" collapsed="false">
      <c r="A406" s="37" t="n">
        <v>403</v>
      </c>
      <c r="B406" s="37" t="n">
        <v>2052</v>
      </c>
      <c r="C406" s="38" t="s">
        <v>1936</v>
      </c>
      <c r="D406" s="37" t="s">
        <v>100</v>
      </c>
      <c r="E406" s="39" t="n">
        <v>26810</v>
      </c>
      <c r="F406" s="37" t="n">
        <f aca="true">IFERROR(DATEDIF(E406,TODAY(),"Y"),"")</f>
        <v>53</v>
      </c>
      <c r="G406" s="40" t="s">
        <v>1937</v>
      </c>
      <c r="H406" s="40" t="s">
        <v>1938</v>
      </c>
      <c r="I406" s="38"/>
      <c r="J406" s="38" t="s">
        <v>16</v>
      </c>
      <c r="K406" s="38" t="s">
        <v>1939</v>
      </c>
      <c r="L406" s="38" t="s">
        <v>52</v>
      </c>
      <c r="M406" s="37" t="s">
        <v>177</v>
      </c>
      <c r="N406" s="39" t="n">
        <v>38520</v>
      </c>
      <c r="O406" s="41" t="s">
        <v>23</v>
      </c>
      <c r="P406" s="41" t="s">
        <v>105</v>
      </c>
      <c r="Q406" s="42"/>
      <c r="R406" s="41"/>
      <c r="S406" s="42"/>
      <c r="T406" s="41"/>
    </row>
    <row r="407" customFormat="false" ht="13.5" hidden="false" customHeight="true" outlineLevel="0" collapsed="false">
      <c r="A407" s="37" t="n">
        <v>404</v>
      </c>
      <c r="B407" s="37" t="n">
        <v>2053</v>
      </c>
      <c r="C407" s="38" t="s">
        <v>1940</v>
      </c>
      <c r="D407" s="37" t="s">
        <v>100</v>
      </c>
      <c r="E407" s="39" t="n">
        <v>26723</v>
      </c>
      <c r="F407" s="37" t="n">
        <f aca="true">IFERROR(DATEDIF(E407,TODAY(),"Y"),"")</f>
        <v>53</v>
      </c>
      <c r="G407" s="40" t="s">
        <v>1941</v>
      </c>
      <c r="H407" s="40" t="s">
        <v>1942</v>
      </c>
      <c r="I407" s="38" t="s">
        <v>1943</v>
      </c>
      <c r="J407" s="38" t="s">
        <v>15</v>
      </c>
      <c r="K407" s="38" t="s">
        <v>1944</v>
      </c>
      <c r="L407" s="38" t="s">
        <v>43</v>
      </c>
      <c r="M407" s="37"/>
      <c r="N407" s="39" t="n">
        <v>38520</v>
      </c>
      <c r="O407" s="41" t="s">
        <v>23</v>
      </c>
      <c r="P407" s="41" t="s">
        <v>105</v>
      </c>
      <c r="Q407" s="42"/>
      <c r="R407" s="41"/>
      <c r="S407" s="42"/>
      <c r="T407" s="41"/>
    </row>
    <row r="408" customFormat="false" ht="13.5" hidden="false" customHeight="true" outlineLevel="0" collapsed="false">
      <c r="A408" s="37" t="n">
        <v>405</v>
      </c>
      <c r="B408" s="37" t="n">
        <v>2054</v>
      </c>
      <c r="C408" s="38" t="s">
        <v>1945</v>
      </c>
      <c r="D408" s="37" t="s">
        <v>100</v>
      </c>
      <c r="E408" s="39" t="n">
        <v>25700</v>
      </c>
      <c r="F408" s="37" t="n">
        <f aca="true">IFERROR(DATEDIF(E408,TODAY(),"Y"),"")</f>
        <v>56</v>
      </c>
      <c r="G408" s="40" t="s">
        <v>1946</v>
      </c>
      <c r="H408" s="40" t="s">
        <v>1947</v>
      </c>
      <c r="I408" s="38" t="s">
        <v>1948</v>
      </c>
      <c r="J408" s="38" t="s">
        <v>16</v>
      </c>
      <c r="K408" s="38" t="s">
        <v>1949</v>
      </c>
      <c r="L408" s="43" t="s">
        <v>58</v>
      </c>
      <c r="M408" s="37"/>
      <c r="N408" s="39" t="n">
        <v>38520</v>
      </c>
      <c r="O408" s="41" t="s">
        <v>23</v>
      </c>
      <c r="P408" s="41" t="s">
        <v>105</v>
      </c>
      <c r="Q408" s="42"/>
      <c r="R408" s="41"/>
      <c r="S408" s="42"/>
      <c r="T408" s="41"/>
    </row>
    <row r="409" customFormat="false" ht="13.5" hidden="false" customHeight="true" outlineLevel="0" collapsed="false">
      <c r="A409" s="37" t="n">
        <v>406</v>
      </c>
      <c r="B409" s="37" t="n">
        <v>2057</v>
      </c>
      <c r="C409" s="38" t="s">
        <v>1950</v>
      </c>
      <c r="D409" s="37" t="s">
        <v>100</v>
      </c>
      <c r="E409" s="39" t="n">
        <v>26450</v>
      </c>
      <c r="F409" s="37" t="n">
        <f aca="true">IFERROR(DATEDIF(E409,TODAY(),"Y"),"")</f>
        <v>54</v>
      </c>
      <c r="G409" s="40" t="s">
        <v>1951</v>
      </c>
      <c r="H409" s="40"/>
      <c r="I409" s="38" t="s">
        <v>1952</v>
      </c>
      <c r="J409" s="38" t="s">
        <v>16</v>
      </c>
      <c r="K409" s="38" t="s">
        <v>1953</v>
      </c>
      <c r="L409" s="38" t="s">
        <v>52</v>
      </c>
      <c r="M409" s="37" t="s">
        <v>120</v>
      </c>
      <c r="N409" s="39" t="n">
        <v>38520</v>
      </c>
      <c r="O409" s="41" t="s">
        <v>23</v>
      </c>
      <c r="P409" s="41" t="s">
        <v>105</v>
      </c>
      <c r="Q409" s="42"/>
      <c r="R409" s="41"/>
      <c r="S409" s="42"/>
      <c r="T409" s="41"/>
    </row>
    <row r="410" customFormat="false" ht="13.5" hidden="false" customHeight="true" outlineLevel="0" collapsed="false">
      <c r="A410" s="37" t="n">
        <v>407</v>
      </c>
      <c r="B410" s="37" t="n">
        <v>2060</v>
      </c>
      <c r="C410" s="38" t="s">
        <v>1954</v>
      </c>
      <c r="D410" s="37" t="s">
        <v>100</v>
      </c>
      <c r="E410" s="39" t="n">
        <v>28126</v>
      </c>
      <c r="F410" s="37" t="n">
        <f aca="true">IFERROR(DATEDIF(E410,TODAY(),"Y"),"")</f>
        <v>49</v>
      </c>
      <c r="G410" s="40" t="s">
        <v>1955</v>
      </c>
      <c r="H410" s="40" t="s">
        <v>1956</v>
      </c>
      <c r="I410" s="38" t="s">
        <v>1957</v>
      </c>
      <c r="J410" s="38" t="s">
        <v>15</v>
      </c>
      <c r="K410" s="38" t="s">
        <v>119</v>
      </c>
      <c r="L410" s="38" t="s">
        <v>50</v>
      </c>
      <c r="M410" s="37"/>
      <c r="N410" s="39" t="n">
        <v>38520</v>
      </c>
      <c r="O410" s="41" t="s">
        <v>23</v>
      </c>
      <c r="P410" s="41" t="s">
        <v>105</v>
      </c>
      <c r="Q410" s="42"/>
      <c r="R410" s="41"/>
      <c r="S410" s="42"/>
      <c r="T410" s="41"/>
    </row>
    <row r="411" customFormat="false" ht="13.5" hidden="false" customHeight="true" outlineLevel="0" collapsed="false">
      <c r="A411" s="37" t="n">
        <v>408</v>
      </c>
      <c r="B411" s="37" t="n">
        <v>2064</v>
      </c>
      <c r="C411" s="38" t="s">
        <v>1958</v>
      </c>
      <c r="D411" s="37" t="s">
        <v>100</v>
      </c>
      <c r="E411" s="39" t="n">
        <v>29096</v>
      </c>
      <c r="F411" s="37" t="n">
        <f aca="true">IFERROR(DATEDIF(E411,TODAY(),"Y"),"")</f>
        <v>46</v>
      </c>
      <c r="G411" s="40" t="s">
        <v>1959</v>
      </c>
      <c r="H411" s="40" t="s">
        <v>1960</v>
      </c>
      <c r="I411" s="38" t="s">
        <v>1961</v>
      </c>
      <c r="J411" s="38" t="s">
        <v>15</v>
      </c>
      <c r="K411" s="38" t="s">
        <v>1962</v>
      </c>
      <c r="L411" s="38" t="s">
        <v>44</v>
      </c>
      <c r="M411" s="37" t="s">
        <v>104</v>
      </c>
      <c r="N411" s="39" t="n">
        <v>38520</v>
      </c>
      <c r="O411" s="41" t="s">
        <v>23</v>
      </c>
      <c r="P411" s="41" t="s">
        <v>105</v>
      </c>
      <c r="Q411" s="42"/>
      <c r="R411" s="41"/>
      <c r="S411" s="42"/>
      <c r="T411" s="41"/>
    </row>
    <row r="412" customFormat="false" ht="13.5" hidden="false" customHeight="true" outlineLevel="0" collapsed="false">
      <c r="A412" s="37" t="n">
        <v>409</v>
      </c>
      <c r="B412" s="37" t="n">
        <v>2069</v>
      </c>
      <c r="C412" s="38" t="s">
        <v>1963</v>
      </c>
      <c r="D412" s="37" t="s">
        <v>100</v>
      </c>
      <c r="E412" s="39" t="n">
        <v>20959</v>
      </c>
      <c r="F412" s="37" t="n">
        <f aca="true">IFERROR(DATEDIF(E412,TODAY(),"Y"),"")</f>
        <v>69</v>
      </c>
      <c r="G412" s="40" t="s">
        <v>1964</v>
      </c>
      <c r="H412" s="40" t="s">
        <v>1965</v>
      </c>
      <c r="I412" s="38" t="s">
        <v>1966</v>
      </c>
      <c r="J412" s="38" t="s">
        <v>16</v>
      </c>
      <c r="K412" s="38" t="s">
        <v>1967</v>
      </c>
      <c r="L412" s="38" t="s">
        <v>50</v>
      </c>
      <c r="M412" s="37"/>
      <c r="N412" s="39" t="n">
        <v>38520</v>
      </c>
      <c r="O412" s="41" t="s">
        <v>23</v>
      </c>
      <c r="P412" s="41" t="s">
        <v>105</v>
      </c>
      <c r="Q412" s="42"/>
      <c r="R412" s="41"/>
      <c r="S412" s="42"/>
      <c r="T412" s="41"/>
    </row>
    <row r="413" customFormat="false" ht="13.5" hidden="false" customHeight="true" outlineLevel="0" collapsed="false">
      <c r="A413" s="37" t="n">
        <v>410</v>
      </c>
      <c r="B413" s="37" t="n">
        <v>2072</v>
      </c>
      <c r="C413" s="38" t="s">
        <v>1968</v>
      </c>
      <c r="D413" s="37" t="s">
        <v>100</v>
      </c>
      <c r="E413" s="39" t="n">
        <v>18800</v>
      </c>
      <c r="F413" s="37" t="n">
        <f aca="true">IFERROR(DATEDIF(E413,TODAY(),"Y"),"")</f>
        <v>75</v>
      </c>
      <c r="G413" s="40" t="s">
        <v>1969</v>
      </c>
      <c r="H413" s="40" t="s">
        <v>1970</v>
      </c>
      <c r="I413" s="38" t="s">
        <v>1971</v>
      </c>
      <c r="J413" s="38" t="s">
        <v>15</v>
      </c>
      <c r="K413" s="38" t="s">
        <v>1972</v>
      </c>
      <c r="L413" s="38" t="s">
        <v>46</v>
      </c>
      <c r="M413" s="37"/>
      <c r="N413" s="39" t="n">
        <v>38520</v>
      </c>
      <c r="O413" s="41" t="s">
        <v>23</v>
      </c>
      <c r="P413" s="41" t="s">
        <v>105</v>
      </c>
      <c r="Q413" s="42"/>
      <c r="R413" s="41"/>
      <c r="S413" s="42"/>
      <c r="T413" s="41"/>
    </row>
    <row r="414" customFormat="false" ht="13.5" hidden="false" customHeight="true" outlineLevel="0" collapsed="false">
      <c r="A414" s="37" t="n">
        <v>411</v>
      </c>
      <c r="B414" s="37" t="n">
        <v>2074</v>
      </c>
      <c r="C414" s="38" t="s">
        <v>1973</v>
      </c>
      <c r="D414" s="37" t="s">
        <v>100</v>
      </c>
      <c r="E414" s="39" t="n">
        <v>23870</v>
      </c>
      <c r="F414" s="37" t="n">
        <f aca="true">IFERROR(DATEDIF(E414,TODAY(),"Y"),"")</f>
        <v>61</v>
      </c>
      <c r="G414" s="40" t="s">
        <v>1974</v>
      </c>
      <c r="H414" s="40" t="s">
        <v>1975</v>
      </c>
      <c r="I414" s="38" t="s">
        <v>1976</v>
      </c>
      <c r="J414" s="38" t="s">
        <v>16</v>
      </c>
      <c r="K414" s="38" t="s">
        <v>1977</v>
      </c>
      <c r="L414" s="38" t="s">
        <v>48</v>
      </c>
      <c r="M414" s="37" t="s">
        <v>104</v>
      </c>
      <c r="N414" s="39" t="n">
        <v>38520</v>
      </c>
      <c r="O414" s="41" t="s">
        <v>23</v>
      </c>
      <c r="P414" s="41" t="s">
        <v>105</v>
      </c>
      <c r="Q414" s="42"/>
      <c r="R414" s="41"/>
      <c r="S414" s="42"/>
      <c r="T414" s="41"/>
    </row>
    <row r="415" customFormat="false" ht="13.5" hidden="false" customHeight="true" outlineLevel="0" collapsed="false">
      <c r="A415" s="37" t="n">
        <v>412</v>
      </c>
      <c r="B415" s="37" t="n">
        <v>2075</v>
      </c>
      <c r="C415" s="38" t="s">
        <v>1978</v>
      </c>
      <c r="D415" s="37" t="s">
        <v>100</v>
      </c>
      <c r="E415" s="39" t="n">
        <v>24622</v>
      </c>
      <c r="F415" s="37" t="n">
        <f aca="true">IFERROR(DATEDIF(E415,TODAY(),"Y"),"")</f>
        <v>59</v>
      </c>
      <c r="G415" s="40" t="s">
        <v>1979</v>
      </c>
      <c r="H415" s="40" t="s">
        <v>1980</v>
      </c>
      <c r="I415" s="38" t="s">
        <v>1981</v>
      </c>
      <c r="J415" s="38" t="s">
        <v>15</v>
      </c>
      <c r="K415" s="38" t="s">
        <v>1982</v>
      </c>
      <c r="L415" s="38" t="s">
        <v>47</v>
      </c>
      <c r="M415" s="37"/>
      <c r="N415" s="39" t="n">
        <v>38520</v>
      </c>
      <c r="O415" s="41" t="s">
        <v>23</v>
      </c>
      <c r="P415" s="41" t="s">
        <v>105</v>
      </c>
      <c r="Q415" s="42"/>
      <c r="R415" s="41"/>
      <c r="S415" s="42"/>
      <c r="T415" s="41"/>
    </row>
    <row r="416" customFormat="false" ht="13.5" hidden="false" customHeight="true" outlineLevel="0" collapsed="false">
      <c r="A416" s="37" t="n">
        <v>413</v>
      </c>
      <c r="B416" s="37" t="n">
        <v>2076</v>
      </c>
      <c r="C416" s="38" t="s">
        <v>1983</v>
      </c>
      <c r="D416" s="37" t="s">
        <v>100</v>
      </c>
      <c r="E416" s="39" t="n">
        <v>29351</v>
      </c>
      <c r="F416" s="37" t="n">
        <f aca="true">IFERROR(DATEDIF(E416,TODAY(),"Y"),"")</f>
        <v>46</v>
      </c>
      <c r="G416" s="40" t="s">
        <v>1984</v>
      </c>
      <c r="H416" s="40"/>
      <c r="I416" s="38" t="s">
        <v>1985</v>
      </c>
      <c r="J416" s="38" t="s">
        <v>15</v>
      </c>
      <c r="K416" s="38" t="s">
        <v>1986</v>
      </c>
      <c r="L416" s="38" t="s">
        <v>46</v>
      </c>
      <c r="M416" s="37" t="s">
        <v>241</v>
      </c>
      <c r="N416" s="39" t="n">
        <v>38520</v>
      </c>
      <c r="O416" s="41" t="s">
        <v>23</v>
      </c>
      <c r="P416" s="41" t="s">
        <v>105</v>
      </c>
      <c r="Q416" s="42"/>
      <c r="R416" s="41"/>
      <c r="S416" s="42"/>
      <c r="T416" s="41"/>
    </row>
    <row r="417" customFormat="false" ht="13.5" hidden="false" customHeight="true" outlineLevel="0" collapsed="false">
      <c r="A417" s="37" t="n">
        <v>414</v>
      </c>
      <c r="B417" s="37" t="n">
        <v>2078</v>
      </c>
      <c r="C417" s="38" t="s">
        <v>1987</v>
      </c>
      <c r="D417" s="37" t="s">
        <v>100</v>
      </c>
      <c r="E417" s="39" t="n">
        <v>24576</v>
      </c>
      <c r="F417" s="37" t="n">
        <f aca="true">IFERROR(DATEDIF(E417,TODAY(),"Y"),"")</f>
        <v>59</v>
      </c>
      <c r="G417" s="40" t="s">
        <v>1988</v>
      </c>
      <c r="H417" s="40"/>
      <c r="I417" s="38" t="s">
        <v>1989</v>
      </c>
      <c r="J417" s="38" t="s">
        <v>16</v>
      </c>
      <c r="K417" s="38" t="s">
        <v>1990</v>
      </c>
      <c r="L417" s="38" t="s">
        <v>53</v>
      </c>
      <c r="M417" s="37" t="s">
        <v>120</v>
      </c>
      <c r="N417" s="39" t="n">
        <v>38520</v>
      </c>
      <c r="O417" s="41" t="s">
        <v>23</v>
      </c>
      <c r="P417" s="41" t="s">
        <v>105</v>
      </c>
      <c r="Q417" s="42"/>
      <c r="R417" s="41"/>
      <c r="S417" s="42"/>
      <c r="T417" s="41"/>
    </row>
    <row r="418" customFormat="false" ht="13.5" hidden="false" customHeight="true" outlineLevel="0" collapsed="false">
      <c r="A418" s="37" t="n">
        <v>415</v>
      </c>
      <c r="B418" s="37" t="n">
        <v>2081</v>
      </c>
      <c r="C418" s="38" t="s">
        <v>1991</v>
      </c>
      <c r="D418" s="37" t="s">
        <v>100</v>
      </c>
      <c r="E418" s="39" t="n">
        <v>18937</v>
      </c>
      <c r="F418" s="37" t="n">
        <f aca="true">IFERROR(DATEDIF(E418,TODAY(),"Y"),"")</f>
        <v>74</v>
      </c>
      <c r="G418" s="40" t="s">
        <v>1992</v>
      </c>
      <c r="H418" s="40" t="s">
        <v>1993</v>
      </c>
      <c r="I418" s="38" t="s">
        <v>1994</v>
      </c>
      <c r="J418" s="38" t="s">
        <v>15</v>
      </c>
      <c r="K418" s="38" t="s">
        <v>1995</v>
      </c>
      <c r="L418" s="38" t="s">
        <v>55</v>
      </c>
      <c r="M418" s="37"/>
      <c r="N418" s="39" t="n">
        <v>38520</v>
      </c>
      <c r="O418" s="41" t="s">
        <v>23</v>
      </c>
      <c r="P418" s="41" t="s">
        <v>105</v>
      </c>
      <c r="Q418" s="42"/>
      <c r="R418" s="41"/>
      <c r="S418" s="42"/>
      <c r="T418" s="41"/>
    </row>
    <row r="419" customFormat="false" ht="13.5" hidden="false" customHeight="true" outlineLevel="0" collapsed="false">
      <c r="A419" s="37" t="n">
        <v>416</v>
      </c>
      <c r="B419" s="37" t="n">
        <v>2084</v>
      </c>
      <c r="C419" s="38" t="s">
        <v>1996</v>
      </c>
      <c r="D419" s="37" t="s">
        <v>100</v>
      </c>
      <c r="E419" s="39" t="n">
        <v>20008</v>
      </c>
      <c r="F419" s="37" t="n">
        <f aca="true">IFERROR(DATEDIF(E419,TODAY(),"Y"),"")</f>
        <v>71</v>
      </c>
      <c r="G419" s="40" t="s">
        <v>1997</v>
      </c>
      <c r="H419" s="40"/>
      <c r="I419" s="38" t="s">
        <v>1998</v>
      </c>
      <c r="J419" s="38" t="s">
        <v>15</v>
      </c>
      <c r="K419" s="38" t="s">
        <v>1999</v>
      </c>
      <c r="L419" s="38" t="s">
        <v>51</v>
      </c>
      <c r="M419" s="37"/>
      <c r="N419" s="39" t="n">
        <v>38520</v>
      </c>
      <c r="O419" s="41" t="s">
        <v>23</v>
      </c>
      <c r="P419" s="41" t="s">
        <v>105</v>
      </c>
      <c r="Q419" s="42"/>
      <c r="R419" s="41"/>
      <c r="S419" s="42"/>
      <c r="T419" s="41"/>
    </row>
    <row r="420" customFormat="false" ht="13.5" hidden="false" customHeight="true" outlineLevel="0" collapsed="false">
      <c r="A420" s="37" t="n">
        <v>417</v>
      </c>
      <c r="B420" s="37" t="n">
        <v>2089</v>
      </c>
      <c r="C420" s="38" t="s">
        <v>2000</v>
      </c>
      <c r="D420" s="37" t="s">
        <v>100</v>
      </c>
      <c r="E420" s="39" t="n">
        <v>24983</v>
      </c>
      <c r="F420" s="37" t="n">
        <f aca="true">IFERROR(DATEDIF(E420,TODAY(),"Y"),"")</f>
        <v>58</v>
      </c>
      <c r="G420" s="40" t="s">
        <v>2001</v>
      </c>
      <c r="H420" s="40"/>
      <c r="I420" s="38"/>
      <c r="J420" s="38" t="s">
        <v>15</v>
      </c>
      <c r="K420" s="38" t="s">
        <v>2002</v>
      </c>
      <c r="L420" s="38" t="s">
        <v>48</v>
      </c>
      <c r="M420" s="37"/>
      <c r="N420" s="39" t="n">
        <v>38520</v>
      </c>
      <c r="O420" s="41" t="s">
        <v>23</v>
      </c>
      <c r="P420" s="41" t="s">
        <v>105</v>
      </c>
      <c r="Q420" s="42"/>
      <c r="R420" s="41"/>
      <c r="S420" s="42"/>
      <c r="T420" s="41"/>
    </row>
    <row r="421" customFormat="false" ht="13.5" hidden="false" customHeight="true" outlineLevel="0" collapsed="false">
      <c r="A421" s="37" t="n">
        <v>418</v>
      </c>
      <c r="B421" s="37" t="n">
        <v>2092</v>
      </c>
      <c r="C421" s="38" t="s">
        <v>2003</v>
      </c>
      <c r="D421" s="37" t="s">
        <v>100</v>
      </c>
      <c r="E421" s="39" t="n">
        <v>28270</v>
      </c>
      <c r="F421" s="37" t="n">
        <f aca="true">IFERROR(DATEDIF(E421,TODAY(),"Y"),"")</f>
        <v>49</v>
      </c>
      <c r="G421" s="40" t="s">
        <v>2004</v>
      </c>
      <c r="H421" s="40" t="s">
        <v>2005</v>
      </c>
      <c r="I421" s="38"/>
      <c r="J421" s="38"/>
      <c r="K421" s="38" t="s">
        <v>2006</v>
      </c>
      <c r="L421" s="38" t="s">
        <v>55</v>
      </c>
      <c r="M421" s="37"/>
      <c r="N421" s="39" t="n">
        <v>38520</v>
      </c>
      <c r="O421" s="41" t="s">
        <v>23</v>
      </c>
      <c r="P421" s="41" t="s">
        <v>105</v>
      </c>
      <c r="Q421" s="42"/>
      <c r="R421" s="41"/>
      <c r="S421" s="42"/>
      <c r="T421" s="41"/>
    </row>
    <row r="422" customFormat="false" ht="13.5" hidden="false" customHeight="true" outlineLevel="0" collapsed="false">
      <c r="A422" s="37" t="n">
        <v>419</v>
      </c>
      <c r="B422" s="37" t="n">
        <v>2096</v>
      </c>
      <c r="C422" s="38" t="s">
        <v>2007</v>
      </c>
      <c r="D422" s="37" t="s">
        <v>100</v>
      </c>
      <c r="E422" s="39" t="n">
        <v>22769</v>
      </c>
      <c r="F422" s="37" t="n">
        <f aca="true">IFERROR(DATEDIF(E422,TODAY(),"Y"),"")</f>
        <v>64</v>
      </c>
      <c r="G422" s="40" t="s">
        <v>2008</v>
      </c>
      <c r="H422" s="40"/>
      <c r="I422" s="38" t="s">
        <v>2009</v>
      </c>
      <c r="J422" s="38" t="s">
        <v>15</v>
      </c>
      <c r="K422" s="38" t="s">
        <v>2010</v>
      </c>
      <c r="L422" s="38" t="s">
        <v>55</v>
      </c>
      <c r="M422" s="37"/>
      <c r="N422" s="39" t="n">
        <v>38520</v>
      </c>
      <c r="O422" s="41" t="s">
        <v>23</v>
      </c>
      <c r="P422" s="41" t="s">
        <v>105</v>
      </c>
      <c r="Q422" s="42"/>
      <c r="R422" s="41"/>
      <c r="S422" s="42"/>
      <c r="T422" s="41"/>
    </row>
    <row r="423" customFormat="false" ht="13.5" hidden="false" customHeight="true" outlineLevel="0" collapsed="false">
      <c r="A423" s="37" t="n">
        <v>420</v>
      </c>
      <c r="B423" s="37" t="n">
        <v>2099</v>
      </c>
      <c r="C423" s="38" t="s">
        <v>2011</v>
      </c>
      <c r="D423" s="37" t="s">
        <v>100</v>
      </c>
      <c r="E423" s="39" t="n">
        <v>25277</v>
      </c>
      <c r="F423" s="37" t="n">
        <f aca="true">IFERROR(DATEDIF(E423,TODAY(),"Y"),"")</f>
        <v>57</v>
      </c>
      <c r="G423" s="40" t="s">
        <v>2012</v>
      </c>
      <c r="H423" s="40" t="s">
        <v>2013</v>
      </c>
      <c r="I423" s="38" t="s">
        <v>2014</v>
      </c>
      <c r="J423" s="38" t="s">
        <v>16</v>
      </c>
      <c r="K423" s="38" t="s">
        <v>2015</v>
      </c>
      <c r="L423" s="38" t="s">
        <v>47</v>
      </c>
      <c r="M423" s="37"/>
      <c r="N423" s="39" t="n">
        <v>38520</v>
      </c>
      <c r="O423" s="41" t="s">
        <v>23</v>
      </c>
      <c r="P423" s="41" t="s">
        <v>105</v>
      </c>
      <c r="Q423" s="42"/>
      <c r="R423" s="41"/>
      <c r="S423" s="42"/>
      <c r="T423" s="41"/>
    </row>
    <row r="424" customFormat="false" ht="13.5" hidden="false" customHeight="true" outlineLevel="0" collapsed="false">
      <c r="A424" s="37" t="n">
        <v>421</v>
      </c>
      <c r="B424" s="37" t="n">
        <v>2103</v>
      </c>
      <c r="C424" s="38" t="s">
        <v>2016</v>
      </c>
      <c r="D424" s="37" t="s">
        <v>100</v>
      </c>
      <c r="E424" s="39" t="n">
        <v>24988</v>
      </c>
      <c r="F424" s="37" t="n">
        <f aca="true">IFERROR(DATEDIF(E424,TODAY(),"Y"),"")</f>
        <v>58</v>
      </c>
      <c r="G424" s="40" t="s">
        <v>2017</v>
      </c>
      <c r="H424" s="40" t="s">
        <v>2018</v>
      </c>
      <c r="I424" s="38" t="s">
        <v>2019</v>
      </c>
      <c r="J424" s="38"/>
      <c r="K424" s="38" t="s">
        <v>2020</v>
      </c>
      <c r="L424" s="43" t="s">
        <v>58</v>
      </c>
      <c r="M424" s="37"/>
      <c r="N424" s="39" t="n">
        <v>38520</v>
      </c>
      <c r="O424" s="41" t="s">
        <v>23</v>
      </c>
      <c r="P424" s="41" t="s">
        <v>105</v>
      </c>
      <c r="Q424" s="42"/>
      <c r="R424" s="41"/>
      <c r="S424" s="42"/>
      <c r="T424" s="41"/>
    </row>
    <row r="425" customFormat="false" ht="13.5" hidden="false" customHeight="true" outlineLevel="0" collapsed="false">
      <c r="A425" s="37" t="n">
        <v>422</v>
      </c>
      <c r="B425" s="37" t="n">
        <v>2104</v>
      </c>
      <c r="C425" s="38" t="s">
        <v>2021</v>
      </c>
      <c r="D425" s="37" t="s">
        <v>100</v>
      </c>
      <c r="E425" s="39" t="n">
        <v>24945</v>
      </c>
      <c r="F425" s="37" t="n">
        <f aca="true">IFERROR(DATEDIF(E425,TODAY(),"Y"),"")</f>
        <v>58</v>
      </c>
      <c r="G425" s="40" t="s">
        <v>2022</v>
      </c>
      <c r="H425" s="40" t="s">
        <v>2023</v>
      </c>
      <c r="I425" s="38" t="s">
        <v>2024</v>
      </c>
      <c r="J425" s="38" t="s">
        <v>16</v>
      </c>
      <c r="K425" s="38" t="s">
        <v>2025</v>
      </c>
      <c r="L425" s="38" t="s">
        <v>47</v>
      </c>
      <c r="M425" s="37"/>
      <c r="N425" s="39" t="n">
        <v>38520</v>
      </c>
      <c r="O425" s="41" t="s">
        <v>23</v>
      </c>
      <c r="P425" s="41" t="s">
        <v>105</v>
      </c>
      <c r="Q425" s="42"/>
      <c r="R425" s="41"/>
      <c r="S425" s="42"/>
      <c r="T425" s="41"/>
    </row>
    <row r="426" customFormat="false" ht="13.5" hidden="false" customHeight="true" outlineLevel="0" collapsed="false">
      <c r="A426" s="37" t="n">
        <v>423</v>
      </c>
      <c r="B426" s="37" t="n">
        <v>2106</v>
      </c>
      <c r="C426" s="38" t="s">
        <v>2026</v>
      </c>
      <c r="D426" s="37" t="s">
        <v>100</v>
      </c>
      <c r="E426" s="39" t="n">
        <v>27753</v>
      </c>
      <c r="F426" s="37" t="n">
        <f aca="true">IFERROR(DATEDIF(E426,TODAY(),"Y"),"")</f>
        <v>50</v>
      </c>
      <c r="G426" s="40" t="s">
        <v>2027</v>
      </c>
      <c r="H426" s="40" t="s">
        <v>2028</v>
      </c>
      <c r="I426" s="38" t="s">
        <v>2029</v>
      </c>
      <c r="J426" s="38" t="s">
        <v>15</v>
      </c>
      <c r="K426" s="38" t="s">
        <v>2030</v>
      </c>
      <c r="L426" s="38" t="s">
        <v>46</v>
      </c>
      <c r="M426" s="37"/>
      <c r="N426" s="39" t="n">
        <v>38520</v>
      </c>
      <c r="O426" s="41" t="s">
        <v>23</v>
      </c>
      <c r="P426" s="41" t="s">
        <v>105</v>
      </c>
      <c r="Q426" s="42"/>
      <c r="R426" s="41"/>
      <c r="S426" s="42"/>
      <c r="T426" s="41"/>
    </row>
    <row r="427" customFormat="false" ht="13.5" hidden="false" customHeight="true" outlineLevel="0" collapsed="false">
      <c r="A427" s="37" t="n">
        <v>424</v>
      </c>
      <c r="B427" s="37" t="n">
        <v>2108</v>
      </c>
      <c r="C427" s="38" t="s">
        <v>2031</v>
      </c>
      <c r="D427" s="37" t="s">
        <v>100</v>
      </c>
      <c r="E427" s="39" t="n">
        <v>27180</v>
      </c>
      <c r="F427" s="37" t="n">
        <f aca="true">IFERROR(DATEDIF(E427,TODAY(),"Y"),"")</f>
        <v>52</v>
      </c>
      <c r="G427" s="40" t="s">
        <v>2032</v>
      </c>
      <c r="H427" s="40" t="s">
        <v>2033</v>
      </c>
      <c r="I427" s="38" t="s">
        <v>2034</v>
      </c>
      <c r="J427" s="38" t="s">
        <v>16</v>
      </c>
      <c r="K427" s="38" t="s">
        <v>2035</v>
      </c>
      <c r="L427" s="38" t="s">
        <v>53</v>
      </c>
      <c r="M427" s="37" t="s">
        <v>120</v>
      </c>
      <c r="N427" s="39" t="n">
        <v>38520</v>
      </c>
      <c r="O427" s="41" t="s">
        <v>23</v>
      </c>
      <c r="P427" s="41" t="s">
        <v>105</v>
      </c>
      <c r="Q427" s="42"/>
      <c r="R427" s="41"/>
      <c r="S427" s="42"/>
      <c r="T427" s="41"/>
    </row>
    <row r="428" customFormat="false" ht="13.5" hidden="false" customHeight="true" outlineLevel="0" collapsed="false">
      <c r="A428" s="37" t="n">
        <v>425</v>
      </c>
      <c r="B428" s="37" t="n">
        <v>2110</v>
      </c>
      <c r="C428" s="38" t="s">
        <v>2036</v>
      </c>
      <c r="D428" s="37" t="s">
        <v>100</v>
      </c>
      <c r="E428" s="39" t="n">
        <v>24576</v>
      </c>
      <c r="F428" s="37" t="n">
        <f aca="true">IFERROR(DATEDIF(E428,TODAY(),"Y"),"")</f>
        <v>59</v>
      </c>
      <c r="G428" s="40" t="s">
        <v>2037</v>
      </c>
      <c r="H428" s="40"/>
      <c r="I428" s="38" t="s">
        <v>2038</v>
      </c>
      <c r="J428" s="38" t="s">
        <v>15</v>
      </c>
      <c r="K428" s="38" t="s">
        <v>2039</v>
      </c>
      <c r="L428" s="38" t="s">
        <v>55</v>
      </c>
      <c r="M428" s="37"/>
      <c r="N428" s="39" t="n">
        <v>38520</v>
      </c>
      <c r="O428" s="41" t="s">
        <v>23</v>
      </c>
      <c r="P428" s="41" t="s">
        <v>105</v>
      </c>
      <c r="Q428" s="42"/>
      <c r="R428" s="41"/>
      <c r="S428" s="42"/>
      <c r="T428" s="41"/>
    </row>
    <row r="429" customFormat="false" ht="13.5" hidden="false" customHeight="true" outlineLevel="0" collapsed="false">
      <c r="A429" s="37" t="n">
        <v>426</v>
      </c>
      <c r="B429" s="37" t="n">
        <v>2114</v>
      </c>
      <c r="C429" s="38" t="s">
        <v>2040</v>
      </c>
      <c r="D429" s="37" t="s">
        <v>100</v>
      </c>
      <c r="E429" s="39" t="n">
        <v>24583</v>
      </c>
      <c r="F429" s="37" t="n">
        <f aca="true">IFERROR(DATEDIF(E429,TODAY(),"Y"),"")</f>
        <v>59</v>
      </c>
      <c r="G429" s="40" t="s">
        <v>2041</v>
      </c>
      <c r="H429" s="40" t="s">
        <v>2042</v>
      </c>
      <c r="I429" s="38" t="s">
        <v>2043</v>
      </c>
      <c r="J429" s="38" t="s">
        <v>16</v>
      </c>
      <c r="K429" s="38" t="s">
        <v>2044</v>
      </c>
      <c r="L429" s="38" t="s">
        <v>46</v>
      </c>
      <c r="M429" s="37"/>
      <c r="N429" s="39" t="n">
        <v>38520</v>
      </c>
      <c r="O429" s="41" t="s">
        <v>23</v>
      </c>
      <c r="P429" s="41" t="s">
        <v>105</v>
      </c>
      <c r="Q429" s="42"/>
      <c r="R429" s="41"/>
      <c r="S429" s="42"/>
      <c r="T429" s="41"/>
    </row>
    <row r="430" customFormat="false" ht="13.5" hidden="false" customHeight="true" outlineLevel="0" collapsed="false">
      <c r="A430" s="37" t="n">
        <v>427</v>
      </c>
      <c r="B430" s="37" t="n">
        <v>2116</v>
      </c>
      <c r="C430" s="38" t="s">
        <v>2045</v>
      </c>
      <c r="D430" s="37" t="s">
        <v>100</v>
      </c>
      <c r="E430" s="39" t="n">
        <v>29001</v>
      </c>
      <c r="F430" s="37" t="n">
        <f aca="true">IFERROR(DATEDIF(E430,TODAY(),"Y"),"")</f>
        <v>47</v>
      </c>
      <c r="G430" s="40" t="s">
        <v>2046</v>
      </c>
      <c r="H430" s="40"/>
      <c r="I430" s="38" t="s">
        <v>2047</v>
      </c>
      <c r="J430" s="38" t="s">
        <v>16</v>
      </c>
      <c r="K430" s="38" t="s">
        <v>2048</v>
      </c>
      <c r="L430" s="38" t="s">
        <v>55</v>
      </c>
      <c r="M430" s="37"/>
      <c r="N430" s="39" t="n">
        <v>38520</v>
      </c>
      <c r="O430" s="41" t="s">
        <v>23</v>
      </c>
      <c r="P430" s="41" t="s">
        <v>105</v>
      </c>
      <c r="Q430" s="42"/>
      <c r="R430" s="41"/>
      <c r="S430" s="42"/>
      <c r="T430" s="41"/>
    </row>
    <row r="431" customFormat="false" ht="13.5" hidden="false" customHeight="true" outlineLevel="0" collapsed="false">
      <c r="A431" s="37" t="n">
        <v>428</v>
      </c>
      <c r="B431" s="37" t="n">
        <v>2117</v>
      </c>
      <c r="C431" s="38" t="s">
        <v>2049</v>
      </c>
      <c r="D431" s="37" t="s">
        <v>100</v>
      </c>
      <c r="E431" s="39" t="n">
        <v>27890</v>
      </c>
      <c r="F431" s="37" t="n">
        <f aca="true">IFERROR(DATEDIF(E431,TODAY(),"Y"),"")</f>
        <v>50</v>
      </c>
      <c r="G431" s="40" t="s">
        <v>2050</v>
      </c>
      <c r="H431" s="40"/>
      <c r="I431" s="38" t="s">
        <v>2051</v>
      </c>
      <c r="J431" s="38" t="s">
        <v>15</v>
      </c>
      <c r="K431" s="38" t="s">
        <v>2052</v>
      </c>
      <c r="L431" s="38" t="s">
        <v>43</v>
      </c>
      <c r="M431" s="37"/>
      <c r="N431" s="39" t="n">
        <v>38520</v>
      </c>
      <c r="O431" s="41" t="s">
        <v>23</v>
      </c>
      <c r="P431" s="41" t="s">
        <v>105</v>
      </c>
      <c r="Q431" s="42"/>
      <c r="R431" s="41"/>
      <c r="S431" s="42"/>
      <c r="T431" s="41"/>
    </row>
    <row r="432" customFormat="false" ht="13.5" hidden="false" customHeight="true" outlineLevel="0" collapsed="false">
      <c r="A432" s="37" t="n">
        <v>429</v>
      </c>
      <c r="B432" s="37" t="n">
        <v>2120</v>
      </c>
      <c r="C432" s="38" t="s">
        <v>2053</v>
      </c>
      <c r="D432" s="37" t="s">
        <v>100</v>
      </c>
      <c r="E432" s="39" t="n">
        <v>23172</v>
      </c>
      <c r="F432" s="37" t="n">
        <f aca="true">IFERROR(DATEDIF(E432,TODAY(),"Y"),"")</f>
        <v>63</v>
      </c>
      <c r="G432" s="40" t="s">
        <v>2054</v>
      </c>
      <c r="H432" s="40" t="s">
        <v>2055</v>
      </c>
      <c r="I432" s="38" t="s">
        <v>2056</v>
      </c>
      <c r="J432" s="38"/>
      <c r="K432" s="38" t="s">
        <v>2057</v>
      </c>
      <c r="L432" s="38" t="s">
        <v>46</v>
      </c>
      <c r="M432" s="37"/>
      <c r="N432" s="39" t="n">
        <v>38520</v>
      </c>
      <c r="O432" s="41" t="s">
        <v>23</v>
      </c>
      <c r="P432" s="41" t="s">
        <v>105</v>
      </c>
      <c r="Q432" s="42"/>
      <c r="R432" s="41"/>
      <c r="S432" s="42"/>
      <c r="T432" s="41"/>
    </row>
    <row r="433" customFormat="false" ht="13.5" hidden="false" customHeight="true" outlineLevel="0" collapsed="false">
      <c r="A433" s="37" t="n">
        <v>430</v>
      </c>
      <c r="B433" s="37" t="n">
        <v>2121</v>
      </c>
      <c r="C433" s="38" t="s">
        <v>2058</v>
      </c>
      <c r="D433" s="37" t="s">
        <v>100</v>
      </c>
      <c r="E433" s="39" t="n">
        <v>21660</v>
      </c>
      <c r="F433" s="37" t="n">
        <f aca="true">IFERROR(DATEDIF(E433,TODAY(),"Y"),"")</f>
        <v>67</v>
      </c>
      <c r="G433" s="40" t="s">
        <v>2059</v>
      </c>
      <c r="H433" s="40" t="s">
        <v>2060</v>
      </c>
      <c r="I433" s="38" t="s">
        <v>2061</v>
      </c>
      <c r="J433" s="38" t="s">
        <v>16</v>
      </c>
      <c r="K433" s="38" t="s">
        <v>2062</v>
      </c>
      <c r="L433" s="38" t="s">
        <v>55</v>
      </c>
      <c r="M433" s="37" t="s">
        <v>120</v>
      </c>
      <c r="N433" s="39" t="n">
        <v>38520</v>
      </c>
      <c r="O433" s="41" t="s">
        <v>23</v>
      </c>
      <c r="P433" s="41" t="s">
        <v>105</v>
      </c>
      <c r="Q433" s="42"/>
      <c r="R433" s="41"/>
      <c r="S433" s="42"/>
      <c r="T433" s="41"/>
    </row>
    <row r="434" customFormat="false" ht="13.5" hidden="false" customHeight="true" outlineLevel="0" collapsed="false">
      <c r="A434" s="37" t="n">
        <v>431</v>
      </c>
      <c r="B434" s="37" t="n">
        <v>2124</v>
      </c>
      <c r="C434" s="38" t="s">
        <v>2063</v>
      </c>
      <c r="D434" s="37" t="s">
        <v>100</v>
      </c>
      <c r="E434" s="39" t="n">
        <v>21533</v>
      </c>
      <c r="F434" s="37" t="n">
        <f aca="true">IFERROR(DATEDIF(E434,TODAY(),"Y"),"")</f>
        <v>67</v>
      </c>
      <c r="G434" s="40" t="s">
        <v>2064</v>
      </c>
      <c r="H434" s="40" t="s">
        <v>2065</v>
      </c>
      <c r="I434" s="38" t="s">
        <v>2066</v>
      </c>
      <c r="J434" s="38" t="s">
        <v>16</v>
      </c>
      <c r="K434" s="38" t="s">
        <v>2067</v>
      </c>
      <c r="L434" s="38" t="s">
        <v>52</v>
      </c>
      <c r="M434" s="37" t="s">
        <v>120</v>
      </c>
      <c r="N434" s="39" t="n">
        <v>38520</v>
      </c>
      <c r="O434" s="41" t="s">
        <v>23</v>
      </c>
      <c r="P434" s="41" t="s">
        <v>105</v>
      </c>
      <c r="Q434" s="42"/>
      <c r="R434" s="41"/>
      <c r="S434" s="42"/>
      <c r="T434" s="41"/>
    </row>
    <row r="435" customFormat="false" ht="13.5" hidden="false" customHeight="true" outlineLevel="0" collapsed="false">
      <c r="A435" s="37" t="n">
        <v>432</v>
      </c>
      <c r="B435" s="37" t="n">
        <v>2126</v>
      </c>
      <c r="C435" s="38" t="s">
        <v>2068</v>
      </c>
      <c r="D435" s="37" t="s">
        <v>100</v>
      </c>
      <c r="E435" s="39" t="n">
        <v>24981</v>
      </c>
      <c r="F435" s="37" t="n">
        <f aca="true">IFERROR(DATEDIF(E435,TODAY(),"Y"),"")</f>
        <v>58</v>
      </c>
      <c r="G435" s="40" t="s">
        <v>2069</v>
      </c>
      <c r="H435" s="40" t="s">
        <v>2070</v>
      </c>
      <c r="I435" s="38" t="s">
        <v>2071</v>
      </c>
      <c r="J435" s="38" t="s">
        <v>15</v>
      </c>
      <c r="K435" s="38" t="s">
        <v>2072</v>
      </c>
      <c r="L435" s="38" t="s">
        <v>55</v>
      </c>
      <c r="M435" s="37" t="s">
        <v>104</v>
      </c>
      <c r="N435" s="39" t="n">
        <v>38520</v>
      </c>
      <c r="O435" s="41" t="s">
        <v>23</v>
      </c>
      <c r="P435" s="41" t="s">
        <v>105</v>
      </c>
      <c r="Q435" s="42"/>
      <c r="R435" s="41"/>
      <c r="S435" s="42"/>
      <c r="T435" s="41"/>
    </row>
    <row r="436" customFormat="false" ht="13.5" hidden="false" customHeight="true" outlineLevel="0" collapsed="false">
      <c r="A436" s="37" t="n">
        <v>433</v>
      </c>
      <c r="B436" s="37" t="n">
        <v>2137</v>
      </c>
      <c r="C436" s="38" t="s">
        <v>2073</v>
      </c>
      <c r="D436" s="37" t="s">
        <v>100</v>
      </c>
      <c r="E436" s="39" t="n">
        <v>28636</v>
      </c>
      <c r="F436" s="37" t="n">
        <f aca="true">IFERROR(DATEDIF(E436,TODAY(),"Y"),"")</f>
        <v>48</v>
      </c>
      <c r="G436" s="40" t="s">
        <v>2074</v>
      </c>
      <c r="H436" s="40" t="s">
        <v>2075</v>
      </c>
      <c r="I436" s="38" t="s">
        <v>2076</v>
      </c>
      <c r="J436" s="38" t="s">
        <v>25</v>
      </c>
      <c r="K436" s="38" t="s">
        <v>2077</v>
      </c>
      <c r="L436" s="38" t="s">
        <v>50</v>
      </c>
      <c r="M436" s="37"/>
      <c r="N436" s="39" t="n">
        <v>38520</v>
      </c>
      <c r="O436" s="41" t="s">
        <v>23</v>
      </c>
      <c r="P436" s="41" t="s">
        <v>105</v>
      </c>
      <c r="Q436" s="42"/>
      <c r="R436" s="41"/>
      <c r="S436" s="42"/>
      <c r="T436" s="41"/>
    </row>
    <row r="437" customFormat="false" ht="13.5" hidden="false" customHeight="true" outlineLevel="0" collapsed="false">
      <c r="A437" s="37" t="n">
        <v>434</v>
      </c>
      <c r="B437" s="37" t="n">
        <v>2138</v>
      </c>
      <c r="C437" s="38" t="s">
        <v>2078</v>
      </c>
      <c r="D437" s="37" t="s">
        <v>100</v>
      </c>
      <c r="E437" s="39" t="n">
        <v>25719</v>
      </c>
      <c r="F437" s="37" t="n">
        <f aca="true">IFERROR(DATEDIF(E437,TODAY(),"Y"),"")</f>
        <v>56</v>
      </c>
      <c r="G437" s="40" t="s">
        <v>2079</v>
      </c>
      <c r="H437" s="40" t="s">
        <v>2080</v>
      </c>
      <c r="I437" s="38" t="s">
        <v>2081</v>
      </c>
      <c r="J437" s="38" t="s">
        <v>16</v>
      </c>
      <c r="K437" s="38" t="s">
        <v>2082</v>
      </c>
      <c r="L437" s="38" t="s">
        <v>53</v>
      </c>
      <c r="M437" s="37"/>
      <c r="N437" s="39" t="n">
        <v>38520</v>
      </c>
      <c r="O437" s="41" t="s">
        <v>23</v>
      </c>
      <c r="P437" s="41" t="s">
        <v>105</v>
      </c>
      <c r="Q437" s="42"/>
      <c r="R437" s="41"/>
      <c r="S437" s="42"/>
      <c r="T437" s="41"/>
    </row>
    <row r="438" customFormat="false" ht="13.5" hidden="false" customHeight="true" outlineLevel="0" collapsed="false">
      <c r="A438" s="37" t="n">
        <v>435</v>
      </c>
      <c r="B438" s="37" t="n">
        <v>2140</v>
      </c>
      <c r="C438" s="38" t="s">
        <v>2083</v>
      </c>
      <c r="D438" s="37" t="s">
        <v>100</v>
      </c>
      <c r="E438" s="39" t="n">
        <v>28253</v>
      </c>
      <c r="F438" s="37" t="n">
        <f aca="true">IFERROR(DATEDIF(E438,TODAY(),"Y"),"")</f>
        <v>49</v>
      </c>
      <c r="G438" s="40" t="s">
        <v>2084</v>
      </c>
      <c r="H438" s="40"/>
      <c r="I438" s="38"/>
      <c r="J438" s="38" t="s">
        <v>15</v>
      </c>
      <c r="K438" s="38" t="s">
        <v>2085</v>
      </c>
      <c r="L438" s="38" t="s">
        <v>46</v>
      </c>
      <c r="M438" s="37"/>
      <c r="N438" s="39" t="n">
        <v>38520</v>
      </c>
      <c r="O438" s="41" t="s">
        <v>23</v>
      </c>
      <c r="P438" s="41" t="s">
        <v>105</v>
      </c>
      <c r="Q438" s="42"/>
      <c r="R438" s="41"/>
      <c r="S438" s="42"/>
      <c r="T438" s="41"/>
    </row>
    <row r="439" customFormat="false" ht="13.5" hidden="false" customHeight="true" outlineLevel="0" collapsed="false">
      <c r="A439" s="37" t="n">
        <v>436</v>
      </c>
      <c r="B439" s="37" t="n">
        <v>2141</v>
      </c>
      <c r="C439" s="38" t="s">
        <v>2086</v>
      </c>
      <c r="D439" s="37" t="s">
        <v>100</v>
      </c>
      <c r="E439" s="39" t="n">
        <v>22798</v>
      </c>
      <c r="F439" s="37" t="n">
        <f aca="true">IFERROR(DATEDIF(E439,TODAY(),"Y"),"")</f>
        <v>64</v>
      </c>
      <c r="G439" s="40" t="s">
        <v>2087</v>
      </c>
      <c r="H439" s="40"/>
      <c r="I439" s="38" t="s">
        <v>2088</v>
      </c>
      <c r="J439" s="38" t="s">
        <v>15</v>
      </c>
      <c r="K439" s="38" t="s">
        <v>2089</v>
      </c>
      <c r="L439" s="38" t="s">
        <v>53</v>
      </c>
      <c r="M439" s="37"/>
      <c r="N439" s="39" t="n">
        <v>38520</v>
      </c>
      <c r="O439" s="41" t="s">
        <v>23</v>
      </c>
      <c r="P439" s="41" t="s">
        <v>105</v>
      </c>
      <c r="Q439" s="42"/>
      <c r="R439" s="41"/>
      <c r="S439" s="42"/>
      <c r="T439" s="41"/>
    </row>
    <row r="440" customFormat="false" ht="13.5" hidden="false" customHeight="true" outlineLevel="0" collapsed="false">
      <c r="A440" s="37" t="n">
        <v>437</v>
      </c>
      <c r="B440" s="37" t="n">
        <v>2143</v>
      </c>
      <c r="C440" s="38" t="s">
        <v>2090</v>
      </c>
      <c r="D440" s="37" t="s">
        <v>100</v>
      </c>
      <c r="E440" s="39" t="n">
        <v>30205</v>
      </c>
      <c r="F440" s="37" t="n">
        <f aca="true">IFERROR(DATEDIF(E440,TODAY(),"Y"),"")</f>
        <v>43</v>
      </c>
      <c r="G440" s="40" t="s">
        <v>2091</v>
      </c>
      <c r="H440" s="40" t="s">
        <v>2092</v>
      </c>
      <c r="I440" s="38" t="s">
        <v>2093</v>
      </c>
      <c r="J440" s="38" t="s">
        <v>18</v>
      </c>
      <c r="K440" s="38" t="s">
        <v>2094</v>
      </c>
      <c r="L440" s="38" t="s">
        <v>55</v>
      </c>
      <c r="M440" s="37" t="s">
        <v>177</v>
      </c>
      <c r="N440" s="39" t="n">
        <v>38520</v>
      </c>
      <c r="O440" s="41" t="s">
        <v>23</v>
      </c>
      <c r="P440" s="41" t="s">
        <v>105</v>
      </c>
      <c r="Q440" s="42"/>
      <c r="R440" s="41"/>
      <c r="S440" s="42"/>
      <c r="T440" s="41"/>
    </row>
    <row r="441" customFormat="false" ht="13.5" hidden="false" customHeight="true" outlineLevel="0" collapsed="false">
      <c r="A441" s="37" t="n">
        <v>438</v>
      </c>
      <c r="B441" s="37" t="n">
        <v>2145</v>
      </c>
      <c r="C441" s="38" t="s">
        <v>2095</v>
      </c>
      <c r="D441" s="37" t="s">
        <v>100</v>
      </c>
      <c r="E441" s="39" t="n">
        <v>21697</v>
      </c>
      <c r="F441" s="37" t="n">
        <f aca="true">IFERROR(DATEDIF(E441,TODAY(),"Y"),"")</f>
        <v>67</v>
      </c>
      <c r="G441" s="40" t="s">
        <v>2096</v>
      </c>
      <c r="H441" s="40" t="s">
        <v>2097</v>
      </c>
      <c r="I441" s="38" t="s">
        <v>2098</v>
      </c>
      <c r="J441" s="38" t="s">
        <v>15</v>
      </c>
      <c r="K441" s="38" t="s">
        <v>2099</v>
      </c>
      <c r="L441" s="38" t="s">
        <v>53</v>
      </c>
      <c r="M441" s="37" t="s">
        <v>104</v>
      </c>
      <c r="N441" s="39" t="n">
        <v>38520</v>
      </c>
      <c r="O441" s="41" t="s">
        <v>23</v>
      </c>
      <c r="P441" s="41" t="s">
        <v>105</v>
      </c>
      <c r="Q441" s="42"/>
      <c r="R441" s="41"/>
      <c r="S441" s="42"/>
      <c r="T441" s="41"/>
    </row>
    <row r="442" customFormat="false" ht="13.5" hidden="false" customHeight="true" outlineLevel="0" collapsed="false">
      <c r="A442" s="37" t="n">
        <v>439</v>
      </c>
      <c r="B442" s="37" t="n">
        <v>2146</v>
      </c>
      <c r="C442" s="38" t="s">
        <v>2100</v>
      </c>
      <c r="D442" s="37" t="s">
        <v>100</v>
      </c>
      <c r="E442" s="39" t="n">
        <v>22111</v>
      </c>
      <c r="F442" s="37" t="n">
        <f aca="true">IFERROR(DATEDIF(E442,TODAY(),"Y"),"")</f>
        <v>66</v>
      </c>
      <c r="G442" s="40" t="s">
        <v>2101</v>
      </c>
      <c r="H442" s="40" t="s">
        <v>2102</v>
      </c>
      <c r="I442" s="38" t="s">
        <v>2103</v>
      </c>
      <c r="J442" s="38" t="s">
        <v>15</v>
      </c>
      <c r="K442" s="38" t="s">
        <v>2104</v>
      </c>
      <c r="L442" s="38" t="s">
        <v>47</v>
      </c>
      <c r="M442" s="37"/>
      <c r="N442" s="39" t="n">
        <v>38520</v>
      </c>
      <c r="O442" s="41" t="s">
        <v>23</v>
      </c>
      <c r="P442" s="41" t="s">
        <v>105</v>
      </c>
      <c r="Q442" s="42"/>
      <c r="R442" s="41"/>
      <c r="S442" s="42"/>
      <c r="T442" s="41"/>
    </row>
    <row r="443" customFormat="false" ht="13.5" hidden="false" customHeight="true" outlineLevel="0" collapsed="false">
      <c r="A443" s="37" t="n">
        <v>440</v>
      </c>
      <c r="B443" s="37" t="n">
        <v>2147</v>
      </c>
      <c r="C443" s="38" t="s">
        <v>2105</v>
      </c>
      <c r="D443" s="37" t="s">
        <v>100</v>
      </c>
      <c r="E443" s="39" t="n">
        <v>29006</v>
      </c>
      <c r="F443" s="37" t="n">
        <f aca="true">IFERROR(DATEDIF(E443,TODAY(),"Y"),"")</f>
        <v>47</v>
      </c>
      <c r="G443" s="40" t="s">
        <v>2106</v>
      </c>
      <c r="H443" s="40" t="s">
        <v>2107</v>
      </c>
      <c r="I443" s="38" t="s">
        <v>2108</v>
      </c>
      <c r="J443" s="38"/>
      <c r="K443" s="38" t="s">
        <v>2109</v>
      </c>
      <c r="L443" s="38" t="s">
        <v>48</v>
      </c>
      <c r="M443" s="37" t="s">
        <v>177</v>
      </c>
      <c r="N443" s="39" t="n">
        <v>38520</v>
      </c>
      <c r="O443" s="41" t="s">
        <v>23</v>
      </c>
      <c r="P443" s="41" t="s">
        <v>105</v>
      </c>
      <c r="Q443" s="42"/>
      <c r="R443" s="41"/>
      <c r="S443" s="42"/>
      <c r="T443" s="41"/>
    </row>
    <row r="444" customFormat="false" ht="13.5" hidden="false" customHeight="true" outlineLevel="0" collapsed="false">
      <c r="A444" s="37" t="n">
        <v>441</v>
      </c>
      <c r="B444" s="37" t="n">
        <v>2150</v>
      </c>
      <c r="C444" s="38" t="s">
        <v>2110</v>
      </c>
      <c r="D444" s="37" t="s">
        <v>100</v>
      </c>
      <c r="E444" s="39" t="n">
        <v>20589</v>
      </c>
      <c r="F444" s="37" t="n">
        <f aca="true">IFERROR(DATEDIF(E444,TODAY(),"Y"),"")</f>
        <v>70</v>
      </c>
      <c r="G444" s="40" t="s">
        <v>2111</v>
      </c>
      <c r="H444" s="40"/>
      <c r="I444" s="38" t="s">
        <v>2112</v>
      </c>
      <c r="J444" s="38"/>
      <c r="K444" s="38" t="s">
        <v>2113</v>
      </c>
      <c r="L444" s="38" t="s">
        <v>55</v>
      </c>
      <c r="M444" s="37"/>
      <c r="N444" s="39" t="n">
        <v>38520</v>
      </c>
      <c r="O444" s="41" t="s">
        <v>23</v>
      </c>
      <c r="P444" s="41" t="s">
        <v>105</v>
      </c>
      <c r="Q444" s="42"/>
      <c r="R444" s="41"/>
      <c r="S444" s="42"/>
      <c r="T444" s="41"/>
    </row>
    <row r="445" customFormat="false" ht="13.5" hidden="false" customHeight="true" outlineLevel="0" collapsed="false">
      <c r="A445" s="37" t="n">
        <v>442</v>
      </c>
      <c r="B445" s="37" t="n">
        <v>2151</v>
      </c>
      <c r="C445" s="38" t="s">
        <v>2114</v>
      </c>
      <c r="D445" s="37" t="s">
        <v>100</v>
      </c>
      <c r="E445" s="39" t="n">
        <v>26609</v>
      </c>
      <c r="F445" s="37" t="n">
        <f aca="true">IFERROR(DATEDIF(E445,TODAY(),"Y"),"")</f>
        <v>53</v>
      </c>
      <c r="G445" s="40" t="s">
        <v>2115</v>
      </c>
      <c r="H445" s="40" t="s">
        <v>2116</v>
      </c>
      <c r="I445" s="38" t="s">
        <v>2117</v>
      </c>
      <c r="J445" s="38" t="s">
        <v>27</v>
      </c>
      <c r="K445" s="38" t="s">
        <v>2118</v>
      </c>
      <c r="L445" s="38" t="s">
        <v>53</v>
      </c>
      <c r="M445" s="37" t="s">
        <v>120</v>
      </c>
      <c r="N445" s="39" t="n">
        <v>38520</v>
      </c>
      <c r="O445" s="41" t="s">
        <v>23</v>
      </c>
      <c r="P445" s="41" t="s">
        <v>105</v>
      </c>
      <c r="Q445" s="42"/>
      <c r="R445" s="41"/>
      <c r="S445" s="42"/>
      <c r="T445" s="41"/>
    </row>
    <row r="446" customFormat="false" ht="13.5" hidden="false" customHeight="true" outlineLevel="0" collapsed="false">
      <c r="A446" s="37" t="n">
        <v>443</v>
      </c>
      <c r="B446" s="37" t="n">
        <v>2159</v>
      </c>
      <c r="C446" s="38" t="s">
        <v>2119</v>
      </c>
      <c r="D446" s="37" t="s">
        <v>100</v>
      </c>
      <c r="E446" s="39" t="n">
        <v>16225</v>
      </c>
      <c r="F446" s="37" t="n">
        <f aca="true">IFERROR(DATEDIF(E446,TODAY(),"Y"),"")</f>
        <v>82</v>
      </c>
      <c r="G446" s="40" t="s">
        <v>1770</v>
      </c>
      <c r="H446" s="40" t="s">
        <v>1771</v>
      </c>
      <c r="I446" s="38" t="s">
        <v>1772</v>
      </c>
      <c r="J446" s="38" t="s">
        <v>15</v>
      </c>
      <c r="K446" s="38" t="s">
        <v>1773</v>
      </c>
      <c r="L446" s="38" t="s">
        <v>55</v>
      </c>
      <c r="M446" s="37"/>
      <c r="N446" s="39" t="n">
        <v>38520</v>
      </c>
      <c r="O446" s="41" t="s">
        <v>23</v>
      </c>
      <c r="P446" s="41" t="s">
        <v>105</v>
      </c>
      <c r="Q446" s="42"/>
      <c r="R446" s="41"/>
      <c r="S446" s="42"/>
      <c r="T446" s="41"/>
    </row>
    <row r="447" customFormat="false" ht="13.5" hidden="false" customHeight="true" outlineLevel="0" collapsed="false">
      <c r="A447" s="37" t="n">
        <v>444</v>
      </c>
      <c r="B447" s="37" t="n">
        <v>2160</v>
      </c>
      <c r="C447" s="38" t="s">
        <v>2120</v>
      </c>
      <c r="D447" s="37" t="s">
        <v>100</v>
      </c>
      <c r="E447" s="39" t="n">
        <v>27117</v>
      </c>
      <c r="F447" s="37" t="n">
        <f aca="true">IFERROR(DATEDIF(E447,TODAY(),"Y"),"")</f>
        <v>52</v>
      </c>
      <c r="G447" s="40" t="s">
        <v>2121</v>
      </c>
      <c r="H447" s="40" t="s">
        <v>2122</v>
      </c>
      <c r="I447" s="38" t="s">
        <v>2123</v>
      </c>
      <c r="J447" s="38" t="s">
        <v>16</v>
      </c>
      <c r="K447" s="38" t="s">
        <v>2124</v>
      </c>
      <c r="L447" s="38" t="s">
        <v>43</v>
      </c>
      <c r="M447" s="37"/>
      <c r="N447" s="39" t="n">
        <v>38520</v>
      </c>
      <c r="O447" s="41" t="s">
        <v>23</v>
      </c>
      <c r="P447" s="41" t="s">
        <v>105</v>
      </c>
      <c r="Q447" s="42"/>
      <c r="R447" s="41"/>
      <c r="S447" s="42"/>
      <c r="T447" s="41"/>
    </row>
    <row r="448" customFormat="false" ht="13.5" hidden="false" customHeight="true" outlineLevel="0" collapsed="false">
      <c r="A448" s="37" t="n">
        <v>445</v>
      </c>
      <c r="B448" s="37" t="n">
        <v>2162</v>
      </c>
      <c r="C448" s="38" t="s">
        <v>2125</v>
      </c>
      <c r="D448" s="37" t="s">
        <v>100</v>
      </c>
      <c r="E448" s="39" t="n">
        <v>24171</v>
      </c>
      <c r="F448" s="37" t="n">
        <f aca="true">IFERROR(DATEDIF(E448,TODAY(),"Y"),"")</f>
        <v>60</v>
      </c>
      <c r="G448" s="40" t="s">
        <v>2126</v>
      </c>
      <c r="H448" s="40"/>
      <c r="I448" s="38" t="s">
        <v>2127</v>
      </c>
      <c r="J448" s="38" t="s">
        <v>16</v>
      </c>
      <c r="K448" s="38" t="s">
        <v>2128</v>
      </c>
      <c r="L448" s="38" t="s">
        <v>47</v>
      </c>
      <c r="M448" s="37"/>
      <c r="N448" s="39" t="n">
        <v>38520</v>
      </c>
      <c r="O448" s="41" t="s">
        <v>23</v>
      </c>
      <c r="P448" s="41" t="s">
        <v>105</v>
      </c>
      <c r="Q448" s="42"/>
      <c r="R448" s="41"/>
      <c r="S448" s="42"/>
      <c r="T448" s="41"/>
    </row>
    <row r="449" customFormat="false" ht="13.5" hidden="false" customHeight="true" outlineLevel="0" collapsed="false">
      <c r="A449" s="37" t="n">
        <v>446</v>
      </c>
      <c r="B449" s="37" t="n">
        <v>2163</v>
      </c>
      <c r="C449" s="38" t="s">
        <v>2129</v>
      </c>
      <c r="D449" s="37" t="s">
        <v>100</v>
      </c>
      <c r="E449" s="39" t="n">
        <v>27800</v>
      </c>
      <c r="F449" s="37" t="n">
        <f aca="true">IFERROR(DATEDIF(E449,TODAY(),"Y"),"")</f>
        <v>50</v>
      </c>
      <c r="G449" s="40" t="s">
        <v>2130</v>
      </c>
      <c r="H449" s="40" t="s">
        <v>2131</v>
      </c>
      <c r="I449" s="38" t="s">
        <v>2132</v>
      </c>
      <c r="J449" s="38" t="s">
        <v>15</v>
      </c>
      <c r="K449" s="38" t="s">
        <v>2133</v>
      </c>
      <c r="L449" s="38" t="s">
        <v>47</v>
      </c>
      <c r="M449" s="37"/>
      <c r="N449" s="39" t="n">
        <v>38520</v>
      </c>
      <c r="O449" s="41" t="s">
        <v>23</v>
      </c>
      <c r="P449" s="41" t="s">
        <v>105</v>
      </c>
      <c r="Q449" s="42"/>
      <c r="R449" s="41"/>
      <c r="S449" s="42"/>
      <c r="T449" s="41"/>
    </row>
    <row r="450" customFormat="false" ht="13.5" hidden="false" customHeight="true" outlineLevel="0" collapsed="false">
      <c r="A450" s="37" t="n">
        <v>447</v>
      </c>
      <c r="B450" s="37" t="n">
        <v>2166</v>
      </c>
      <c r="C450" s="38" t="s">
        <v>2134</v>
      </c>
      <c r="D450" s="37" t="s">
        <v>100</v>
      </c>
      <c r="E450" s="39" t="n">
        <v>23850</v>
      </c>
      <c r="F450" s="37" t="n">
        <f aca="true">IFERROR(DATEDIF(E450,TODAY(),"Y"),"")</f>
        <v>61</v>
      </c>
      <c r="G450" s="40" t="s">
        <v>2135</v>
      </c>
      <c r="H450" s="40" t="s">
        <v>2136</v>
      </c>
      <c r="I450" s="38" t="s">
        <v>2137</v>
      </c>
      <c r="J450" s="38" t="s">
        <v>16</v>
      </c>
      <c r="K450" s="38" t="s">
        <v>2138</v>
      </c>
      <c r="L450" s="38" t="s">
        <v>53</v>
      </c>
      <c r="M450" s="37" t="s">
        <v>231</v>
      </c>
      <c r="N450" s="39" t="n">
        <v>38520</v>
      </c>
      <c r="O450" s="41" t="s">
        <v>23</v>
      </c>
      <c r="P450" s="41" t="s">
        <v>105</v>
      </c>
      <c r="Q450" s="42"/>
      <c r="R450" s="41"/>
      <c r="S450" s="42"/>
      <c r="T450" s="41"/>
    </row>
    <row r="451" customFormat="false" ht="13.5" hidden="false" customHeight="true" outlineLevel="0" collapsed="false">
      <c r="A451" s="37" t="n">
        <v>448</v>
      </c>
      <c r="B451" s="37" t="n">
        <v>2170</v>
      </c>
      <c r="C451" s="38" t="s">
        <v>2139</v>
      </c>
      <c r="D451" s="37" t="s">
        <v>100</v>
      </c>
      <c r="E451" s="39" t="n">
        <v>20658</v>
      </c>
      <c r="F451" s="37" t="n">
        <f aca="true">IFERROR(DATEDIF(E451,TODAY(),"Y"),"")</f>
        <v>70</v>
      </c>
      <c r="G451" s="40" t="s">
        <v>2140</v>
      </c>
      <c r="H451" s="40" t="s">
        <v>2141</v>
      </c>
      <c r="I451" s="38" t="s">
        <v>2142</v>
      </c>
      <c r="J451" s="38" t="s">
        <v>16</v>
      </c>
      <c r="K451" s="38" t="s">
        <v>2143</v>
      </c>
      <c r="L451" s="38" t="s">
        <v>43</v>
      </c>
      <c r="M451" s="37"/>
      <c r="N451" s="39" t="n">
        <v>38520</v>
      </c>
      <c r="O451" s="41" t="s">
        <v>23</v>
      </c>
      <c r="P451" s="41" t="s">
        <v>105</v>
      </c>
      <c r="Q451" s="42"/>
      <c r="R451" s="41"/>
      <c r="S451" s="42"/>
      <c r="T451" s="41"/>
    </row>
    <row r="452" customFormat="false" ht="13.5" hidden="false" customHeight="true" outlineLevel="0" collapsed="false">
      <c r="A452" s="37" t="n">
        <v>449</v>
      </c>
      <c r="B452" s="37" t="n">
        <v>2174</v>
      </c>
      <c r="C452" s="38" t="s">
        <v>2144</v>
      </c>
      <c r="D452" s="37" t="s">
        <v>100</v>
      </c>
      <c r="E452" s="39" t="n">
        <v>30599</v>
      </c>
      <c r="F452" s="37" t="n">
        <f aca="true">IFERROR(DATEDIF(E452,TODAY(),"Y"),"")</f>
        <v>42</v>
      </c>
      <c r="G452" s="40" t="s">
        <v>2145</v>
      </c>
      <c r="H452" s="40" t="s">
        <v>2146</v>
      </c>
      <c r="I452" s="38" t="s">
        <v>2147</v>
      </c>
      <c r="J452" s="38" t="s">
        <v>16</v>
      </c>
      <c r="K452" s="38" t="s">
        <v>2148</v>
      </c>
      <c r="L452" s="38" t="s">
        <v>43</v>
      </c>
      <c r="M452" s="37" t="s">
        <v>177</v>
      </c>
      <c r="N452" s="39" t="n">
        <v>38520</v>
      </c>
      <c r="O452" s="41" t="s">
        <v>23</v>
      </c>
      <c r="P452" s="41" t="s">
        <v>105</v>
      </c>
      <c r="Q452" s="42"/>
      <c r="R452" s="41"/>
      <c r="S452" s="42"/>
      <c r="T452" s="41"/>
    </row>
    <row r="453" customFormat="false" ht="13.5" hidden="false" customHeight="true" outlineLevel="0" collapsed="false">
      <c r="A453" s="37" t="n">
        <v>450</v>
      </c>
      <c r="B453" s="37" t="n">
        <v>2176</v>
      </c>
      <c r="C453" s="38" t="s">
        <v>2149</v>
      </c>
      <c r="D453" s="37" t="s">
        <v>100</v>
      </c>
      <c r="E453" s="39" t="n">
        <v>21695</v>
      </c>
      <c r="F453" s="37" t="n">
        <f aca="true">IFERROR(DATEDIF(E453,TODAY(),"Y"),"")</f>
        <v>67</v>
      </c>
      <c r="G453" s="40" t="s">
        <v>2150</v>
      </c>
      <c r="H453" s="40" t="s">
        <v>2151</v>
      </c>
      <c r="I453" s="38" t="s">
        <v>2152</v>
      </c>
      <c r="J453" s="38" t="s">
        <v>15</v>
      </c>
      <c r="K453" s="38" t="s">
        <v>2153</v>
      </c>
      <c r="L453" s="38" t="s">
        <v>52</v>
      </c>
      <c r="M453" s="37"/>
      <c r="N453" s="39" t="n">
        <v>38520</v>
      </c>
      <c r="O453" s="41" t="s">
        <v>23</v>
      </c>
      <c r="P453" s="41" t="s">
        <v>105</v>
      </c>
      <c r="Q453" s="42"/>
      <c r="R453" s="41"/>
      <c r="S453" s="42"/>
      <c r="T453" s="41"/>
    </row>
    <row r="454" customFormat="false" ht="13.5" hidden="false" customHeight="true" outlineLevel="0" collapsed="false">
      <c r="A454" s="37" t="n">
        <v>451</v>
      </c>
      <c r="B454" s="37" t="n">
        <v>2179</v>
      </c>
      <c r="C454" s="38" t="s">
        <v>2154</v>
      </c>
      <c r="D454" s="37" t="s">
        <v>100</v>
      </c>
      <c r="E454" s="39" t="n">
        <v>27543</v>
      </c>
      <c r="F454" s="37" t="n">
        <f aca="true">IFERROR(DATEDIF(E454,TODAY(),"Y"),"")</f>
        <v>51</v>
      </c>
      <c r="G454" s="40" t="s">
        <v>2155</v>
      </c>
      <c r="H454" s="40"/>
      <c r="I454" s="38" t="s">
        <v>2156</v>
      </c>
      <c r="J454" s="38" t="s">
        <v>16</v>
      </c>
      <c r="K454" s="38" t="s">
        <v>2157</v>
      </c>
      <c r="L454" s="38" t="s">
        <v>54</v>
      </c>
      <c r="M454" s="37"/>
      <c r="N454" s="39" t="n">
        <v>38520</v>
      </c>
      <c r="O454" s="41" t="s">
        <v>23</v>
      </c>
      <c r="P454" s="41" t="s">
        <v>105</v>
      </c>
      <c r="Q454" s="42"/>
      <c r="R454" s="41"/>
      <c r="S454" s="42"/>
      <c r="T454" s="41"/>
    </row>
    <row r="455" customFormat="false" ht="13.5" hidden="false" customHeight="true" outlineLevel="0" collapsed="false">
      <c r="A455" s="37" t="n">
        <v>452</v>
      </c>
      <c r="B455" s="37" t="n">
        <v>2181</v>
      </c>
      <c r="C455" s="38" t="s">
        <v>2158</v>
      </c>
      <c r="D455" s="37" t="s">
        <v>100</v>
      </c>
      <c r="E455" s="39" t="n">
        <v>29089</v>
      </c>
      <c r="F455" s="37" t="n">
        <f aca="true">IFERROR(DATEDIF(E455,TODAY(),"Y"),"")</f>
        <v>46</v>
      </c>
      <c r="G455" s="40" t="s">
        <v>2159</v>
      </c>
      <c r="H455" s="40" t="s">
        <v>2160</v>
      </c>
      <c r="I455" s="38" t="s">
        <v>2161</v>
      </c>
      <c r="J455" s="38" t="s">
        <v>16</v>
      </c>
      <c r="K455" s="38" t="s">
        <v>2162</v>
      </c>
      <c r="L455" s="38" t="s">
        <v>46</v>
      </c>
      <c r="M455" s="37"/>
      <c r="N455" s="39" t="n">
        <v>38520</v>
      </c>
      <c r="O455" s="41" t="s">
        <v>23</v>
      </c>
      <c r="P455" s="41" t="s">
        <v>105</v>
      </c>
      <c r="Q455" s="42"/>
      <c r="R455" s="41"/>
      <c r="S455" s="42"/>
      <c r="T455" s="41"/>
    </row>
    <row r="456" customFormat="false" ht="13.5" hidden="false" customHeight="true" outlineLevel="0" collapsed="false">
      <c r="A456" s="37" t="n">
        <v>453</v>
      </c>
      <c r="B456" s="37" t="n">
        <v>2182</v>
      </c>
      <c r="C456" s="38" t="s">
        <v>2163</v>
      </c>
      <c r="D456" s="37" t="s">
        <v>100</v>
      </c>
      <c r="E456" s="39" t="n">
        <v>22129</v>
      </c>
      <c r="F456" s="37" t="n">
        <f aca="true">IFERROR(DATEDIF(E456,TODAY(),"Y"),"")</f>
        <v>66</v>
      </c>
      <c r="G456" s="40" t="s">
        <v>2164</v>
      </c>
      <c r="H456" s="40" t="s">
        <v>2165</v>
      </c>
      <c r="I456" s="38"/>
      <c r="J456" s="38" t="s">
        <v>15</v>
      </c>
      <c r="K456" s="38" t="s">
        <v>2166</v>
      </c>
      <c r="L456" s="38" t="s">
        <v>51</v>
      </c>
      <c r="M456" s="37" t="s">
        <v>788</v>
      </c>
      <c r="N456" s="39" t="n">
        <v>38520</v>
      </c>
      <c r="O456" s="41" t="s">
        <v>23</v>
      </c>
      <c r="P456" s="41" t="s">
        <v>105</v>
      </c>
      <c r="Q456" s="42"/>
      <c r="R456" s="41"/>
      <c r="S456" s="42"/>
      <c r="T456" s="41"/>
    </row>
    <row r="457" customFormat="false" ht="13.5" hidden="false" customHeight="true" outlineLevel="0" collapsed="false">
      <c r="A457" s="37" t="n">
        <v>454</v>
      </c>
      <c r="B457" s="37" t="n">
        <v>2183</v>
      </c>
      <c r="C457" s="38" t="s">
        <v>2167</v>
      </c>
      <c r="D457" s="37" t="s">
        <v>100</v>
      </c>
      <c r="E457" s="39" t="n">
        <v>24893</v>
      </c>
      <c r="F457" s="37" t="n">
        <f aca="true">IFERROR(DATEDIF(E457,TODAY(),"Y"),"")</f>
        <v>58</v>
      </c>
      <c r="G457" s="40" t="s">
        <v>2168</v>
      </c>
      <c r="H457" s="40" t="s">
        <v>2169</v>
      </c>
      <c r="I457" s="38" t="s">
        <v>2170</v>
      </c>
      <c r="J457" s="38" t="s">
        <v>18</v>
      </c>
      <c r="K457" s="38" t="s">
        <v>2171</v>
      </c>
      <c r="L457" s="38" t="s">
        <v>43</v>
      </c>
      <c r="M457" s="37"/>
      <c r="N457" s="39" t="n">
        <v>38520</v>
      </c>
      <c r="O457" s="41" t="s">
        <v>23</v>
      </c>
      <c r="P457" s="41" t="s">
        <v>105</v>
      </c>
      <c r="Q457" s="42"/>
      <c r="R457" s="41"/>
      <c r="S457" s="42"/>
      <c r="T457" s="41"/>
    </row>
    <row r="458" customFormat="false" ht="13.5" hidden="false" customHeight="true" outlineLevel="0" collapsed="false">
      <c r="A458" s="37" t="n">
        <v>455</v>
      </c>
      <c r="B458" s="37" t="n">
        <v>2184</v>
      </c>
      <c r="C458" s="38" t="s">
        <v>2172</v>
      </c>
      <c r="D458" s="37" t="s">
        <v>100</v>
      </c>
      <c r="E458" s="39" t="n">
        <v>21541</v>
      </c>
      <c r="F458" s="37" t="n">
        <f aca="true">IFERROR(DATEDIF(E458,TODAY(),"Y"),"")</f>
        <v>67</v>
      </c>
      <c r="G458" s="40" t="s">
        <v>2173</v>
      </c>
      <c r="H458" s="40" t="s">
        <v>2174</v>
      </c>
      <c r="I458" s="38"/>
      <c r="J458" s="38" t="s">
        <v>15</v>
      </c>
      <c r="K458" s="38" t="s">
        <v>2175</v>
      </c>
      <c r="L458" s="38" t="s">
        <v>51</v>
      </c>
      <c r="M458" s="37" t="s">
        <v>120</v>
      </c>
      <c r="N458" s="39" t="n">
        <v>38520</v>
      </c>
      <c r="O458" s="41" t="s">
        <v>23</v>
      </c>
      <c r="P458" s="41" t="s">
        <v>105</v>
      </c>
      <c r="Q458" s="42"/>
      <c r="R458" s="41"/>
      <c r="S458" s="42"/>
      <c r="T458" s="41"/>
    </row>
    <row r="459" customFormat="false" ht="13.5" hidden="false" customHeight="true" outlineLevel="0" collapsed="false">
      <c r="A459" s="37" t="n">
        <v>456</v>
      </c>
      <c r="B459" s="37" t="n">
        <v>2185</v>
      </c>
      <c r="C459" s="38" t="s">
        <v>2176</v>
      </c>
      <c r="D459" s="37" t="s">
        <v>100</v>
      </c>
      <c r="E459" s="39" t="n">
        <v>21769</v>
      </c>
      <c r="F459" s="37" t="n">
        <f aca="true">IFERROR(DATEDIF(E459,TODAY(),"Y"),"")</f>
        <v>67</v>
      </c>
      <c r="G459" s="40" t="s">
        <v>2177</v>
      </c>
      <c r="H459" s="40" t="s">
        <v>2178</v>
      </c>
      <c r="I459" s="38" t="s">
        <v>2179</v>
      </c>
      <c r="J459" s="38"/>
      <c r="K459" s="38" t="s">
        <v>2180</v>
      </c>
      <c r="L459" s="38" t="s">
        <v>48</v>
      </c>
      <c r="M459" s="37"/>
      <c r="N459" s="39" t="n">
        <v>38520</v>
      </c>
      <c r="O459" s="41" t="s">
        <v>23</v>
      </c>
      <c r="P459" s="41" t="s">
        <v>105</v>
      </c>
      <c r="Q459" s="42"/>
      <c r="R459" s="41"/>
      <c r="S459" s="42"/>
      <c r="T459" s="41"/>
    </row>
    <row r="460" customFormat="false" ht="13.5" hidden="false" customHeight="true" outlineLevel="0" collapsed="false">
      <c r="A460" s="37" t="n">
        <v>457</v>
      </c>
      <c r="B460" s="37" t="n">
        <v>2187</v>
      </c>
      <c r="C460" s="38" t="s">
        <v>2181</v>
      </c>
      <c r="D460" s="37" t="s">
        <v>100</v>
      </c>
      <c r="E460" s="39" t="n">
        <v>19300</v>
      </c>
      <c r="F460" s="37" t="n">
        <f aca="true">IFERROR(DATEDIF(E460,TODAY(),"Y"),"")</f>
        <v>73</v>
      </c>
      <c r="G460" s="40" t="s">
        <v>2182</v>
      </c>
      <c r="H460" s="40" t="s">
        <v>2183</v>
      </c>
      <c r="I460" s="38" t="s">
        <v>2184</v>
      </c>
      <c r="J460" s="38" t="s">
        <v>18</v>
      </c>
      <c r="K460" s="38" t="s">
        <v>2185</v>
      </c>
      <c r="L460" s="38" t="s">
        <v>53</v>
      </c>
      <c r="M460" s="37"/>
      <c r="N460" s="39" t="n">
        <v>38520</v>
      </c>
      <c r="O460" s="41" t="s">
        <v>23</v>
      </c>
      <c r="P460" s="41" t="s">
        <v>105</v>
      </c>
      <c r="Q460" s="42"/>
      <c r="R460" s="41"/>
      <c r="S460" s="42"/>
      <c r="T460" s="41"/>
    </row>
    <row r="461" customFormat="false" ht="13.5" hidden="false" customHeight="true" outlineLevel="0" collapsed="false">
      <c r="A461" s="37" t="n">
        <v>458</v>
      </c>
      <c r="B461" s="37" t="n">
        <v>2188</v>
      </c>
      <c r="C461" s="38" t="s">
        <v>2186</v>
      </c>
      <c r="D461" s="37" t="s">
        <v>100</v>
      </c>
      <c r="E461" s="39" t="n">
        <v>28918</v>
      </c>
      <c r="F461" s="37" t="n">
        <f aca="true">IFERROR(DATEDIF(E461,TODAY(),"Y"),"")</f>
        <v>47</v>
      </c>
      <c r="G461" s="40" t="s">
        <v>2187</v>
      </c>
      <c r="H461" s="40" t="s">
        <v>2188</v>
      </c>
      <c r="I461" s="38" t="s">
        <v>2189</v>
      </c>
      <c r="J461" s="38" t="s">
        <v>15</v>
      </c>
      <c r="K461" s="38" t="s">
        <v>2190</v>
      </c>
      <c r="L461" s="38" t="s">
        <v>55</v>
      </c>
      <c r="M461" s="37" t="s">
        <v>120</v>
      </c>
      <c r="N461" s="39" t="n">
        <v>38520</v>
      </c>
      <c r="O461" s="41" t="s">
        <v>23</v>
      </c>
      <c r="P461" s="41" t="s">
        <v>105</v>
      </c>
      <c r="Q461" s="42"/>
      <c r="R461" s="41"/>
      <c r="S461" s="42"/>
      <c r="T461" s="41"/>
    </row>
    <row r="462" customFormat="false" ht="13.5" hidden="false" customHeight="true" outlineLevel="0" collapsed="false">
      <c r="A462" s="37" t="n">
        <v>459</v>
      </c>
      <c r="B462" s="37" t="n">
        <v>2190</v>
      </c>
      <c r="C462" s="38" t="s">
        <v>2191</v>
      </c>
      <c r="D462" s="37" t="s">
        <v>100</v>
      </c>
      <c r="E462" s="39" t="n">
        <v>21554</v>
      </c>
      <c r="F462" s="37" t="n">
        <f aca="true">IFERROR(DATEDIF(E462,TODAY(),"Y"),"")</f>
        <v>67</v>
      </c>
      <c r="G462" s="40" t="s">
        <v>2192</v>
      </c>
      <c r="H462" s="40" t="s">
        <v>2193</v>
      </c>
      <c r="I462" s="38" t="s">
        <v>2194</v>
      </c>
      <c r="J462" s="38" t="s">
        <v>15</v>
      </c>
      <c r="K462" s="38" t="s">
        <v>2195</v>
      </c>
      <c r="L462" s="38" t="s">
        <v>55</v>
      </c>
      <c r="M462" s="37"/>
      <c r="N462" s="39" t="n">
        <v>38520</v>
      </c>
      <c r="O462" s="41" t="s">
        <v>23</v>
      </c>
      <c r="P462" s="41" t="s">
        <v>105</v>
      </c>
      <c r="Q462" s="42"/>
      <c r="R462" s="41"/>
      <c r="S462" s="42"/>
      <c r="T462" s="41"/>
    </row>
    <row r="463" customFormat="false" ht="13.5" hidden="false" customHeight="true" outlineLevel="0" collapsed="false">
      <c r="A463" s="37" t="n">
        <v>460</v>
      </c>
      <c r="B463" s="37" t="n">
        <v>2192</v>
      </c>
      <c r="C463" s="38" t="s">
        <v>2196</v>
      </c>
      <c r="D463" s="37" t="s">
        <v>100</v>
      </c>
      <c r="E463" s="39" t="n">
        <v>23178</v>
      </c>
      <c r="F463" s="37" t="n">
        <f aca="true">IFERROR(DATEDIF(E463,TODAY(),"Y"),"")</f>
        <v>63</v>
      </c>
      <c r="G463" s="40" t="s">
        <v>2197</v>
      </c>
      <c r="H463" s="40"/>
      <c r="I463" s="38" t="s">
        <v>2198</v>
      </c>
      <c r="J463" s="38" t="s">
        <v>15</v>
      </c>
      <c r="K463" s="38" t="s">
        <v>2199</v>
      </c>
      <c r="L463" s="38" t="s">
        <v>53</v>
      </c>
      <c r="M463" s="37"/>
      <c r="N463" s="39" t="n">
        <v>38520</v>
      </c>
      <c r="O463" s="41" t="s">
        <v>23</v>
      </c>
      <c r="P463" s="41" t="s">
        <v>105</v>
      </c>
      <c r="Q463" s="42"/>
      <c r="R463" s="41"/>
      <c r="S463" s="42"/>
      <c r="T463" s="41"/>
    </row>
    <row r="464" customFormat="false" ht="13.5" hidden="false" customHeight="true" outlineLevel="0" collapsed="false">
      <c r="A464" s="37" t="n">
        <v>461</v>
      </c>
      <c r="B464" s="37" t="n">
        <v>2197</v>
      </c>
      <c r="C464" s="38" t="s">
        <v>2200</v>
      </c>
      <c r="D464" s="37" t="s">
        <v>100</v>
      </c>
      <c r="E464" s="39" t="n">
        <v>22857</v>
      </c>
      <c r="F464" s="37" t="n">
        <f aca="true">IFERROR(DATEDIF(E464,TODAY(),"Y"),"")</f>
        <v>64</v>
      </c>
      <c r="G464" s="40" t="s">
        <v>2201</v>
      </c>
      <c r="H464" s="40" t="s">
        <v>2202</v>
      </c>
      <c r="I464" s="38" t="s">
        <v>2203</v>
      </c>
      <c r="J464" s="38" t="s">
        <v>15</v>
      </c>
      <c r="K464" s="38" t="s">
        <v>2204</v>
      </c>
      <c r="L464" s="38" t="s">
        <v>55</v>
      </c>
      <c r="M464" s="37" t="s">
        <v>120</v>
      </c>
      <c r="N464" s="39" t="n">
        <v>38520</v>
      </c>
      <c r="O464" s="41" t="s">
        <v>23</v>
      </c>
      <c r="P464" s="41" t="s">
        <v>105</v>
      </c>
      <c r="Q464" s="42"/>
      <c r="R464" s="41"/>
      <c r="S464" s="42"/>
      <c r="T464" s="41"/>
    </row>
    <row r="465" customFormat="false" ht="13.5" hidden="false" customHeight="true" outlineLevel="0" collapsed="false">
      <c r="A465" s="37" t="n">
        <v>462</v>
      </c>
      <c r="B465" s="37" t="n">
        <v>2198</v>
      </c>
      <c r="C465" s="38" t="s">
        <v>2205</v>
      </c>
      <c r="D465" s="37" t="s">
        <v>100</v>
      </c>
      <c r="E465" s="39" t="n">
        <v>23136</v>
      </c>
      <c r="F465" s="37" t="n">
        <f aca="true">IFERROR(DATEDIF(E465,TODAY(),"Y"),"")</f>
        <v>63</v>
      </c>
      <c r="G465" s="40" t="s">
        <v>2206</v>
      </c>
      <c r="H465" s="40" t="s">
        <v>2207</v>
      </c>
      <c r="I465" s="38" t="s">
        <v>2208</v>
      </c>
      <c r="J465" s="38" t="s">
        <v>15</v>
      </c>
      <c r="K465" s="38" t="s">
        <v>2209</v>
      </c>
      <c r="L465" s="38" t="s">
        <v>47</v>
      </c>
      <c r="M465" s="37"/>
      <c r="N465" s="39" t="n">
        <v>38520</v>
      </c>
      <c r="O465" s="41" t="s">
        <v>23</v>
      </c>
      <c r="P465" s="41" t="s">
        <v>105</v>
      </c>
      <c r="Q465" s="42"/>
      <c r="R465" s="41"/>
      <c r="S465" s="42"/>
      <c r="T465" s="41"/>
    </row>
    <row r="466" customFormat="false" ht="13.5" hidden="false" customHeight="true" outlineLevel="0" collapsed="false">
      <c r="A466" s="37" t="n">
        <v>463</v>
      </c>
      <c r="B466" s="37" t="n">
        <v>2200</v>
      </c>
      <c r="C466" s="38" t="s">
        <v>2210</v>
      </c>
      <c r="D466" s="37" t="s">
        <v>100</v>
      </c>
      <c r="E466" s="39" t="n">
        <v>27403</v>
      </c>
      <c r="F466" s="37" t="n">
        <f aca="true">IFERROR(DATEDIF(E466,TODAY(),"Y"),"")</f>
        <v>51</v>
      </c>
      <c r="G466" s="40" t="s">
        <v>2211</v>
      </c>
      <c r="H466" s="40" t="s">
        <v>2212</v>
      </c>
      <c r="I466" s="38" t="s">
        <v>2213</v>
      </c>
      <c r="J466" s="38" t="s">
        <v>16</v>
      </c>
      <c r="K466" s="38" t="s">
        <v>2214</v>
      </c>
      <c r="L466" s="38" t="s">
        <v>55</v>
      </c>
      <c r="M466" s="37" t="s">
        <v>177</v>
      </c>
      <c r="N466" s="39" t="n">
        <v>38520</v>
      </c>
      <c r="O466" s="41" t="s">
        <v>23</v>
      </c>
      <c r="P466" s="41" t="s">
        <v>105</v>
      </c>
      <c r="Q466" s="42"/>
      <c r="R466" s="41"/>
      <c r="S466" s="42"/>
      <c r="T466" s="41"/>
    </row>
    <row r="467" customFormat="false" ht="13.5" hidden="false" customHeight="true" outlineLevel="0" collapsed="false">
      <c r="A467" s="37" t="n">
        <v>464</v>
      </c>
      <c r="B467" s="37" t="n">
        <v>2201</v>
      </c>
      <c r="C467" s="38" t="s">
        <v>2215</v>
      </c>
      <c r="D467" s="37" t="s">
        <v>100</v>
      </c>
      <c r="E467" s="39" t="n">
        <v>17594</v>
      </c>
      <c r="F467" s="37" t="n">
        <f aca="true">IFERROR(DATEDIF(E467,TODAY(),"Y"),"")</f>
        <v>78</v>
      </c>
      <c r="G467" s="40" t="s">
        <v>2216</v>
      </c>
      <c r="H467" s="40"/>
      <c r="I467" s="38"/>
      <c r="J467" s="38" t="s">
        <v>15</v>
      </c>
      <c r="K467" s="38" t="s">
        <v>2217</v>
      </c>
      <c r="L467" s="38" t="s">
        <v>46</v>
      </c>
      <c r="M467" s="37"/>
      <c r="N467" s="39" t="n">
        <v>38520</v>
      </c>
      <c r="O467" s="41" t="s">
        <v>23</v>
      </c>
      <c r="P467" s="41" t="s">
        <v>105</v>
      </c>
      <c r="Q467" s="42"/>
      <c r="R467" s="41"/>
      <c r="S467" s="42"/>
      <c r="T467" s="41"/>
    </row>
    <row r="468" customFormat="false" ht="13.5" hidden="false" customHeight="true" outlineLevel="0" collapsed="false">
      <c r="A468" s="37" t="n">
        <v>465</v>
      </c>
      <c r="B468" s="37" t="n">
        <v>2204</v>
      </c>
      <c r="C468" s="38" t="s">
        <v>2218</v>
      </c>
      <c r="D468" s="37" t="s">
        <v>100</v>
      </c>
      <c r="E468" s="39" t="n">
        <v>25944</v>
      </c>
      <c r="F468" s="37" t="n">
        <f aca="true">IFERROR(DATEDIF(E468,TODAY(),"Y"),"")</f>
        <v>55</v>
      </c>
      <c r="G468" s="40" t="s">
        <v>2219</v>
      </c>
      <c r="H468" s="40"/>
      <c r="I468" s="38" t="s">
        <v>2220</v>
      </c>
      <c r="J468" s="38"/>
      <c r="K468" s="38" t="s">
        <v>2221</v>
      </c>
      <c r="L468" s="38" t="s">
        <v>53</v>
      </c>
      <c r="M468" s="37"/>
      <c r="N468" s="39" t="n">
        <v>38520</v>
      </c>
      <c r="O468" s="41" t="s">
        <v>23</v>
      </c>
      <c r="P468" s="41" t="s">
        <v>105</v>
      </c>
      <c r="Q468" s="42"/>
      <c r="R468" s="41"/>
      <c r="S468" s="42"/>
      <c r="T468" s="41"/>
    </row>
    <row r="469" customFormat="false" ht="13.5" hidden="false" customHeight="true" outlineLevel="0" collapsed="false">
      <c r="A469" s="37" t="n">
        <v>466</v>
      </c>
      <c r="B469" s="37" t="n">
        <v>2206</v>
      </c>
      <c r="C469" s="38" t="s">
        <v>2222</v>
      </c>
      <c r="D469" s="37" t="s">
        <v>100</v>
      </c>
      <c r="E469" s="39" t="n">
        <v>19944</v>
      </c>
      <c r="F469" s="37" t="n">
        <f aca="true">IFERROR(DATEDIF(E469,TODAY(),"Y"),"")</f>
        <v>72</v>
      </c>
      <c r="G469" s="40" t="s">
        <v>2223</v>
      </c>
      <c r="H469" s="40"/>
      <c r="I469" s="38" t="s">
        <v>2224</v>
      </c>
      <c r="J469" s="38" t="s">
        <v>15</v>
      </c>
      <c r="K469" s="38" t="s">
        <v>2225</v>
      </c>
      <c r="L469" s="38" t="s">
        <v>53</v>
      </c>
      <c r="M469" s="37"/>
      <c r="N469" s="39" t="n">
        <v>38520</v>
      </c>
      <c r="O469" s="41" t="s">
        <v>23</v>
      </c>
      <c r="P469" s="41" t="s">
        <v>105</v>
      </c>
      <c r="Q469" s="42"/>
      <c r="R469" s="41"/>
      <c r="S469" s="42"/>
      <c r="T469" s="41"/>
    </row>
    <row r="470" customFormat="false" ht="13.5" hidden="false" customHeight="true" outlineLevel="0" collapsed="false">
      <c r="A470" s="37" t="n">
        <v>467</v>
      </c>
      <c r="B470" s="37" t="n">
        <v>2208</v>
      </c>
      <c r="C470" s="38" t="s">
        <v>2226</v>
      </c>
      <c r="D470" s="37" t="s">
        <v>100</v>
      </c>
      <c r="E470" s="39" t="n">
        <v>29916</v>
      </c>
      <c r="F470" s="37" t="n">
        <f aca="true">IFERROR(DATEDIF(E470,TODAY(),"Y"),"")</f>
        <v>44</v>
      </c>
      <c r="G470" s="40" t="s">
        <v>2227</v>
      </c>
      <c r="H470" s="40" t="s">
        <v>2228</v>
      </c>
      <c r="I470" s="38" t="s">
        <v>2229</v>
      </c>
      <c r="J470" s="38" t="s">
        <v>16</v>
      </c>
      <c r="K470" s="38" t="s">
        <v>2230</v>
      </c>
      <c r="L470" s="38" t="s">
        <v>48</v>
      </c>
      <c r="M470" s="37"/>
      <c r="N470" s="39" t="n">
        <v>38520</v>
      </c>
      <c r="O470" s="41" t="s">
        <v>23</v>
      </c>
      <c r="P470" s="41" t="s">
        <v>105</v>
      </c>
      <c r="Q470" s="42"/>
      <c r="R470" s="41"/>
      <c r="S470" s="42"/>
      <c r="T470" s="41"/>
    </row>
    <row r="471" customFormat="false" ht="13.5" hidden="false" customHeight="true" outlineLevel="0" collapsed="false">
      <c r="A471" s="37" t="n">
        <v>468</v>
      </c>
      <c r="B471" s="37" t="n">
        <v>2209</v>
      </c>
      <c r="C471" s="38" t="s">
        <v>2231</v>
      </c>
      <c r="D471" s="37" t="s">
        <v>100</v>
      </c>
      <c r="E471" s="39" t="n">
        <v>26281</v>
      </c>
      <c r="F471" s="37" t="n">
        <f aca="true">IFERROR(DATEDIF(E471,TODAY(),"Y"),"")</f>
        <v>54</v>
      </c>
      <c r="G471" s="40" t="s">
        <v>2232</v>
      </c>
      <c r="H471" s="40"/>
      <c r="I471" s="38" t="s">
        <v>2233</v>
      </c>
      <c r="J471" s="38" t="s">
        <v>16</v>
      </c>
      <c r="K471" s="38" t="s">
        <v>2234</v>
      </c>
      <c r="L471" s="38" t="s">
        <v>55</v>
      </c>
      <c r="M471" s="37" t="s">
        <v>104</v>
      </c>
      <c r="N471" s="39" t="n">
        <v>38520</v>
      </c>
      <c r="O471" s="41" t="s">
        <v>23</v>
      </c>
      <c r="P471" s="41" t="s">
        <v>105</v>
      </c>
      <c r="Q471" s="42"/>
      <c r="R471" s="41"/>
      <c r="S471" s="42"/>
      <c r="T471" s="41"/>
    </row>
    <row r="472" customFormat="false" ht="13.5" hidden="false" customHeight="true" outlineLevel="0" collapsed="false">
      <c r="A472" s="37" t="n">
        <v>469</v>
      </c>
      <c r="B472" s="37" t="n">
        <v>2214</v>
      </c>
      <c r="C472" s="38" t="s">
        <v>2235</v>
      </c>
      <c r="D472" s="37" t="s">
        <v>100</v>
      </c>
      <c r="E472" s="39" t="n">
        <v>27399</v>
      </c>
      <c r="F472" s="37" t="n">
        <f aca="true">IFERROR(DATEDIF(E472,TODAY(),"Y"),"")</f>
        <v>51</v>
      </c>
      <c r="G472" s="40" t="s">
        <v>2236</v>
      </c>
      <c r="H472" s="40"/>
      <c r="I472" s="38"/>
      <c r="J472" s="38" t="s">
        <v>16</v>
      </c>
      <c r="K472" s="38" t="s">
        <v>2237</v>
      </c>
      <c r="L472" s="38" t="s">
        <v>50</v>
      </c>
      <c r="M472" s="37"/>
      <c r="N472" s="39" t="n">
        <v>38520</v>
      </c>
      <c r="O472" s="41" t="s">
        <v>23</v>
      </c>
      <c r="P472" s="41" t="s">
        <v>105</v>
      </c>
      <c r="Q472" s="42"/>
      <c r="R472" s="41"/>
      <c r="S472" s="42"/>
      <c r="T472" s="41"/>
    </row>
    <row r="473" customFormat="false" ht="13.5" hidden="false" customHeight="true" outlineLevel="0" collapsed="false">
      <c r="A473" s="37" t="n">
        <v>470</v>
      </c>
      <c r="B473" s="37" t="n">
        <v>2219</v>
      </c>
      <c r="C473" s="38" t="s">
        <v>2238</v>
      </c>
      <c r="D473" s="37" t="s">
        <v>100</v>
      </c>
      <c r="E473" s="39" t="n">
        <v>24631</v>
      </c>
      <c r="F473" s="37" t="n">
        <f aca="true">IFERROR(DATEDIF(E473,TODAY(),"Y"),"")</f>
        <v>59</v>
      </c>
      <c r="G473" s="40" t="s">
        <v>2239</v>
      </c>
      <c r="H473" s="40" t="s">
        <v>2240</v>
      </c>
      <c r="I473" s="38" t="s">
        <v>2241</v>
      </c>
      <c r="J473" s="38" t="s">
        <v>15</v>
      </c>
      <c r="K473" s="38" t="s">
        <v>2242</v>
      </c>
      <c r="L473" s="38" t="s">
        <v>47</v>
      </c>
      <c r="M473" s="37" t="s">
        <v>104</v>
      </c>
      <c r="N473" s="39" t="n">
        <v>38520</v>
      </c>
      <c r="O473" s="41" t="s">
        <v>23</v>
      </c>
      <c r="P473" s="41" t="s">
        <v>105</v>
      </c>
      <c r="Q473" s="42"/>
      <c r="R473" s="41"/>
      <c r="S473" s="42"/>
      <c r="T473" s="41"/>
    </row>
    <row r="474" customFormat="false" ht="13.5" hidden="false" customHeight="true" outlineLevel="0" collapsed="false">
      <c r="A474" s="37" t="n">
        <v>471</v>
      </c>
      <c r="B474" s="37" t="n">
        <v>2221</v>
      </c>
      <c r="C474" s="38" t="s">
        <v>2243</v>
      </c>
      <c r="D474" s="37" t="s">
        <v>100</v>
      </c>
      <c r="E474" s="39" t="n">
        <v>23528</v>
      </c>
      <c r="F474" s="37" t="n">
        <f aca="true">IFERROR(DATEDIF(E474,TODAY(),"Y"),"")</f>
        <v>62</v>
      </c>
      <c r="G474" s="40" t="s">
        <v>2244</v>
      </c>
      <c r="H474" s="40" t="s">
        <v>2245</v>
      </c>
      <c r="I474" s="38" t="s">
        <v>2246</v>
      </c>
      <c r="J474" s="38" t="s">
        <v>15</v>
      </c>
      <c r="K474" s="38" t="s">
        <v>2247</v>
      </c>
      <c r="L474" s="43" t="s">
        <v>58</v>
      </c>
      <c r="M474" s="37"/>
      <c r="N474" s="39" t="n">
        <v>38520</v>
      </c>
      <c r="O474" s="41" t="s">
        <v>23</v>
      </c>
      <c r="P474" s="41" t="s">
        <v>105</v>
      </c>
      <c r="Q474" s="42"/>
      <c r="R474" s="41"/>
      <c r="S474" s="42"/>
      <c r="T474" s="41"/>
    </row>
    <row r="475" customFormat="false" ht="13.5" hidden="false" customHeight="true" outlineLevel="0" collapsed="false">
      <c r="A475" s="37" t="n">
        <v>472</v>
      </c>
      <c r="B475" s="37" t="n">
        <v>2225</v>
      </c>
      <c r="C475" s="38" t="s">
        <v>2248</v>
      </c>
      <c r="D475" s="37" t="s">
        <v>100</v>
      </c>
      <c r="E475" s="39" t="n">
        <v>27711</v>
      </c>
      <c r="F475" s="37" t="n">
        <f aca="true">IFERROR(DATEDIF(E475,TODAY(),"Y"),"")</f>
        <v>50</v>
      </c>
      <c r="G475" s="40" t="s">
        <v>2249</v>
      </c>
      <c r="H475" s="40" t="s">
        <v>2250</v>
      </c>
      <c r="I475" s="38" t="s">
        <v>2251</v>
      </c>
      <c r="J475" s="38" t="s">
        <v>18</v>
      </c>
      <c r="K475" s="38" t="s">
        <v>2252</v>
      </c>
      <c r="L475" s="38" t="s">
        <v>47</v>
      </c>
      <c r="M475" s="37" t="s">
        <v>177</v>
      </c>
      <c r="N475" s="39" t="n">
        <v>38520</v>
      </c>
      <c r="O475" s="41" t="s">
        <v>23</v>
      </c>
      <c r="P475" s="41" t="s">
        <v>105</v>
      </c>
      <c r="Q475" s="42"/>
      <c r="R475" s="41"/>
      <c r="S475" s="42"/>
      <c r="T475" s="41"/>
    </row>
    <row r="476" customFormat="false" ht="13.5" hidden="false" customHeight="true" outlineLevel="0" collapsed="false">
      <c r="A476" s="37" t="n">
        <v>473</v>
      </c>
      <c r="B476" s="37" t="n">
        <v>2226</v>
      </c>
      <c r="C476" s="38" t="s">
        <v>2253</v>
      </c>
      <c r="D476" s="37" t="s">
        <v>100</v>
      </c>
      <c r="E476" s="39" t="n">
        <v>18404</v>
      </c>
      <c r="F476" s="37" t="n">
        <f aca="true">IFERROR(DATEDIF(E476,TODAY(),"Y"),"")</f>
        <v>76</v>
      </c>
      <c r="G476" s="40" t="s">
        <v>2254</v>
      </c>
      <c r="H476" s="40" t="s">
        <v>2255</v>
      </c>
      <c r="I476" s="38" t="s">
        <v>2256</v>
      </c>
      <c r="J476" s="38" t="s">
        <v>18</v>
      </c>
      <c r="K476" s="38" t="s">
        <v>2257</v>
      </c>
      <c r="L476" s="38" t="s">
        <v>55</v>
      </c>
      <c r="M476" s="37"/>
      <c r="N476" s="39" t="n">
        <v>38520</v>
      </c>
      <c r="O476" s="41" t="s">
        <v>23</v>
      </c>
      <c r="P476" s="41" t="s">
        <v>105</v>
      </c>
      <c r="Q476" s="42"/>
      <c r="R476" s="41"/>
      <c r="S476" s="42"/>
      <c r="T476" s="41"/>
    </row>
    <row r="477" customFormat="false" ht="13.5" hidden="false" customHeight="true" outlineLevel="0" collapsed="false">
      <c r="A477" s="37" t="n">
        <v>474</v>
      </c>
      <c r="B477" s="37" t="n">
        <v>2227</v>
      </c>
      <c r="C477" s="38" t="s">
        <v>2258</v>
      </c>
      <c r="D477" s="37" t="s">
        <v>100</v>
      </c>
      <c r="E477" s="39" t="n">
        <v>22849</v>
      </c>
      <c r="F477" s="37" t="n">
        <f aca="true">IFERROR(DATEDIF(E477,TODAY(),"Y"),"")</f>
        <v>64</v>
      </c>
      <c r="G477" s="40" t="s">
        <v>2259</v>
      </c>
      <c r="H477" s="40" t="s">
        <v>2260</v>
      </c>
      <c r="I477" s="38" t="s">
        <v>2261</v>
      </c>
      <c r="J477" s="38" t="s">
        <v>18</v>
      </c>
      <c r="K477" s="38" t="s">
        <v>2262</v>
      </c>
      <c r="L477" s="38" t="s">
        <v>55</v>
      </c>
      <c r="M477" s="37" t="s">
        <v>120</v>
      </c>
      <c r="N477" s="39" t="n">
        <v>38520</v>
      </c>
      <c r="O477" s="41" t="s">
        <v>23</v>
      </c>
      <c r="P477" s="41" t="s">
        <v>105</v>
      </c>
      <c r="Q477" s="42"/>
      <c r="R477" s="41"/>
      <c r="S477" s="42"/>
      <c r="T477" s="41"/>
    </row>
    <row r="478" customFormat="false" ht="13.5" hidden="false" customHeight="true" outlineLevel="0" collapsed="false">
      <c r="A478" s="37" t="n">
        <v>475</v>
      </c>
      <c r="B478" s="37" t="n">
        <v>2230</v>
      </c>
      <c r="C478" s="38" t="s">
        <v>2263</v>
      </c>
      <c r="D478" s="37" t="s">
        <v>100</v>
      </c>
      <c r="E478" s="39" t="n">
        <v>21145</v>
      </c>
      <c r="F478" s="37" t="n">
        <f aca="true">IFERROR(DATEDIF(E478,TODAY(),"Y"),"")</f>
        <v>68</v>
      </c>
      <c r="G478" s="40" t="s">
        <v>2264</v>
      </c>
      <c r="H478" s="40"/>
      <c r="I478" s="38" t="s">
        <v>2265</v>
      </c>
      <c r="J478" s="38" t="s">
        <v>15</v>
      </c>
      <c r="K478" s="38" t="s">
        <v>2266</v>
      </c>
      <c r="L478" s="38" t="s">
        <v>55</v>
      </c>
      <c r="M478" s="37"/>
      <c r="N478" s="39" t="n">
        <v>38520</v>
      </c>
      <c r="O478" s="41" t="s">
        <v>23</v>
      </c>
      <c r="P478" s="41" t="s">
        <v>105</v>
      </c>
      <c r="Q478" s="42"/>
      <c r="R478" s="41"/>
      <c r="S478" s="42"/>
      <c r="T478" s="41"/>
    </row>
    <row r="479" customFormat="false" ht="13.5" hidden="false" customHeight="true" outlineLevel="0" collapsed="false">
      <c r="A479" s="37" t="n">
        <v>476</v>
      </c>
      <c r="B479" s="37" t="n">
        <v>2232</v>
      </c>
      <c r="C479" s="38" t="s">
        <v>2267</v>
      </c>
      <c r="D479" s="37" t="s">
        <v>100</v>
      </c>
      <c r="E479" s="39" t="n">
        <v>22235</v>
      </c>
      <c r="F479" s="37" t="n">
        <f aca="true">IFERROR(DATEDIF(E479,TODAY(),"Y"),"")</f>
        <v>65</v>
      </c>
      <c r="G479" s="40" t="s">
        <v>2268</v>
      </c>
      <c r="H479" s="40"/>
      <c r="I479" s="38" t="s">
        <v>2269</v>
      </c>
      <c r="J479" s="38" t="s">
        <v>16</v>
      </c>
      <c r="K479" s="38" t="s">
        <v>2270</v>
      </c>
      <c r="L479" s="38" t="s">
        <v>55</v>
      </c>
      <c r="M479" s="37"/>
      <c r="N479" s="39" t="n">
        <v>38520</v>
      </c>
      <c r="O479" s="41" t="s">
        <v>23</v>
      </c>
      <c r="P479" s="41" t="s">
        <v>105</v>
      </c>
      <c r="Q479" s="42"/>
      <c r="R479" s="41"/>
      <c r="S479" s="42"/>
      <c r="T479" s="41"/>
    </row>
    <row r="480" customFormat="false" ht="13.5" hidden="false" customHeight="true" outlineLevel="0" collapsed="false">
      <c r="A480" s="37" t="n">
        <v>477</v>
      </c>
      <c r="B480" s="37" t="n">
        <v>2235</v>
      </c>
      <c r="C480" s="38" t="s">
        <v>2271</v>
      </c>
      <c r="D480" s="37" t="s">
        <v>100</v>
      </c>
      <c r="E480" s="39" t="n">
        <v>18413</v>
      </c>
      <c r="F480" s="37" t="n">
        <f aca="true">IFERROR(DATEDIF(E480,TODAY(),"Y"),"")</f>
        <v>76</v>
      </c>
      <c r="G480" s="40" t="s">
        <v>2272</v>
      </c>
      <c r="H480" s="40"/>
      <c r="I480" s="38" t="s">
        <v>2273</v>
      </c>
      <c r="J480" s="38" t="s">
        <v>16</v>
      </c>
      <c r="K480" s="38" t="s">
        <v>2274</v>
      </c>
      <c r="L480" s="43" t="s">
        <v>58</v>
      </c>
      <c r="M480" s="37"/>
      <c r="N480" s="39" t="n">
        <v>38520</v>
      </c>
      <c r="O480" s="41" t="s">
        <v>23</v>
      </c>
      <c r="P480" s="41" t="s">
        <v>105</v>
      </c>
      <c r="Q480" s="42"/>
      <c r="R480" s="41"/>
      <c r="S480" s="42"/>
      <c r="T480" s="41"/>
    </row>
    <row r="481" customFormat="false" ht="13.5" hidden="false" customHeight="true" outlineLevel="0" collapsed="false">
      <c r="A481" s="37" t="n">
        <v>478</v>
      </c>
      <c r="B481" s="37" t="n">
        <v>2237</v>
      </c>
      <c r="C481" s="38" t="s">
        <v>2275</v>
      </c>
      <c r="D481" s="37" t="s">
        <v>100</v>
      </c>
      <c r="E481" s="39" t="n">
        <v>27901</v>
      </c>
      <c r="F481" s="37" t="n">
        <f aca="true">IFERROR(DATEDIF(E481,TODAY(),"Y"),"")</f>
        <v>50</v>
      </c>
      <c r="G481" s="40" t="s">
        <v>2276</v>
      </c>
      <c r="H481" s="40" t="s">
        <v>2277</v>
      </c>
      <c r="I481" s="38" t="s">
        <v>2278</v>
      </c>
      <c r="J481" s="38" t="s">
        <v>24</v>
      </c>
      <c r="K481" s="38" t="s">
        <v>2279</v>
      </c>
      <c r="L481" s="38" t="s">
        <v>47</v>
      </c>
      <c r="M481" s="37"/>
      <c r="N481" s="39" t="n">
        <v>38520</v>
      </c>
      <c r="O481" s="41" t="s">
        <v>23</v>
      </c>
      <c r="P481" s="41" t="s">
        <v>105</v>
      </c>
      <c r="Q481" s="42"/>
      <c r="R481" s="41"/>
      <c r="S481" s="42"/>
      <c r="T481" s="41"/>
    </row>
    <row r="482" customFormat="false" ht="13.5" hidden="false" customHeight="true" outlineLevel="0" collapsed="false">
      <c r="A482" s="37" t="n">
        <v>479</v>
      </c>
      <c r="B482" s="37" t="n">
        <v>2250</v>
      </c>
      <c r="C482" s="38" t="s">
        <v>2280</v>
      </c>
      <c r="D482" s="37" t="s">
        <v>100</v>
      </c>
      <c r="E482" s="39" t="n">
        <v>25310</v>
      </c>
      <c r="F482" s="37" t="n">
        <f aca="true">IFERROR(DATEDIF(E482,TODAY(),"Y"),"")</f>
        <v>57</v>
      </c>
      <c r="G482" s="40" t="s">
        <v>2281</v>
      </c>
      <c r="H482" s="40" t="s">
        <v>2282</v>
      </c>
      <c r="I482" s="38" t="s">
        <v>2283</v>
      </c>
      <c r="J482" s="38" t="s">
        <v>15</v>
      </c>
      <c r="K482" s="38" t="s">
        <v>2284</v>
      </c>
      <c r="L482" s="38" t="s">
        <v>53</v>
      </c>
      <c r="M482" s="37"/>
      <c r="N482" s="39" t="n">
        <v>38520</v>
      </c>
      <c r="O482" s="41" t="s">
        <v>23</v>
      </c>
      <c r="P482" s="41" t="s">
        <v>105</v>
      </c>
      <c r="Q482" s="42"/>
      <c r="R482" s="41"/>
      <c r="S482" s="42"/>
      <c r="T482" s="41"/>
    </row>
    <row r="483" customFormat="false" ht="13.5" hidden="false" customHeight="true" outlineLevel="0" collapsed="false">
      <c r="A483" s="37" t="n">
        <v>480</v>
      </c>
      <c r="B483" s="37" t="n">
        <v>2251</v>
      </c>
      <c r="C483" s="38" t="s">
        <v>2285</v>
      </c>
      <c r="D483" s="37" t="s">
        <v>100</v>
      </c>
      <c r="E483" s="39" t="n">
        <v>20590</v>
      </c>
      <c r="F483" s="37" t="n">
        <f aca="true">IFERROR(DATEDIF(E483,TODAY(),"Y"),"")</f>
        <v>70</v>
      </c>
      <c r="G483" s="40" t="s">
        <v>2286</v>
      </c>
      <c r="H483" s="40"/>
      <c r="I483" s="38"/>
      <c r="J483" s="38"/>
      <c r="K483" s="38" t="s">
        <v>2287</v>
      </c>
      <c r="L483" s="38" t="s">
        <v>51</v>
      </c>
      <c r="M483" s="37"/>
      <c r="N483" s="39" t="n">
        <v>38520</v>
      </c>
      <c r="O483" s="41" t="s">
        <v>23</v>
      </c>
      <c r="P483" s="41" t="s">
        <v>105</v>
      </c>
      <c r="Q483" s="42"/>
      <c r="R483" s="41"/>
      <c r="S483" s="42"/>
      <c r="T483" s="41"/>
    </row>
    <row r="484" customFormat="false" ht="13.5" hidden="false" customHeight="true" outlineLevel="0" collapsed="false">
      <c r="A484" s="37" t="n">
        <v>481</v>
      </c>
      <c r="B484" s="37" t="n">
        <v>2252</v>
      </c>
      <c r="C484" s="38" t="s">
        <v>2288</v>
      </c>
      <c r="D484" s="37" t="s">
        <v>100</v>
      </c>
      <c r="E484" s="39" t="n">
        <v>23035</v>
      </c>
      <c r="F484" s="37" t="n">
        <f aca="true">IFERROR(DATEDIF(E484,TODAY(),"Y"),"")</f>
        <v>63</v>
      </c>
      <c r="G484" s="40" t="s">
        <v>2289</v>
      </c>
      <c r="H484" s="40" t="s">
        <v>2290</v>
      </c>
      <c r="I484" s="38" t="s">
        <v>2291</v>
      </c>
      <c r="J484" s="38" t="s">
        <v>15</v>
      </c>
      <c r="K484" s="38" t="s">
        <v>2292</v>
      </c>
      <c r="L484" s="38" t="s">
        <v>55</v>
      </c>
      <c r="M484" s="37" t="s">
        <v>104</v>
      </c>
      <c r="N484" s="39" t="n">
        <v>38520</v>
      </c>
      <c r="O484" s="41" t="s">
        <v>23</v>
      </c>
      <c r="P484" s="41" t="s">
        <v>105</v>
      </c>
      <c r="Q484" s="42"/>
      <c r="R484" s="41"/>
      <c r="S484" s="42"/>
      <c r="T484" s="41"/>
    </row>
    <row r="485" customFormat="false" ht="13.5" hidden="false" customHeight="true" outlineLevel="0" collapsed="false">
      <c r="A485" s="37" t="n">
        <v>482</v>
      </c>
      <c r="B485" s="37" t="n">
        <v>2253</v>
      </c>
      <c r="C485" s="38" t="s">
        <v>2293</v>
      </c>
      <c r="D485" s="37" t="s">
        <v>100</v>
      </c>
      <c r="E485" s="39" t="n">
        <v>22444</v>
      </c>
      <c r="F485" s="37" t="n">
        <f aca="true">IFERROR(DATEDIF(E485,TODAY(),"Y"),"")</f>
        <v>65</v>
      </c>
      <c r="G485" s="40" t="s">
        <v>2294</v>
      </c>
      <c r="H485" s="40"/>
      <c r="I485" s="38"/>
      <c r="J485" s="38" t="s">
        <v>16</v>
      </c>
      <c r="K485" s="38" t="s">
        <v>2295</v>
      </c>
      <c r="L485" s="38" t="s">
        <v>55</v>
      </c>
      <c r="M485" s="37"/>
      <c r="N485" s="39" t="n">
        <v>38520</v>
      </c>
      <c r="O485" s="41" t="s">
        <v>23</v>
      </c>
      <c r="P485" s="41" t="s">
        <v>105</v>
      </c>
      <c r="Q485" s="42"/>
      <c r="R485" s="41"/>
      <c r="S485" s="42"/>
      <c r="T485" s="41"/>
    </row>
    <row r="486" customFormat="false" ht="13.5" hidden="false" customHeight="true" outlineLevel="0" collapsed="false">
      <c r="A486" s="37" t="n">
        <v>483</v>
      </c>
      <c r="B486" s="37" t="n">
        <v>2254</v>
      </c>
      <c r="C486" s="38" t="s">
        <v>2296</v>
      </c>
      <c r="D486" s="37" t="s">
        <v>100</v>
      </c>
      <c r="E486" s="39" t="n">
        <v>24890</v>
      </c>
      <c r="F486" s="37" t="n">
        <f aca="true">IFERROR(DATEDIF(E486,TODAY(),"Y"),"")</f>
        <v>58</v>
      </c>
      <c r="G486" s="40" t="s">
        <v>2297</v>
      </c>
      <c r="H486" s="40" t="s">
        <v>2298</v>
      </c>
      <c r="I486" s="38" t="s">
        <v>2299</v>
      </c>
      <c r="J486" s="38" t="s">
        <v>15</v>
      </c>
      <c r="K486" s="38" t="s">
        <v>2300</v>
      </c>
      <c r="L486" s="38" t="s">
        <v>53</v>
      </c>
      <c r="M486" s="37" t="s">
        <v>177</v>
      </c>
      <c r="N486" s="39" t="n">
        <v>38520</v>
      </c>
      <c r="O486" s="41" t="s">
        <v>23</v>
      </c>
      <c r="P486" s="41" t="s">
        <v>105</v>
      </c>
      <c r="Q486" s="42"/>
      <c r="R486" s="41"/>
      <c r="S486" s="42"/>
      <c r="T486" s="41"/>
    </row>
    <row r="487" customFormat="false" ht="13.5" hidden="false" customHeight="true" outlineLevel="0" collapsed="false">
      <c r="A487" s="37" t="n">
        <v>484</v>
      </c>
      <c r="B487" s="37" t="n">
        <v>2255</v>
      </c>
      <c r="C487" s="38" t="s">
        <v>2301</v>
      </c>
      <c r="D487" s="37" t="s">
        <v>100</v>
      </c>
      <c r="E487" s="39" t="n">
        <v>23032</v>
      </c>
      <c r="F487" s="37" t="n">
        <f aca="true">IFERROR(DATEDIF(E487,TODAY(),"Y"),"")</f>
        <v>63</v>
      </c>
      <c r="G487" s="40" t="s">
        <v>2302</v>
      </c>
      <c r="H487" s="40" t="s">
        <v>2303</v>
      </c>
      <c r="I487" s="38" t="s">
        <v>2304</v>
      </c>
      <c r="J487" s="38" t="s">
        <v>15</v>
      </c>
      <c r="K487" s="38" t="s">
        <v>2305</v>
      </c>
      <c r="L487" s="38" t="s">
        <v>53</v>
      </c>
      <c r="M487" s="37" t="s">
        <v>104</v>
      </c>
      <c r="N487" s="39" t="n">
        <v>38520</v>
      </c>
      <c r="O487" s="41" t="s">
        <v>23</v>
      </c>
      <c r="P487" s="41" t="s">
        <v>105</v>
      </c>
      <c r="Q487" s="42"/>
      <c r="R487" s="41"/>
      <c r="S487" s="42"/>
      <c r="T487" s="41"/>
    </row>
    <row r="488" customFormat="false" ht="13.5" hidden="false" customHeight="true" outlineLevel="0" collapsed="false">
      <c r="A488" s="37" t="n">
        <v>485</v>
      </c>
      <c r="B488" s="37" t="n">
        <v>2256</v>
      </c>
      <c r="C488" s="38" t="s">
        <v>2306</v>
      </c>
      <c r="D488" s="37" t="s">
        <v>100</v>
      </c>
      <c r="E488" s="39" t="n">
        <v>22647</v>
      </c>
      <c r="F488" s="37" t="n">
        <f aca="true">IFERROR(DATEDIF(E488,TODAY(),"Y"),"")</f>
        <v>64</v>
      </c>
      <c r="G488" s="40" t="s">
        <v>2307</v>
      </c>
      <c r="H488" s="40"/>
      <c r="I488" s="38" t="s">
        <v>2308</v>
      </c>
      <c r="J488" s="38" t="s">
        <v>15</v>
      </c>
      <c r="K488" s="38" t="s">
        <v>2309</v>
      </c>
      <c r="L488" s="38" t="s">
        <v>49</v>
      </c>
      <c r="M488" s="37" t="s">
        <v>120</v>
      </c>
      <c r="N488" s="39" t="n">
        <v>38520</v>
      </c>
      <c r="O488" s="41" t="s">
        <v>23</v>
      </c>
      <c r="P488" s="41" t="s">
        <v>105</v>
      </c>
      <c r="Q488" s="42"/>
      <c r="R488" s="41"/>
      <c r="S488" s="42"/>
      <c r="T488" s="41"/>
    </row>
    <row r="489" customFormat="false" ht="13.5" hidden="false" customHeight="true" outlineLevel="0" collapsed="false">
      <c r="A489" s="37" t="n">
        <v>486</v>
      </c>
      <c r="B489" s="37" t="n">
        <v>2261</v>
      </c>
      <c r="C489" s="38" t="s">
        <v>2310</v>
      </c>
      <c r="D489" s="37" t="s">
        <v>100</v>
      </c>
      <c r="E489" s="39" t="n">
        <v>28135</v>
      </c>
      <c r="F489" s="37" t="n">
        <f aca="true">IFERROR(DATEDIF(E489,TODAY(),"Y"),"")</f>
        <v>49</v>
      </c>
      <c r="G489" s="40" t="s">
        <v>2311</v>
      </c>
      <c r="H489" s="40" t="s">
        <v>2312</v>
      </c>
      <c r="I489" s="38" t="s">
        <v>2313</v>
      </c>
      <c r="J489" s="38" t="s">
        <v>22</v>
      </c>
      <c r="K489" s="38" t="s">
        <v>2314</v>
      </c>
      <c r="L489" s="38" t="s">
        <v>46</v>
      </c>
      <c r="M489" s="37" t="s">
        <v>120</v>
      </c>
      <c r="N489" s="39" t="n">
        <v>38520</v>
      </c>
      <c r="O489" s="41" t="s">
        <v>23</v>
      </c>
      <c r="P489" s="41" t="s">
        <v>105</v>
      </c>
      <c r="Q489" s="42"/>
      <c r="R489" s="41"/>
      <c r="S489" s="42"/>
      <c r="T489" s="41"/>
    </row>
    <row r="490" customFormat="false" ht="13.5" hidden="false" customHeight="true" outlineLevel="0" collapsed="false">
      <c r="A490" s="37" t="n">
        <v>487</v>
      </c>
      <c r="B490" s="37" t="n">
        <v>2262</v>
      </c>
      <c r="C490" s="38" t="s">
        <v>2315</v>
      </c>
      <c r="D490" s="37" t="s">
        <v>100</v>
      </c>
      <c r="E490" s="39" t="n">
        <v>22092</v>
      </c>
      <c r="F490" s="37" t="n">
        <f aca="true">IFERROR(DATEDIF(E490,TODAY(),"Y"),"")</f>
        <v>66</v>
      </c>
      <c r="G490" s="40" t="s">
        <v>2316</v>
      </c>
      <c r="H490" s="40" t="s">
        <v>2317</v>
      </c>
      <c r="I490" s="38" t="s">
        <v>2318</v>
      </c>
      <c r="J490" s="38" t="s">
        <v>15</v>
      </c>
      <c r="K490" s="38" t="s">
        <v>2319</v>
      </c>
      <c r="L490" s="38" t="s">
        <v>57</v>
      </c>
      <c r="M490" s="37" t="s">
        <v>120</v>
      </c>
      <c r="N490" s="39" t="n">
        <v>38520</v>
      </c>
      <c r="O490" s="41" t="s">
        <v>23</v>
      </c>
      <c r="P490" s="41" t="s">
        <v>105</v>
      </c>
      <c r="Q490" s="42"/>
      <c r="R490" s="41"/>
      <c r="S490" s="42"/>
      <c r="T490" s="41"/>
    </row>
    <row r="491" customFormat="false" ht="13.5" hidden="false" customHeight="true" outlineLevel="0" collapsed="false">
      <c r="A491" s="37" t="n">
        <v>488</v>
      </c>
      <c r="B491" s="37" t="n">
        <v>2264</v>
      </c>
      <c r="C491" s="38" t="s">
        <v>2320</v>
      </c>
      <c r="D491" s="37" t="s">
        <v>100</v>
      </c>
      <c r="E491" s="39" t="n">
        <v>20234</v>
      </c>
      <c r="F491" s="37" t="n">
        <f aca="true">IFERROR(DATEDIF(E491,TODAY(),"Y"),"")</f>
        <v>71</v>
      </c>
      <c r="G491" s="40" t="s">
        <v>2321</v>
      </c>
      <c r="H491" s="40" t="s">
        <v>2322</v>
      </c>
      <c r="I491" s="38" t="s">
        <v>2323</v>
      </c>
      <c r="J491" s="38" t="s">
        <v>15</v>
      </c>
      <c r="K491" s="38" t="s">
        <v>2324</v>
      </c>
      <c r="L491" s="38" t="s">
        <v>54</v>
      </c>
      <c r="M491" s="37"/>
      <c r="N491" s="39" t="n">
        <v>38520</v>
      </c>
      <c r="O491" s="41" t="s">
        <v>23</v>
      </c>
      <c r="P491" s="41" t="s">
        <v>105</v>
      </c>
      <c r="Q491" s="42"/>
      <c r="R491" s="41"/>
      <c r="S491" s="42"/>
      <c r="T491" s="41"/>
    </row>
    <row r="492" customFormat="false" ht="13.5" hidden="false" customHeight="true" outlineLevel="0" collapsed="false">
      <c r="A492" s="37" t="n">
        <v>489</v>
      </c>
      <c r="B492" s="37" t="n">
        <v>2267</v>
      </c>
      <c r="C492" s="38" t="s">
        <v>2325</v>
      </c>
      <c r="D492" s="37" t="s">
        <v>100</v>
      </c>
      <c r="E492" s="39" t="n">
        <v>23512</v>
      </c>
      <c r="F492" s="37" t="n">
        <f aca="true">IFERROR(DATEDIF(E492,TODAY(),"Y"),"")</f>
        <v>62</v>
      </c>
      <c r="G492" s="40" t="s">
        <v>2326</v>
      </c>
      <c r="H492" s="40" t="s">
        <v>2327</v>
      </c>
      <c r="I492" s="38" t="s">
        <v>2328</v>
      </c>
      <c r="J492" s="38" t="s">
        <v>15</v>
      </c>
      <c r="K492" s="38" t="s">
        <v>2329</v>
      </c>
      <c r="L492" s="38" t="s">
        <v>48</v>
      </c>
      <c r="M492" s="37"/>
      <c r="N492" s="39" t="n">
        <v>38520</v>
      </c>
      <c r="O492" s="41" t="s">
        <v>23</v>
      </c>
      <c r="P492" s="41" t="s">
        <v>105</v>
      </c>
      <c r="Q492" s="42"/>
      <c r="R492" s="41"/>
      <c r="S492" s="42"/>
      <c r="T492" s="41"/>
    </row>
    <row r="493" customFormat="false" ht="13.5" hidden="false" customHeight="true" outlineLevel="0" collapsed="false">
      <c r="A493" s="37" t="n">
        <v>490</v>
      </c>
      <c r="B493" s="37" t="n">
        <v>2272</v>
      </c>
      <c r="C493" s="38" t="s">
        <v>2330</v>
      </c>
      <c r="D493" s="37" t="s">
        <v>100</v>
      </c>
      <c r="E493" s="39" t="n">
        <v>22051</v>
      </c>
      <c r="F493" s="37" t="n">
        <f aca="true">IFERROR(DATEDIF(E493,TODAY(),"Y"),"")</f>
        <v>66</v>
      </c>
      <c r="G493" s="40" t="s">
        <v>2331</v>
      </c>
      <c r="H493" s="40"/>
      <c r="I493" s="38" t="s">
        <v>2332</v>
      </c>
      <c r="J493" s="38" t="s">
        <v>15</v>
      </c>
      <c r="K493" s="38" t="s">
        <v>2333</v>
      </c>
      <c r="L493" s="38" t="s">
        <v>50</v>
      </c>
      <c r="M493" s="37"/>
      <c r="N493" s="39" t="n">
        <v>38520</v>
      </c>
      <c r="O493" s="41" t="s">
        <v>23</v>
      </c>
      <c r="P493" s="41" t="s">
        <v>105</v>
      </c>
      <c r="Q493" s="42"/>
      <c r="R493" s="41"/>
      <c r="S493" s="42"/>
      <c r="T493" s="41"/>
    </row>
    <row r="494" customFormat="false" ht="13.5" hidden="false" customHeight="true" outlineLevel="0" collapsed="false">
      <c r="A494" s="37" t="n">
        <v>491</v>
      </c>
      <c r="B494" s="37" t="n">
        <v>2274</v>
      </c>
      <c r="C494" s="38" t="s">
        <v>2334</v>
      </c>
      <c r="D494" s="37" t="s">
        <v>100</v>
      </c>
      <c r="E494" s="39" t="n">
        <v>17655</v>
      </c>
      <c r="F494" s="37" t="n">
        <f aca="true">IFERROR(DATEDIF(E494,TODAY(),"Y"),"")</f>
        <v>78</v>
      </c>
      <c r="G494" s="40" t="s">
        <v>2335</v>
      </c>
      <c r="H494" s="40"/>
      <c r="I494" s="38" t="s">
        <v>2336</v>
      </c>
      <c r="J494" s="38" t="s">
        <v>15</v>
      </c>
      <c r="K494" s="38" t="s">
        <v>2337</v>
      </c>
      <c r="L494" s="38" t="s">
        <v>53</v>
      </c>
      <c r="M494" s="37"/>
      <c r="N494" s="39" t="n">
        <v>38520</v>
      </c>
      <c r="O494" s="41" t="s">
        <v>23</v>
      </c>
      <c r="P494" s="41" t="s">
        <v>105</v>
      </c>
      <c r="Q494" s="42"/>
      <c r="R494" s="41"/>
      <c r="S494" s="42"/>
      <c r="T494" s="41"/>
    </row>
    <row r="495" customFormat="false" ht="13.5" hidden="false" customHeight="true" outlineLevel="0" collapsed="false">
      <c r="A495" s="37" t="n">
        <v>492</v>
      </c>
      <c r="B495" s="37" t="n">
        <v>2275</v>
      </c>
      <c r="C495" s="38" t="s">
        <v>2338</v>
      </c>
      <c r="D495" s="37" t="s">
        <v>100</v>
      </c>
      <c r="E495" s="39" t="n">
        <v>26433</v>
      </c>
      <c r="F495" s="37" t="n">
        <f aca="true">IFERROR(DATEDIF(E495,TODAY(),"Y"),"")</f>
        <v>54</v>
      </c>
      <c r="G495" s="40" t="s">
        <v>2339</v>
      </c>
      <c r="H495" s="40" t="s">
        <v>2340</v>
      </c>
      <c r="I495" s="38" t="s">
        <v>2341</v>
      </c>
      <c r="J495" s="38" t="s">
        <v>16</v>
      </c>
      <c r="K495" s="38" t="s">
        <v>2342</v>
      </c>
      <c r="L495" s="38" t="s">
        <v>55</v>
      </c>
      <c r="M495" s="37" t="s">
        <v>104</v>
      </c>
      <c r="N495" s="39" t="n">
        <v>38520</v>
      </c>
      <c r="O495" s="41" t="s">
        <v>23</v>
      </c>
      <c r="P495" s="41" t="s">
        <v>105</v>
      </c>
      <c r="Q495" s="42"/>
      <c r="R495" s="41"/>
      <c r="S495" s="42"/>
      <c r="T495" s="41"/>
    </row>
    <row r="496" customFormat="false" ht="13.5" hidden="false" customHeight="true" outlineLevel="0" collapsed="false">
      <c r="A496" s="37" t="n">
        <v>493</v>
      </c>
      <c r="B496" s="37" t="n">
        <v>2276</v>
      </c>
      <c r="C496" s="38" t="s">
        <v>2343</v>
      </c>
      <c r="D496" s="37" t="s">
        <v>100</v>
      </c>
      <c r="E496" s="39" t="n">
        <v>22721</v>
      </c>
      <c r="F496" s="37" t="n">
        <f aca="true">IFERROR(DATEDIF(E496,TODAY(),"Y"),"")</f>
        <v>64</v>
      </c>
      <c r="G496" s="40" t="s">
        <v>2344</v>
      </c>
      <c r="H496" s="40"/>
      <c r="I496" s="38"/>
      <c r="J496" s="38" t="s">
        <v>15</v>
      </c>
      <c r="K496" s="38" t="s">
        <v>2345</v>
      </c>
      <c r="L496" s="38" t="s">
        <v>46</v>
      </c>
      <c r="M496" s="37"/>
      <c r="N496" s="39" t="n">
        <v>38520</v>
      </c>
      <c r="O496" s="41" t="s">
        <v>23</v>
      </c>
      <c r="P496" s="41" t="s">
        <v>105</v>
      </c>
      <c r="Q496" s="42"/>
      <c r="R496" s="41"/>
      <c r="S496" s="42"/>
      <c r="T496" s="41"/>
    </row>
    <row r="497" customFormat="false" ht="13.5" hidden="false" customHeight="true" outlineLevel="0" collapsed="false">
      <c r="A497" s="37" t="n">
        <v>494</v>
      </c>
      <c r="B497" s="37" t="n">
        <v>2278</v>
      </c>
      <c r="C497" s="38" t="s">
        <v>2346</v>
      </c>
      <c r="D497" s="37" t="s">
        <v>100</v>
      </c>
      <c r="E497" s="39" t="n">
        <v>26419</v>
      </c>
      <c r="F497" s="37" t="n">
        <f aca="true">IFERROR(DATEDIF(E497,TODAY(),"Y"),"")</f>
        <v>54</v>
      </c>
      <c r="G497" s="40" t="s">
        <v>2347</v>
      </c>
      <c r="H497" s="40" t="s">
        <v>2348</v>
      </c>
      <c r="I497" s="38" t="s">
        <v>2349</v>
      </c>
      <c r="J497" s="38" t="s">
        <v>15</v>
      </c>
      <c r="K497" s="38" t="s">
        <v>2350</v>
      </c>
      <c r="L497" s="38" t="s">
        <v>50</v>
      </c>
      <c r="M497" s="37"/>
      <c r="N497" s="39" t="n">
        <v>38520</v>
      </c>
      <c r="O497" s="41" t="s">
        <v>23</v>
      </c>
      <c r="P497" s="41" t="s">
        <v>105</v>
      </c>
      <c r="Q497" s="42"/>
      <c r="R497" s="41"/>
      <c r="S497" s="42"/>
      <c r="T497" s="41"/>
    </row>
    <row r="498" customFormat="false" ht="13.5" hidden="false" customHeight="true" outlineLevel="0" collapsed="false">
      <c r="A498" s="37" t="n">
        <v>495</v>
      </c>
      <c r="B498" s="37" t="n">
        <v>2286</v>
      </c>
      <c r="C498" s="38" t="s">
        <v>2351</v>
      </c>
      <c r="D498" s="37" t="s">
        <v>100</v>
      </c>
      <c r="E498" s="39" t="n">
        <v>25708</v>
      </c>
      <c r="F498" s="37" t="n">
        <f aca="true">IFERROR(DATEDIF(E498,TODAY(),"Y"),"")</f>
        <v>56</v>
      </c>
      <c r="G498" s="40" t="s">
        <v>2352</v>
      </c>
      <c r="H498" s="40"/>
      <c r="I498" s="38" t="s">
        <v>2353</v>
      </c>
      <c r="J498" s="38" t="s">
        <v>15</v>
      </c>
      <c r="K498" s="38" t="s">
        <v>2354</v>
      </c>
      <c r="L498" s="38" t="s">
        <v>53</v>
      </c>
      <c r="M498" s="37"/>
      <c r="N498" s="39" t="n">
        <v>38520</v>
      </c>
      <c r="O498" s="41" t="s">
        <v>23</v>
      </c>
      <c r="P498" s="41" t="s">
        <v>105</v>
      </c>
      <c r="Q498" s="42"/>
      <c r="R498" s="41"/>
      <c r="S498" s="42"/>
      <c r="T498" s="41"/>
    </row>
    <row r="499" customFormat="false" ht="13.5" hidden="false" customHeight="true" outlineLevel="0" collapsed="false">
      <c r="A499" s="37" t="n">
        <v>496</v>
      </c>
      <c r="B499" s="37" t="n">
        <v>2289</v>
      </c>
      <c r="C499" s="38" t="s">
        <v>2355</v>
      </c>
      <c r="D499" s="37" t="s">
        <v>100</v>
      </c>
      <c r="E499" s="39" t="n">
        <v>28604</v>
      </c>
      <c r="F499" s="37" t="n">
        <f aca="true">IFERROR(DATEDIF(E499,TODAY(),"Y"),"")</f>
        <v>48</v>
      </c>
      <c r="G499" s="40" t="s">
        <v>2356</v>
      </c>
      <c r="H499" s="40"/>
      <c r="I499" s="38" t="s">
        <v>2357</v>
      </c>
      <c r="J499" s="38" t="s">
        <v>15</v>
      </c>
      <c r="K499" s="38" t="s">
        <v>2358</v>
      </c>
      <c r="L499" s="38" t="s">
        <v>47</v>
      </c>
      <c r="M499" s="37"/>
      <c r="N499" s="39" t="n">
        <v>38520</v>
      </c>
      <c r="O499" s="41" t="s">
        <v>23</v>
      </c>
      <c r="P499" s="41" t="s">
        <v>105</v>
      </c>
      <c r="Q499" s="42"/>
      <c r="R499" s="41"/>
      <c r="S499" s="42"/>
      <c r="T499" s="41"/>
    </row>
    <row r="500" customFormat="false" ht="13.5" hidden="false" customHeight="true" outlineLevel="0" collapsed="false">
      <c r="A500" s="37" t="n">
        <v>497</v>
      </c>
      <c r="B500" s="37" t="n">
        <v>2296</v>
      </c>
      <c r="C500" s="38" t="s">
        <v>2359</v>
      </c>
      <c r="D500" s="37" t="s">
        <v>100</v>
      </c>
      <c r="E500" s="39" t="n">
        <v>25329</v>
      </c>
      <c r="F500" s="37" t="n">
        <f aca="true">IFERROR(DATEDIF(E500,TODAY(),"Y"),"")</f>
        <v>57</v>
      </c>
      <c r="G500" s="40" t="s">
        <v>2360</v>
      </c>
      <c r="H500" s="40" t="s">
        <v>2361</v>
      </c>
      <c r="I500" s="38" t="s">
        <v>2362</v>
      </c>
      <c r="J500" s="38" t="s">
        <v>15</v>
      </c>
      <c r="K500" s="38" t="s">
        <v>2363</v>
      </c>
      <c r="L500" s="38" t="s">
        <v>46</v>
      </c>
      <c r="M500" s="37"/>
      <c r="N500" s="39" t="n">
        <v>38520</v>
      </c>
      <c r="O500" s="41" t="s">
        <v>23</v>
      </c>
      <c r="P500" s="41" t="s">
        <v>105</v>
      </c>
      <c r="Q500" s="42"/>
      <c r="R500" s="41"/>
      <c r="S500" s="42"/>
      <c r="T500" s="41"/>
    </row>
    <row r="501" customFormat="false" ht="13.5" hidden="false" customHeight="true" outlineLevel="0" collapsed="false">
      <c r="A501" s="37" t="n">
        <v>498</v>
      </c>
      <c r="B501" s="37" t="n">
        <v>2301</v>
      </c>
      <c r="C501" s="38" t="s">
        <v>2364</v>
      </c>
      <c r="D501" s="37" t="s">
        <v>100</v>
      </c>
      <c r="E501" s="39" t="n">
        <v>26804</v>
      </c>
      <c r="F501" s="37" t="n">
        <f aca="true">IFERROR(DATEDIF(E501,TODAY(),"Y"),"")</f>
        <v>53</v>
      </c>
      <c r="G501" s="40" t="s">
        <v>2365</v>
      </c>
      <c r="H501" s="40" t="s">
        <v>2366</v>
      </c>
      <c r="I501" s="38" t="s">
        <v>2367</v>
      </c>
      <c r="J501" s="38" t="s">
        <v>16</v>
      </c>
      <c r="K501" s="38" t="s">
        <v>2368</v>
      </c>
      <c r="L501" s="38" t="s">
        <v>51</v>
      </c>
      <c r="M501" s="37"/>
      <c r="N501" s="39" t="n">
        <v>38520</v>
      </c>
      <c r="O501" s="41" t="s">
        <v>23</v>
      </c>
      <c r="P501" s="41" t="s">
        <v>105</v>
      </c>
      <c r="Q501" s="42"/>
      <c r="R501" s="41"/>
      <c r="S501" s="42"/>
      <c r="T501" s="41"/>
    </row>
    <row r="502" customFormat="false" ht="13.5" hidden="false" customHeight="true" outlineLevel="0" collapsed="false">
      <c r="A502" s="37" t="n">
        <v>499</v>
      </c>
      <c r="B502" s="37" t="n">
        <v>2304</v>
      </c>
      <c r="C502" s="38" t="s">
        <v>2369</v>
      </c>
      <c r="D502" s="37" t="s">
        <v>100</v>
      </c>
      <c r="E502" s="39" t="n">
        <v>19340</v>
      </c>
      <c r="F502" s="37" t="n">
        <f aca="true">IFERROR(DATEDIF(E502,TODAY(),"Y"),"")</f>
        <v>73</v>
      </c>
      <c r="G502" s="40" t="s">
        <v>2370</v>
      </c>
      <c r="H502" s="40"/>
      <c r="I502" s="38" t="s">
        <v>2371</v>
      </c>
      <c r="J502" s="38" t="s">
        <v>18</v>
      </c>
      <c r="K502" s="38" t="s">
        <v>2372</v>
      </c>
      <c r="L502" s="38" t="s">
        <v>48</v>
      </c>
      <c r="M502" s="37"/>
      <c r="N502" s="39" t="n">
        <v>38520</v>
      </c>
      <c r="O502" s="41" t="s">
        <v>23</v>
      </c>
      <c r="P502" s="41" t="s">
        <v>105</v>
      </c>
      <c r="Q502" s="42"/>
      <c r="R502" s="41"/>
      <c r="S502" s="42"/>
      <c r="T502" s="41"/>
    </row>
    <row r="503" customFormat="false" ht="13.5" hidden="false" customHeight="true" outlineLevel="0" collapsed="false">
      <c r="A503" s="37" t="n">
        <v>500</v>
      </c>
      <c r="B503" s="37" t="n">
        <v>2305</v>
      </c>
      <c r="C503" s="38" t="s">
        <v>2373</v>
      </c>
      <c r="D503" s="37" t="s">
        <v>100</v>
      </c>
      <c r="E503" s="39" t="n">
        <v>26399</v>
      </c>
      <c r="F503" s="37" t="n">
        <f aca="true">IFERROR(DATEDIF(E503,TODAY(),"Y"),"")</f>
        <v>54</v>
      </c>
      <c r="G503" s="40" t="s">
        <v>2374</v>
      </c>
      <c r="H503" s="40" t="s">
        <v>2375</v>
      </c>
      <c r="I503" s="38" t="s">
        <v>2376</v>
      </c>
      <c r="J503" s="38" t="s">
        <v>15</v>
      </c>
      <c r="K503" s="38" t="s">
        <v>2377</v>
      </c>
      <c r="L503" s="38" t="s">
        <v>51</v>
      </c>
      <c r="M503" s="37"/>
      <c r="N503" s="39" t="n">
        <v>38520</v>
      </c>
      <c r="O503" s="41" t="s">
        <v>23</v>
      </c>
      <c r="P503" s="41" t="s">
        <v>105</v>
      </c>
      <c r="Q503" s="42"/>
      <c r="R503" s="41"/>
      <c r="S503" s="42"/>
      <c r="T503" s="41"/>
    </row>
    <row r="504" customFormat="false" ht="13.5" hidden="false" customHeight="true" outlineLevel="0" collapsed="false">
      <c r="A504" s="37" t="n">
        <v>501</v>
      </c>
      <c r="B504" s="37" t="n">
        <v>2306</v>
      </c>
      <c r="C504" s="38" t="s">
        <v>2378</v>
      </c>
      <c r="D504" s="37" t="s">
        <v>100</v>
      </c>
      <c r="E504" s="39" t="n">
        <v>19127</v>
      </c>
      <c r="F504" s="37" t="n">
        <f aca="true">IFERROR(DATEDIF(E504,TODAY(),"Y"),"")</f>
        <v>74</v>
      </c>
      <c r="G504" s="40" t="s">
        <v>2379</v>
      </c>
      <c r="H504" s="40" t="s">
        <v>2380</v>
      </c>
      <c r="I504" s="38" t="s">
        <v>2381</v>
      </c>
      <c r="J504" s="38" t="s">
        <v>15</v>
      </c>
      <c r="K504" s="38" t="s">
        <v>2382</v>
      </c>
      <c r="L504" s="38" t="s">
        <v>51</v>
      </c>
      <c r="M504" s="37" t="s">
        <v>120</v>
      </c>
      <c r="N504" s="39" t="n">
        <v>38520</v>
      </c>
      <c r="O504" s="41" t="s">
        <v>23</v>
      </c>
      <c r="P504" s="41" t="s">
        <v>105</v>
      </c>
      <c r="Q504" s="42"/>
      <c r="R504" s="41"/>
      <c r="S504" s="42"/>
      <c r="T504" s="41"/>
    </row>
    <row r="505" customFormat="false" ht="13.5" hidden="false" customHeight="true" outlineLevel="0" collapsed="false">
      <c r="A505" s="37" t="n">
        <v>502</v>
      </c>
      <c r="B505" s="37" t="n">
        <v>2308</v>
      </c>
      <c r="C505" s="38" t="s">
        <v>2383</v>
      </c>
      <c r="D505" s="37" t="s">
        <v>100</v>
      </c>
      <c r="E505" s="39" t="n">
        <v>27595</v>
      </c>
      <c r="F505" s="37" t="n">
        <f aca="true">IFERROR(DATEDIF(E505,TODAY(),"Y"),"")</f>
        <v>51</v>
      </c>
      <c r="G505" s="40" t="s">
        <v>2384</v>
      </c>
      <c r="H505" s="40" t="s">
        <v>2385</v>
      </c>
      <c r="I505" s="38" t="s">
        <v>2386</v>
      </c>
      <c r="J505" s="38" t="s">
        <v>15</v>
      </c>
      <c r="K505" s="38" t="s">
        <v>2387</v>
      </c>
      <c r="L505" s="38" t="s">
        <v>47</v>
      </c>
      <c r="M505" s="37"/>
      <c r="N505" s="39" t="n">
        <v>38520</v>
      </c>
      <c r="O505" s="41" t="s">
        <v>23</v>
      </c>
      <c r="P505" s="41" t="s">
        <v>105</v>
      </c>
      <c r="Q505" s="42"/>
      <c r="R505" s="41"/>
      <c r="S505" s="42"/>
      <c r="T505" s="41"/>
    </row>
    <row r="506" customFormat="false" ht="13.5" hidden="false" customHeight="true" outlineLevel="0" collapsed="false">
      <c r="A506" s="37" t="n">
        <v>503</v>
      </c>
      <c r="B506" s="37" t="n">
        <v>2313</v>
      </c>
      <c r="C506" s="38" t="s">
        <v>2388</v>
      </c>
      <c r="D506" s="37" t="s">
        <v>100</v>
      </c>
      <c r="E506" s="39" t="n">
        <v>24959</v>
      </c>
      <c r="F506" s="37" t="n">
        <f aca="true">IFERROR(DATEDIF(E506,TODAY(),"Y"),"")</f>
        <v>58</v>
      </c>
      <c r="G506" s="40" t="s">
        <v>2389</v>
      </c>
      <c r="H506" s="40" t="s">
        <v>2390</v>
      </c>
      <c r="I506" s="38" t="s">
        <v>2391</v>
      </c>
      <c r="J506" s="38" t="s">
        <v>16</v>
      </c>
      <c r="K506" s="38" t="s">
        <v>2392</v>
      </c>
      <c r="L506" s="38" t="s">
        <v>55</v>
      </c>
      <c r="M506" s="37"/>
      <c r="N506" s="39" t="n">
        <v>38520</v>
      </c>
      <c r="O506" s="41" t="s">
        <v>23</v>
      </c>
      <c r="P506" s="41" t="s">
        <v>105</v>
      </c>
      <c r="Q506" s="42"/>
      <c r="R506" s="41"/>
      <c r="S506" s="42"/>
      <c r="T506" s="41"/>
    </row>
    <row r="507" customFormat="false" ht="13.5" hidden="false" customHeight="true" outlineLevel="0" collapsed="false">
      <c r="A507" s="37" t="n">
        <v>504</v>
      </c>
      <c r="B507" s="37" t="n">
        <v>2315</v>
      </c>
      <c r="C507" s="38" t="s">
        <v>2393</v>
      </c>
      <c r="D507" s="37" t="s">
        <v>100</v>
      </c>
      <c r="E507" s="39" t="n">
        <v>23644</v>
      </c>
      <c r="F507" s="37" t="n">
        <f aca="true">IFERROR(DATEDIF(E507,TODAY(),"Y"),"")</f>
        <v>61</v>
      </c>
      <c r="G507" s="40" t="s">
        <v>2394</v>
      </c>
      <c r="H507" s="40"/>
      <c r="I507" s="38" t="s">
        <v>2395</v>
      </c>
      <c r="J507" s="38" t="s">
        <v>22</v>
      </c>
      <c r="K507" s="38" t="s">
        <v>2396</v>
      </c>
      <c r="L507" s="38" t="s">
        <v>54</v>
      </c>
      <c r="M507" s="37"/>
      <c r="N507" s="39" t="n">
        <v>38520</v>
      </c>
      <c r="O507" s="41" t="s">
        <v>23</v>
      </c>
      <c r="P507" s="41" t="s">
        <v>105</v>
      </c>
      <c r="Q507" s="42"/>
      <c r="R507" s="41"/>
      <c r="S507" s="42"/>
      <c r="T507" s="41"/>
    </row>
    <row r="508" customFormat="false" ht="13.5" hidden="false" customHeight="true" outlineLevel="0" collapsed="false">
      <c r="A508" s="37" t="n">
        <v>505</v>
      </c>
      <c r="B508" s="37" t="n">
        <v>2318</v>
      </c>
      <c r="C508" s="38" t="s">
        <v>2397</v>
      </c>
      <c r="D508" s="37" t="s">
        <v>100</v>
      </c>
      <c r="E508" s="39" t="n">
        <v>20394</v>
      </c>
      <c r="F508" s="37" t="n">
        <f aca="true">IFERROR(DATEDIF(E508,TODAY(),"Y"),"")</f>
        <v>70</v>
      </c>
      <c r="G508" s="40" t="s">
        <v>2398</v>
      </c>
      <c r="H508" s="40" t="s">
        <v>2399</v>
      </c>
      <c r="I508" s="38" t="s">
        <v>2400</v>
      </c>
      <c r="J508" s="38" t="s">
        <v>15</v>
      </c>
      <c r="K508" s="38" t="s">
        <v>2401</v>
      </c>
      <c r="L508" s="43" t="s">
        <v>58</v>
      </c>
      <c r="M508" s="37"/>
      <c r="N508" s="39" t="n">
        <v>38520</v>
      </c>
      <c r="O508" s="41" t="s">
        <v>23</v>
      </c>
      <c r="P508" s="41" t="s">
        <v>105</v>
      </c>
      <c r="Q508" s="42"/>
      <c r="R508" s="41"/>
      <c r="S508" s="42"/>
      <c r="T508" s="41"/>
    </row>
    <row r="509" customFormat="false" ht="13.5" hidden="false" customHeight="true" outlineLevel="0" collapsed="false">
      <c r="A509" s="37" t="n">
        <v>506</v>
      </c>
      <c r="B509" s="37" t="n">
        <v>2321</v>
      </c>
      <c r="C509" s="38" t="s">
        <v>2402</v>
      </c>
      <c r="D509" s="37" t="s">
        <v>100</v>
      </c>
      <c r="E509" s="39" t="n">
        <v>24639</v>
      </c>
      <c r="F509" s="37" t="n">
        <f aca="true">IFERROR(DATEDIF(E509,TODAY(),"Y"),"")</f>
        <v>59</v>
      </c>
      <c r="G509" s="40" t="s">
        <v>2403</v>
      </c>
      <c r="H509" s="40" t="s">
        <v>2404</v>
      </c>
      <c r="I509" s="38" t="s">
        <v>2405</v>
      </c>
      <c r="J509" s="38" t="s">
        <v>16</v>
      </c>
      <c r="K509" s="38" t="s">
        <v>2406</v>
      </c>
      <c r="L509" s="38" t="s">
        <v>47</v>
      </c>
      <c r="M509" s="37"/>
      <c r="N509" s="39" t="n">
        <v>38520</v>
      </c>
      <c r="O509" s="41" t="s">
        <v>23</v>
      </c>
      <c r="P509" s="41" t="s">
        <v>105</v>
      </c>
      <c r="Q509" s="42"/>
      <c r="R509" s="41"/>
      <c r="S509" s="42"/>
      <c r="T509" s="41"/>
    </row>
    <row r="510" customFormat="false" ht="13.5" hidden="false" customHeight="true" outlineLevel="0" collapsed="false">
      <c r="A510" s="37" t="n">
        <v>507</v>
      </c>
      <c r="B510" s="37" t="n">
        <v>2327</v>
      </c>
      <c r="C510" s="38" t="s">
        <v>2407</v>
      </c>
      <c r="D510" s="37" t="s">
        <v>100</v>
      </c>
      <c r="E510" s="39" t="n">
        <v>26503</v>
      </c>
      <c r="F510" s="37" t="n">
        <f aca="true">IFERROR(DATEDIF(E510,TODAY(),"Y"),"")</f>
        <v>54</v>
      </c>
      <c r="G510" s="40" t="s">
        <v>2408</v>
      </c>
      <c r="H510" s="40"/>
      <c r="I510" s="38"/>
      <c r="J510" s="38" t="s">
        <v>15</v>
      </c>
      <c r="K510" s="38" t="s">
        <v>2409</v>
      </c>
      <c r="L510" s="38" t="s">
        <v>54</v>
      </c>
      <c r="M510" s="37"/>
      <c r="N510" s="39" t="n">
        <v>38520</v>
      </c>
      <c r="O510" s="41" t="s">
        <v>23</v>
      </c>
      <c r="P510" s="41" t="s">
        <v>105</v>
      </c>
      <c r="Q510" s="42"/>
      <c r="R510" s="41"/>
      <c r="S510" s="42"/>
      <c r="T510" s="41"/>
    </row>
    <row r="511" customFormat="false" ht="13.5" hidden="false" customHeight="true" outlineLevel="0" collapsed="false">
      <c r="A511" s="37" t="n">
        <v>508</v>
      </c>
      <c r="B511" s="37" t="n">
        <v>2330</v>
      </c>
      <c r="C511" s="38" t="s">
        <v>2410</v>
      </c>
      <c r="D511" s="37" t="s">
        <v>100</v>
      </c>
      <c r="E511" s="39" t="n">
        <v>29884</v>
      </c>
      <c r="F511" s="37" t="n">
        <f aca="true">IFERROR(DATEDIF(E511,TODAY(),"Y"),"")</f>
        <v>44</v>
      </c>
      <c r="G511" s="40" t="s">
        <v>2411</v>
      </c>
      <c r="H511" s="40" t="s">
        <v>2412</v>
      </c>
      <c r="I511" s="38" t="s">
        <v>2413</v>
      </c>
      <c r="J511" s="38"/>
      <c r="K511" s="38" t="s">
        <v>2414</v>
      </c>
      <c r="L511" s="38" t="s">
        <v>55</v>
      </c>
      <c r="M511" s="37" t="s">
        <v>120</v>
      </c>
      <c r="N511" s="39" t="n">
        <v>38520</v>
      </c>
      <c r="O511" s="41" t="s">
        <v>23</v>
      </c>
      <c r="P511" s="41" t="s">
        <v>105</v>
      </c>
      <c r="Q511" s="42"/>
      <c r="R511" s="41"/>
      <c r="S511" s="42"/>
      <c r="T511" s="41"/>
    </row>
    <row r="512" customFormat="false" ht="13.5" hidden="false" customHeight="true" outlineLevel="0" collapsed="false">
      <c r="A512" s="37" t="n">
        <v>509</v>
      </c>
      <c r="B512" s="37" t="n">
        <v>2331</v>
      </c>
      <c r="C512" s="38" t="s">
        <v>2415</v>
      </c>
      <c r="D512" s="37" t="s">
        <v>100</v>
      </c>
      <c r="E512" s="39" t="n">
        <v>26769</v>
      </c>
      <c r="F512" s="37" t="n">
        <f aca="true">IFERROR(DATEDIF(E512,TODAY(),"Y"),"")</f>
        <v>53</v>
      </c>
      <c r="G512" s="40" t="s">
        <v>2416</v>
      </c>
      <c r="H512" s="40"/>
      <c r="I512" s="38" t="s">
        <v>2417</v>
      </c>
      <c r="J512" s="38" t="s">
        <v>16</v>
      </c>
      <c r="K512" s="38" t="s">
        <v>2418</v>
      </c>
      <c r="L512" s="38" t="s">
        <v>46</v>
      </c>
      <c r="M512" s="37"/>
      <c r="N512" s="39" t="n">
        <v>38520</v>
      </c>
      <c r="O512" s="41" t="s">
        <v>23</v>
      </c>
      <c r="P512" s="41" t="s">
        <v>105</v>
      </c>
      <c r="Q512" s="42"/>
      <c r="R512" s="41"/>
      <c r="S512" s="42"/>
      <c r="T512" s="41"/>
    </row>
    <row r="513" customFormat="false" ht="13.5" hidden="false" customHeight="true" outlineLevel="0" collapsed="false">
      <c r="A513" s="37" t="n">
        <v>510</v>
      </c>
      <c r="B513" s="37" t="n">
        <v>2332</v>
      </c>
      <c r="C513" s="38" t="s">
        <v>2419</v>
      </c>
      <c r="D513" s="37" t="s">
        <v>100</v>
      </c>
      <c r="E513" s="39" t="n">
        <v>26420</v>
      </c>
      <c r="F513" s="37" t="n">
        <f aca="true">IFERROR(DATEDIF(E513,TODAY(),"Y"),"")</f>
        <v>54</v>
      </c>
      <c r="G513" s="40" t="s">
        <v>2420</v>
      </c>
      <c r="H513" s="40"/>
      <c r="I513" s="38" t="s">
        <v>2421</v>
      </c>
      <c r="J513" s="38" t="s">
        <v>15</v>
      </c>
      <c r="K513" s="38" t="s">
        <v>2422</v>
      </c>
      <c r="L513" s="38" t="s">
        <v>55</v>
      </c>
      <c r="M513" s="37" t="s">
        <v>231</v>
      </c>
      <c r="N513" s="39" t="n">
        <v>38520</v>
      </c>
      <c r="O513" s="41" t="s">
        <v>23</v>
      </c>
      <c r="P513" s="41" t="s">
        <v>105</v>
      </c>
      <c r="Q513" s="42"/>
      <c r="R513" s="41"/>
      <c r="S513" s="42"/>
      <c r="T513" s="41"/>
    </row>
    <row r="514" customFormat="false" ht="13.5" hidden="false" customHeight="true" outlineLevel="0" collapsed="false">
      <c r="A514" s="37" t="n">
        <v>511</v>
      </c>
      <c r="B514" s="37" t="n">
        <v>2334</v>
      </c>
      <c r="C514" s="38" t="s">
        <v>2423</v>
      </c>
      <c r="D514" s="37" t="s">
        <v>100</v>
      </c>
      <c r="E514" s="39" t="n">
        <v>22206</v>
      </c>
      <c r="F514" s="37" t="n">
        <f aca="true">IFERROR(DATEDIF(E514,TODAY(),"Y"),"")</f>
        <v>65</v>
      </c>
      <c r="G514" s="40" t="s">
        <v>2424</v>
      </c>
      <c r="H514" s="40"/>
      <c r="I514" s="38"/>
      <c r="J514" s="38" t="s">
        <v>15</v>
      </c>
      <c r="K514" s="38" t="s">
        <v>2425</v>
      </c>
      <c r="L514" s="38" t="s">
        <v>54</v>
      </c>
      <c r="M514" s="37"/>
      <c r="N514" s="39" t="n">
        <v>38520</v>
      </c>
      <c r="O514" s="41" t="s">
        <v>23</v>
      </c>
      <c r="P514" s="41" t="s">
        <v>105</v>
      </c>
      <c r="Q514" s="42"/>
      <c r="R514" s="41"/>
      <c r="S514" s="42"/>
      <c r="T514" s="41"/>
    </row>
    <row r="515" customFormat="false" ht="13.5" hidden="false" customHeight="true" outlineLevel="0" collapsed="false">
      <c r="A515" s="37" t="n">
        <v>512</v>
      </c>
      <c r="B515" s="37" t="n">
        <v>2337</v>
      </c>
      <c r="C515" s="38" t="s">
        <v>2426</v>
      </c>
      <c r="D515" s="37" t="s">
        <v>100</v>
      </c>
      <c r="E515" s="39" t="n">
        <v>22666</v>
      </c>
      <c r="F515" s="37" t="n">
        <f aca="true">IFERROR(DATEDIF(E515,TODAY(),"Y"),"")</f>
        <v>64</v>
      </c>
      <c r="G515" s="40" t="s">
        <v>2427</v>
      </c>
      <c r="H515" s="40" t="s">
        <v>2428</v>
      </c>
      <c r="I515" s="38" t="s">
        <v>2429</v>
      </c>
      <c r="J515" s="38" t="s">
        <v>16</v>
      </c>
      <c r="K515" s="38" t="s">
        <v>2430</v>
      </c>
      <c r="L515" s="38" t="s">
        <v>55</v>
      </c>
      <c r="M515" s="37" t="s">
        <v>104</v>
      </c>
      <c r="N515" s="39" t="n">
        <v>38520</v>
      </c>
      <c r="O515" s="41" t="s">
        <v>23</v>
      </c>
      <c r="P515" s="41" t="s">
        <v>105</v>
      </c>
      <c r="Q515" s="42"/>
      <c r="R515" s="41"/>
      <c r="S515" s="42"/>
      <c r="T515" s="41"/>
    </row>
    <row r="516" customFormat="false" ht="13.5" hidden="false" customHeight="true" outlineLevel="0" collapsed="false">
      <c r="A516" s="37" t="n">
        <v>513</v>
      </c>
      <c r="B516" s="37" t="n">
        <v>2340</v>
      </c>
      <c r="C516" s="38" t="s">
        <v>2431</v>
      </c>
      <c r="D516" s="37" t="s">
        <v>100</v>
      </c>
      <c r="E516" s="39" t="n">
        <v>17323</v>
      </c>
      <c r="F516" s="37" t="n">
        <f aca="true">IFERROR(DATEDIF(E516,TODAY(),"Y"),"")</f>
        <v>79</v>
      </c>
      <c r="G516" s="40" t="s">
        <v>2432</v>
      </c>
      <c r="H516" s="40" t="s">
        <v>2433</v>
      </c>
      <c r="I516" s="38" t="s">
        <v>2434</v>
      </c>
      <c r="J516" s="38" t="s">
        <v>15</v>
      </c>
      <c r="K516" s="38" t="s">
        <v>2435</v>
      </c>
      <c r="L516" s="38" t="s">
        <v>54</v>
      </c>
      <c r="M516" s="37" t="s">
        <v>2436</v>
      </c>
      <c r="N516" s="39" t="n">
        <v>38520</v>
      </c>
      <c r="O516" s="41" t="s">
        <v>23</v>
      </c>
      <c r="P516" s="41" t="s">
        <v>105</v>
      </c>
      <c r="Q516" s="42"/>
      <c r="R516" s="41"/>
      <c r="S516" s="42"/>
      <c r="T516" s="41"/>
    </row>
    <row r="517" customFormat="false" ht="13.5" hidden="false" customHeight="true" outlineLevel="0" collapsed="false">
      <c r="A517" s="37" t="n">
        <v>514</v>
      </c>
      <c r="B517" s="37" t="n">
        <v>2342</v>
      </c>
      <c r="C517" s="38" t="s">
        <v>2437</v>
      </c>
      <c r="D517" s="37" t="s">
        <v>100</v>
      </c>
      <c r="E517" s="39" t="n">
        <v>19939</v>
      </c>
      <c r="F517" s="37" t="n">
        <f aca="true">IFERROR(DATEDIF(E517,TODAY(),"Y"),"")</f>
        <v>72</v>
      </c>
      <c r="G517" s="40" t="s">
        <v>2438</v>
      </c>
      <c r="H517" s="40"/>
      <c r="I517" s="38" t="s">
        <v>2439</v>
      </c>
      <c r="J517" s="38" t="s">
        <v>15</v>
      </c>
      <c r="K517" s="38" t="s">
        <v>2440</v>
      </c>
      <c r="L517" s="38" t="s">
        <v>46</v>
      </c>
      <c r="M517" s="37"/>
      <c r="N517" s="39" t="n">
        <v>38520</v>
      </c>
      <c r="O517" s="41" t="s">
        <v>23</v>
      </c>
      <c r="P517" s="41" t="s">
        <v>105</v>
      </c>
      <c r="Q517" s="42"/>
      <c r="R517" s="41"/>
      <c r="S517" s="42"/>
      <c r="T517" s="41"/>
    </row>
    <row r="518" customFormat="false" ht="13.5" hidden="false" customHeight="true" outlineLevel="0" collapsed="false">
      <c r="A518" s="37" t="n">
        <v>515</v>
      </c>
      <c r="B518" s="37" t="n">
        <v>2344</v>
      </c>
      <c r="C518" s="38" t="s">
        <v>2441</v>
      </c>
      <c r="D518" s="37" t="s">
        <v>100</v>
      </c>
      <c r="E518" s="39" t="n">
        <v>21934</v>
      </c>
      <c r="F518" s="37" t="n">
        <f aca="true">IFERROR(DATEDIF(E518,TODAY(),"Y"),"")</f>
        <v>66</v>
      </c>
      <c r="G518" s="40" t="s">
        <v>2442</v>
      </c>
      <c r="H518" s="40" t="s">
        <v>2443</v>
      </c>
      <c r="I518" s="38" t="s">
        <v>2444</v>
      </c>
      <c r="J518" s="38" t="s">
        <v>15</v>
      </c>
      <c r="K518" s="38" t="s">
        <v>2445</v>
      </c>
      <c r="L518" s="38" t="s">
        <v>47</v>
      </c>
      <c r="M518" s="37" t="s">
        <v>120</v>
      </c>
      <c r="N518" s="39" t="n">
        <v>38520</v>
      </c>
      <c r="O518" s="41" t="s">
        <v>23</v>
      </c>
      <c r="P518" s="41" t="s">
        <v>105</v>
      </c>
      <c r="Q518" s="42"/>
      <c r="R518" s="41"/>
      <c r="S518" s="42"/>
      <c r="T518" s="41"/>
    </row>
    <row r="519" customFormat="false" ht="13.5" hidden="false" customHeight="true" outlineLevel="0" collapsed="false">
      <c r="A519" s="37" t="n">
        <v>516</v>
      </c>
      <c r="B519" s="37" t="n">
        <v>2345</v>
      </c>
      <c r="C519" s="38" t="s">
        <v>2446</v>
      </c>
      <c r="D519" s="37" t="s">
        <v>100</v>
      </c>
      <c r="E519" s="39" t="n">
        <v>29715</v>
      </c>
      <c r="F519" s="37" t="n">
        <f aca="true">IFERROR(DATEDIF(E519,TODAY(),"Y"),"")</f>
        <v>45</v>
      </c>
      <c r="G519" s="40" t="s">
        <v>2447</v>
      </c>
      <c r="H519" s="40" t="s">
        <v>2448</v>
      </c>
      <c r="I519" s="38" t="s">
        <v>2449</v>
      </c>
      <c r="J519" s="38" t="s">
        <v>15</v>
      </c>
      <c r="K519" s="38" t="s">
        <v>2450</v>
      </c>
      <c r="L519" s="38" t="s">
        <v>50</v>
      </c>
      <c r="M519" s="37" t="s">
        <v>177</v>
      </c>
      <c r="N519" s="39" t="n">
        <v>38520</v>
      </c>
      <c r="O519" s="41" t="s">
        <v>23</v>
      </c>
      <c r="P519" s="41" t="s">
        <v>105</v>
      </c>
      <c r="Q519" s="42"/>
      <c r="R519" s="41"/>
      <c r="S519" s="42"/>
      <c r="T519" s="41"/>
    </row>
    <row r="520" customFormat="false" ht="13.5" hidden="false" customHeight="true" outlineLevel="0" collapsed="false">
      <c r="A520" s="37" t="n">
        <v>517</v>
      </c>
      <c r="B520" s="37" t="n">
        <v>2349</v>
      </c>
      <c r="C520" s="38" t="s">
        <v>2451</v>
      </c>
      <c r="D520" s="37" t="s">
        <v>100</v>
      </c>
      <c r="E520" s="39" t="n">
        <v>20785</v>
      </c>
      <c r="F520" s="37" t="n">
        <f aca="true">IFERROR(DATEDIF(E520,TODAY(),"Y"),"")</f>
        <v>69</v>
      </c>
      <c r="G520" s="40" t="s">
        <v>2452</v>
      </c>
      <c r="H520" s="40"/>
      <c r="I520" s="38" t="s">
        <v>2453</v>
      </c>
      <c r="J520" s="38" t="s">
        <v>15</v>
      </c>
      <c r="K520" s="38" t="s">
        <v>2454</v>
      </c>
      <c r="L520" s="38" t="s">
        <v>51</v>
      </c>
      <c r="M520" s="37"/>
      <c r="N520" s="39" t="n">
        <v>38520</v>
      </c>
      <c r="O520" s="41" t="s">
        <v>23</v>
      </c>
      <c r="P520" s="41" t="s">
        <v>105</v>
      </c>
      <c r="Q520" s="42"/>
      <c r="R520" s="41"/>
      <c r="S520" s="42"/>
      <c r="T520" s="41"/>
    </row>
    <row r="521" customFormat="false" ht="13.5" hidden="false" customHeight="true" outlineLevel="0" collapsed="false">
      <c r="A521" s="37" t="n">
        <v>518</v>
      </c>
      <c r="B521" s="37" t="n">
        <v>2350</v>
      </c>
      <c r="C521" s="38" t="s">
        <v>2455</v>
      </c>
      <c r="D521" s="37" t="s">
        <v>100</v>
      </c>
      <c r="E521" s="39" t="n">
        <v>20786</v>
      </c>
      <c r="F521" s="37" t="n">
        <f aca="true">IFERROR(DATEDIF(E521,TODAY(),"Y"),"")</f>
        <v>69</v>
      </c>
      <c r="G521" s="40" t="s">
        <v>2456</v>
      </c>
      <c r="H521" s="40" t="s">
        <v>2457</v>
      </c>
      <c r="I521" s="38" t="s">
        <v>2458</v>
      </c>
      <c r="J521" s="38" t="s">
        <v>15</v>
      </c>
      <c r="K521" s="38" t="s">
        <v>2459</v>
      </c>
      <c r="L521" s="38" t="s">
        <v>46</v>
      </c>
      <c r="M521" s="37" t="s">
        <v>104</v>
      </c>
      <c r="N521" s="39" t="n">
        <v>38520</v>
      </c>
      <c r="O521" s="41" t="s">
        <v>23</v>
      </c>
      <c r="P521" s="41" t="s">
        <v>105</v>
      </c>
      <c r="Q521" s="42"/>
      <c r="R521" s="41"/>
      <c r="S521" s="42"/>
      <c r="T521" s="41"/>
    </row>
    <row r="522" customFormat="false" ht="13.5" hidden="false" customHeight="true" outlineLevel="0" collapsed="false">
      <c r="A522" s="37" t="n">
        <v>519</v>
      </c>
      <c r="B522" s="37" t="n">
        <v>2352</v>
      </c>
      <c r="C522" s="38" t="s">
        <v>2460</v>
      </c>
      <c r="D522" s="37" t="s">
        <v>100</v>
      </c>
      <c r="E522" s="39" t="n">
        <v>23518</v>
      </c>
      <c r="F522" s="37" t="n">
        <f aca="true">IFERROR(DATEDIF(E522,TODAY(),"Y"),"")</f>
        <v>62</v>
      </c>
      <c r="G522" s="40" t="s">
        <v>2461</v>
      </c>
      <c r="H522" s="40" t="s">
        <v>2462</v>
      </c>
      <c r="I522" s="38" t="s">
        <v>2463</v>
      </c>
      <c r="J522" s="38" t="s">
        <v>16</v>
      </c>
      <c r="K522" s="38" t="s">
        <v>2464</v>
      </c>
      <c r="L522" s="38" t="s">
        <v>53</v>
      </c>
      <c r="M522" s="37" t="s">
        <v>177</v>
      </c>
      <c r="N522" s="39" t="n">
        <v>38520</v>
      </c>
      <c r="O522" s="41" t="s">
        <v>23</v>
      </c>
      <c r="P522" s="41" t="s">
        <v>105</v>
      </c>
      <c r="Q522" s="42"/>
      <c r="R522" s="41"/>
      <c r="S522" s="42"/>
      <c r="T522" s="41"/>
    </row>
    <row r="523" customFormat="false" ht="13.5" hidden="false" customHeight="true" outlineLevel="0" collapsed="false">
      <c r="A523" s="37" t="n">
        <v>520</v>
      </c>
      <c r="B523" s="37" t="n">
        <v>2353</v>
      </c>
      <c r="C523" s="38" t="s">
        <v>2465</v>
      </c>
      <c r="D523" s="37" t="s">
        <v>100</v>
      </c>
      <c r="E523" s="39" t="n">
        <v>21149</v>
      </c>
      <c r="F523" s="37" t="n">
        <f aca="true">IFERROR(DATEDIF(E523,TODAY(),"Y"),"")</f>
        <v>68</v>
      </c>
      <c r="G523" s="40" t="s">
        <v>2466</v>
      </c>
      <c r="H523" s="40" t="s">
        <v>2467</v>
      </c>
      <c r="I523" s="38" t="s">
        <v>2468</v>
      </c>
      <c r="J523" s="38" t="s">
        <v>15</v>
      </c>
      <c r="K523" s="38" t="s">
        <v>2469</v>
      </c>
      <c r="L523" s="38" t="s">
        <v>43</v>
      </c>
      <c r="M523" s="37"/>
      <c r="N523" s="39" t="n">
        <v>38520</v>
      </c>
      <c r="O523" s="41" t="s">
        <v>23</v>
      </c>
      <c r="P523" s="41" t="s">
        <v>105</v>
      </c>
      <c r="Q523" s="42"/>
      <c r="R523" s="41"/>
      <c r="S523" s="42"/>
      <c r="T523" s="41"/>
    </row>
    <row r="524" customFormat="false" ht="13.5" hidden="false" customHeight="true" outlineLevel="0" collapsed="false">
      <c r="A524" s="37" t="n">
        <v>521</v>
      </c>
      <c r="B524" s="37" t="n">
        <v>2354</v>
      </c>
      <c r="C524" s="38" t="s">
        <v>2470</v>
      </c>
      <c r="D524" s="37" t="s">
        <v>100</v>
      </c>
      <c r="E524" s="39" t="n">
        <v>27034</v>
      </c>
      <c r="F524" s="37" t="n">
        <f aca="true">IFERROR(DATEDIF(E524,TODAY(),"Y"),"")</f>
        <v>52</v>
      </c>
      <c r="G524" s="40" t="s">
        <v>2471</v>
      </c>
      <c r="H524" s="40" t="s">
        <v>2472</v>
      </c>
      <c r="I524" s="38" t="s">
        <v>2473</v>
      </c>
      <c r="J524" s="38" t="s">
        <v>15</v>
      </c>
      <c r="K524" s="38" t="s">
        <v>2474</v>
      </c>
      <c r="L524" s="38" t="s">
        <v>51</v>
      </c>
      <c r="M524" s="37"/>
      <c r="N524" s="39" t="n">
        <v>38520</v>
      </c>
      <c r="O524" s="41" t="s">
        <v>23</v>
      </c>
      <c r="P524" s="41" t="s">
        <v>105</v>
      </c>
      <c r="Q524" s="42"/>
      <c r="R524" s="41"/>
      <c r="S524" s="42"/>
      <c r="T524" s="41"/>
    </row>
    <row r="525" customFormat="false" ht="13.5" hidden="false" customHeight="true" outlineLevel="0" collapsed="false">
      <c r="A525" s="37" t="n">
        <v>522</v>
      </c>
      <c r="B525" s="37" t="n">
        <v>2355</v>
      </c>
      <c r="C525" s="38" t="s">
        <v>2475</v>
      </c>
      <c r="D525" s="37" t="s">
        <v>100</v>
      </c>
      <c r="E525" s="39" t="n">
        <v>21950</v>
      </c>
      <c r="F525" s="37" t="n">
        <f aca="true">IFERROR(DATEDIF(E525,TODAY(),"Y"),"")</f>
        <v>66</v>
      </c>
      <c r="G525" s="40" t="s">
        <v>2476</v>
      </c>
      <c r="H525" s="40" t="s">
        <v>2477</v>
      </c>
      <c r="I525" s="38" t="s">
        <v>2478</v>
      </c>
      <c r="J525" s="38" t="s">
        <v>15</v>
      </c>
      <c r="K525" s="38" t="s">
        <v>2479</v>
      </c>
      <c r="L525" s="38" t="s">
        <v>55</v>
      </c>
      <c r="M525" s="37" t="s">
        <v>120</v>
      </c>
      <c r="N525" s="39" t="n">
        <v>38520</v>
      </c>
      <c r="O525" s="41" t="s">
        <v>23</v>
      </c>
      <c r="P525" s="41" t="s">
        <v>105</v>
      </c>
      <c r="Q525" s="42"/>
      <c r="R525" s="41"/>
      <c r="S525" s="42"/>
      <c r="T525" s="41"/>
    </row>
    <row r="526" customFormat="false" ht="13.5" hidden="false" customHeight="true" outlineLevel="0" collapsed="false">
      <c r="A526" s="37" t="n">
        <v>523</v>
      </c>
      <c r="B526" s="37" t="n">
        <v>2356</v>
      </c>
      <c r="C526" s="38" t="s">
        <v>2480</v>
      </c>
      <c r="D526" s="37" t="s">
        <v>100</v>
      </c>
      <c r="E526" s="39" t="n">
        <v>22434</v>
      </c>
      <c r="F526" s="37" t="n">
        <f aca="true">IFERROR(DATEDIF(E526,TODAY(),"Y"),"")</f>
        <v>65</v>
      </c>
      <c r="G526" s="40" t="s">
        <v>2481</v>
      </c>
      <c r="H526" s="40" t="s">
        <v>2482</v>
      </c>
      <c r="I526" s="38" t="s">
        <v>2483</v>
      </c>
      <c r="J526" s="38" t="s">
        <v>16</v>
      </c>
      <c r="K526" s="38" t="s">
        <v>2484</v>
      </c>
      <c r="L526" s="38" t="s">
        <v>46</v>
      </c>
      <c r="M526" s="37"/>
      <c r="N526" s="39" t="n">
        <v>38520</v>
      </c>
      <c r="O526" s="41" t="s">
        <v>23</v>
      </c>
      <c r="P526" s="41" t="s">
        <v>105</v>
      </c>
      <c r="Q526" s="42"/>
      <c r="R526" s="41"/>
      <c r="S526" s="42"/>
      <c r="T526" s="41"/>
    </row>
    <row r="527" customFormat="false" ht="13.5" hidden="false" customHeight="true" outlineLevel="0" collapsed="false">
      <c r="A527" s="37" t="n">
        <v>524</v>
      </c>
      <c r="B527" s="37" t="n">
        <v>2357</v>
      </c>
      <c r="C527" s="38" t="s">
        <v>2485</v>
      </c>
      <c r="D527" s="37" t="s">
        <v>100</v>
      </c>
      <c r="E527" s="39" t="n">
        <v>27170</v>
      </c>
      <c r="F527" s="37" t="n">
        <f aca="true">IFERROR(DATEDIF(E527,TODAY(),"Y"),"")</f>
        <v>52</v>
      </c>
      <c r="G527" s="40" t="s">
        <v>2486</v>
      </c>
      <c r="H527" s="40" t="s">
        <v>2487</v>
      </c>
      <c r="I527" s="38" t="s">
        <v>2488</v>
      </c>
      <c r="J527" s="38" t="s">
        <v>15</v>
      </c>
      <c r="K527" s="38" t="s">
        <v>2489</v>
      </c>
      <c r="L527" s="38" t="s">
        <v>46</v>
      </c>
      <c r="M527" s="37" t="s">
        <v>788</v>
      </c>
      <c r="N527" s="39" t="n">
        <v>38520</v>
      </c>
      <c r="O527" s="41" t="s">
        <v>23</v>
      </c>
      <c r="P527" s="41" t="s">
        <v>105</v>
      </c>
      <c r="Q527" s="42"/>
      <c r="R527" s="41"/>
      <c r="S527" s="42"/>
      <c r="T527" s="41"/>
    </row>
    <row r="528" customFormat="false" ht="13.5" hidden="false" customHeight="true" outlineLevel="0" collapsed="false">
      <c r="A528" s="37" t="n">
        <v>525</v>
      </c>
      <c r="B528" s="37" t="n">
        <v>2358</v>
      </c>
      <c r="C528" s="38" t="s">
        <v>2490</v>
      </c>
      <c r="D528" s="37" t="s">
        <v>100</v>
      </c>
      <c r="E528" s="39" t="n">
        <v>26198</v>
      </c>
      <c r="F528" s="37" t="n">
        <f aca="true">IFERROR(DATEDIF(E528,TODAY(),"Y"),"")</f>
        <v>54</v>
      </c>
      <c r="G528" s="40" t="s">
        <v>2491</v>
      </c>
      <c r="H528" s="40" t="s">
        <v>2492</v>
      </c>
      <c r="I528" s="38" t="s">
        <v>2493</v>
      </c>
      <c r="J528" s="38" t="s">
        <v>15</v>
      </c>
      <c r="K528" s="38" t="s">
        <v>2494</v>
      </c>
      <c r="L528" s="38" t="s">
        <v>55</v>
      </c>
      <c r="M528" s="37"/>
      <c r="N528" s="39" t="n">
        <v>38520</v>
      </c>
      <c r="O528" s="41" t="s">
        <v>23</v>
      </c>
      <c r="P528" s="41" t="s">
        <v>105</v>
      </c>
      <c r="Q528" s="42"/>
      <c r="R528" s="41"/>
      <c r="S528" s="42"/>
      <c r="T528" s="41"/>
    </row>
    <row r="529" customFormat="false" ht="13.5" hidden="false" customHeight="true" outlineLevel="0" collapsed="false">
      <c r="A529" s="37" t="n">
        <v>526</v>
      </c>
      <c r="B529" s="37" t="n">
        <v>2359</v>
      </c>
      <c r="C529" s="38" t="s">
        <v>2495</v>
      </c>
      <c r="D529" s="37" t="s">
        <v>100</v>
      </c>
      <c r="E529" s="39" t="n">
        <v>23077</v>
      </c>
      <c r="F529" s="37" t="n">
        <f aca="true">IFERROR(DATEDIF(E529,TODAY(),"Y"),"")</f>
        <v>63</v>
      </c>
      <c r="G529" s="40" t="s">
        <v>2496</v>
      </c>
      <c r="H529" s="40"/>
      <c r="I529" s="38" t="s">
        <v>2497</v>
      </c>
      <c r="J529" s="38" t="s">
        <v>15</v>
      </c>
      <c r="K529" s="38" t="s">
        <v>2498</v>
      </c>
      <c r="L529" s="38" t="s">
        <v>57</v>
      </c>
      <c r="M529" s="37"/>
      <c r="N529" s="39" t="n">
        <v>38520</v>
      </c>
      <c r="O529" s="41" t="s">
        <v>23</v>
      </c>
      <c r="P529" s="41" t="s">
        <v>105</v>
      </c>
      <c r="Q529" s="42"/>
      <c r="R529" s="41"/>
      <c r="S529" s="42"/>
      <c r="T529" s="41"/>
    </row>
    <row r="530" customFormat="false" ht="13.5" hidden="false" customHeight="true" outlineLevel="0" collapsed="false">
      <c r="A530" s="37" t="n">
        <v>527</v>
      </c>
      <c r="B530" s="37" t="n">
        <v>2361</v>
      </c>
      <c r="C530" s="38" t="s">
        <v>2499</v>
      </c>
      <c r="D530" s="37" t="s">
        <v>100</v>
      </c>
      <c r="E530" s="39" t="n">
        <v>26068</v>
      </c>
      <c r="F530" s="37" t="n">
        <f aca="true">IFERROR(DATEDIF(E530,TODAY(),"Y"),"")</f>
        <v>55</v>
      </c>
      <c r="G530" s="40" t="s">
        <v>2500</v>
      </c>
      <c r="H530" s="40"/>
      <c r="I530" s="38" t="s">
        <v>2501</v>
      </c>
      <c r="J530" s="38" t="s">
        <v>15</v>
      </c>
      <c r="K530" s="38" t="s">
        <v>2502</v>
      </c>
      <c r="L530" s="38" t="s">
        <v>51</v>
      </c>
      <c r="M530" s="37" t="s">
        <v>120</v>
      </c>
      <c r="N530" s="39" t="n">
        <v>38520</v>
      </c>
      <c r="O530" s="41" t="s">
        <v>23</v>
      </c>
      <c r="P530" s="41" t="s">
        <v>105</v>
      </c>
      <c r="Q530" s="42"/>
      <c r="R530" s="41"/>
      <c r="S530" s="42"/>
      <c r="T530" s="41"/>
    </row>
    <row r="531" customFormat="false" ht="13.5" hidden="false" customHeight="true" outlineLevel="0" collapsed="false">
      <c r="A531" s="37" t="n">
        <v>528</v>
      </c>
      <c r="B531" s="37" t="n">
        <v>2362</v>
      </c>
      <c r="C531" s="38" t="s">
        <v>2503</v>
      </c>
      <c r="D531" s="37" t="s">
        <v>100</v>
      </c>
      <c r="E531" s="39" t="n">
        <v>28984</v>
      </c>
      <c r="F531" s="37" t="n">
        <f aca="true">IFERROR(DATEDIF(E531,TODAY(),"Y"),"")</f>
        <v>47</v>
      </c>
      <c r="G531" s="40" t="s">
        <v>2504</v>
      </c>
      <c r="H531" s="40" t="s">
        <v>2505</v>
      </c>
      <c r="I531" s="38" t="s">
        <v>2506</v>
      </c>
      <c r="J531" s="38" t="s">
        <v>15</v>
      </c>
      <c r="K531" s="38" t="s">
        <v>2507</v>
      </c>
      <c r="L531" s="38" t="s">
        <v>53</v>
      </c>
      <c r="M531" s="37"/>
      <c r="N531" s="39" t="n">
        <v>38520</v>
      </c>
      <c r="O531" s="41" t="s">
        <v>23</v>
      </c>
      <c r="P531" s="41" t="s">
        <v>105</v>
      </c>
      <c r="Q531" s="42"/>
      <c r="R531" s="41"/>
      <c r="S531" s="42"/>
      <c r="T531" s="41"/>
    </row>
    <row r="532" customFormat="false" ht="13.5" hidden="false" customHeight="true" outlineLevel="0" collapsed="false">
      <c r="A532" s="37" t="n">
        <v>529</v>
      </c>
      <c r="B532" s="37" t="n">
        <v>2365</v>
      </c>
      <c r="C532" s="38" t="s">
        <v>2508</v>
      </c>
      <c r="D532" s="37" t="s">
        <v>100</v>
      </c>
      <c r="E532" s="39" t="n">
        <v>26814</v>
      </c>
      <c r="F532" s="37" t="n">
        <f aca="true">IFERROR(DATEDIF(E532,TODAY(),"Y"),"")</f>
        <v>53</v>
      </c>
      <c r="G532" s="40" t="s">
        <v>2509</v>
      </c>
      <c r="H532" s="40" t="s">
        <v>2510</v>
      </c>
      <c r="I532" s="38" t="s">
        <v>2511</v>
      </c>
      <c r="J532" s="38" t="s">
        <v>15</v>
      </c>
      <c r="K532" s="38" t="s">
        <v>2512</v>
      </c>
      <c r="L532" s="38" t="s">
        <v>44</v>
      </c>
      <c r="M532" s="37"/>
      <c r="N532" s="39" t="n">
        <v>38520</v>
      </c>
      <c r="O532" s="41" t="s">
        <v>23</v>
      </c>
      <c r="P532" s="41" t="s">
        <v>105</v>
      </c>
      <c r="Q532" s="42"/>
      <c r="R532" s="41"/>
      <c r="S532" s="42"/>
      <c r="T532" s="41"/>
    </row>
    <row r="533" customFormat="false" ht="13.5" hidden="false" customHeight="true" outlineLevel="0" collapsed="false">
      <c r="A533" s="37" t="n">
        <v>530</v>
      </c>
      <c r="B533" s="37" t="n">
        <v>2367</v>
      </c>
      <c r="C533" s="38" t="s">
        <v>2513</v>
      </c>
      <c r="D533" s="37" t="s">
        <v>100</v>
      </c>
      <c r="E533" s="39" t="n">
        <v>22776</v>
      </c>
      <c r="F533" s="37" t="n">
        <f aca="true">IFERROR(DATEDIF(E533,TODAY(),"Y"),"")</f>
        <v>64</v>
      </c>
      <c r="G533" s="40" t="s">
        <v>2514</v>
      </c>
      <c r="H533" s="40"/>
      <c r="I533" s="38"/>
      <c r="J533" s="38" t="s">
        <v>15</v>
      </c>
      <c r="K533" s="38" t="s">
        <v>2515</v>
      </c>
      <c r="L533" s="38" t="s">
        <v>47</v>
      </c>
      <c r="M533" s="37"/>
      <c r="N533" s="39" t="n">
        <v>38520</v>
      </c>
      <c r="O533" s="41" t="s">
        <v>23</v>
      </c>
      <c r="P533" s="41" t="s">
        <v>105</v>
      </c>
      <c r="Q533" s="42"/>
      <c r="R533" s="41"/>
      <c r="S533" s="42"/>
      <c r="T533" s="41"/>
    </row>
    <row r="534" customFormat="false" ht="13.5" hidden="false" customHeight="true" outlineLevel="0" collapsed="false">
      <c r="A534" s="37" t="n">
        <v>531</v>
      </c>
      <c r="B534" s="37" t="n">
        <v>2371</v>
      </c>
      <c r="C534" s="38" t="s">
        <v>2516</v>
      </c>
      <c r="D534" s="37" t="s">
        <v>100</v>
      </c>
      <c r="E534" s="39" t="n">
        <v>24983</v>
      </c>
      <c r="F534" s="37" t="n">
        <f aca="true">IFERROR(DATEDIF(E534,TODAY(),"Y"),"")</f>
        <v>58</v>
      </c>
      <c r="G534" s="40" t="s">
        <v>2517</v>
      </c>
      <c r="H534" s="40" t="s">
        <v>2518</v>
      </c>
      <c r="I534" s="38" t="s">
        <v>2519</v>
      </c>
      <c r="J534" s="38" t="s">
        <v>16</v>
      </c>
      <c r="K534" s="38" t="s">
        <v>2520</v>
      </c>
      <c r="L534" s="38" t="s">
        <v>53</v>
      </c>
      <c r="M534" s="37"/>
      <c r="N534" s="39" t="n">
        <v>38520</v>
      </c>
      <c r="O534" s="41" t="s">
        <v>23</v>
      </c>
      <c r="P534" s="41" t="s">
        <v>105</v>
      </c>
      <c r="Q534" s="42"/>
      <c r="R534" s="41"/>
      <c r="S534" s="42"/>
      <c r="T534" s="41"/>
    </row>
    <row r="535" customFormat="false" ht="13.5" hidden="false" customHeight="true" outlineLevel="0" collapsed="false">
      <c r="A535" s="37" t="n">
        <v>532</v>
      </c>
      <c r="B535" s="37" t="n">
        <v>2372</v>
      </c>
      <c r="C535" s="38" t="s">
        <v>2521</v>
      </c>
      <c r="D535" s="37" t="s">
        <v>100</v>
      </c>
      <c r="E535" s="39" t="n">
        <v>27176</v>
      </c>
      <c r="F535" s="37" t="n">
        <f aca="true">IFERROR(DATEDIF(E535,TODAY(),"Y"),"")</f>
        <v>52</v>
      </c>
      <c r="G535" s="40" t="s">
        <v>2522</v>
      </c>
      <c r="H535" s="40"/>
      <c r="I535" s="38"/>
      <c r="J535" s="38" t="s">
        <v>22</v>
      </c>
      <c r="K535" s="38" t="s">
        <v>2523</v>
      </c>
      <c r="L535" s="38" t="s">
        <v>47</v>
      </c>
      <c r="M535" s="37"/>
      <c r="N535" s="39" t="n">
        <v>38520</v>
      </c>
      <c r="O535" s="41" t="s">
        <v>23</v>
      </c>
      <c r="P535" s="41" t="s">
        <v>105</v>
      </c>
      <c r="Q535" s="42"/>
      <c r="R535" s="41"/>
      <c r="S535" s="42"/>
      <c r="T535" s="41"/>
    </row>
    <row r="536" customFormat="false" ht="13.5" hidden="false" customHeight="true" outlineLevel="0" collapsed="false">
      <c r="A536" s="37" t="n">
        <v>533</v>
      </c>
      <c r="B536" s="37" t="n">
        <v>2377</v>
      </c>
      <c r="C536" s="38" t="s">
        <v>2524</v>
      </c>
      <c r="D536" s="37" t="s">
        <v>100</v>
      </c>
      <c r="E536" s="39" t="n">
        <v>23207</v>
      </c>
      <c r="F536" s="37" t="n">
        <f aca="true">IFERROR(DATEDIF(E536,TODAY(),"Y"),"")</f>
        <v>63</v>
      </c>
      <c r="G536" s="40" t="s">
        <v>2525</v>
      </c>
      <c r="H536" s="40" t="s">
        <v>2526</v>
      </c>
      <c r="I536" s="38" t="s">
        <v>2527</v>
      </c>
      <c r="J536" s="38" t="s">
        <v>16</v>
      </c>
      <c r="K536" s="38" t="s">
        <v>2528</v>
      </c>
      <c r="L536" s="38" t="s">
        <v>51</v>
      </c>
      <c r="M536" s="37"/>
      <c r="N536" s="39" t="n">
        <v>38520</v>
      </c>
      <c r="O536" s="41" t="s">
        <v>23</v>
      </c>
      <c r="P536" s="41" t="s">
        <v>105</v>
      </c>
      <c r="Q536" s="42"/>
      <c r="R536" s="41"/>
      <c r="S536" s="42"/>
      <c r="T536" s="41"/>
    </row>
    <row r="537" customFormat="false" ht="13.5" hidden="false" customHeight="true" outlineLevel="0" collapsed="false">
      <c r="A537" s="37" t="n">
        <v>534</v>
      </c>
      <c r="B537" s="37" t="n">
        <v>2379</v>
      </c>
      <c r="C537" s="38" t="s">
        <v>2529</v>
      </c>
      <c r="D537" s="37" t="s">
        <v>100</v>
      </c>
      <c r="E537" s="39" t="n">
        <v>28771</v>
      </c>
      <c r="F537" s="37" t="n">
        <f aca="true">IFERROR(DATEDIF(E537,TODAY(),"Y"),"")</f>
        <v>47</v>
      </c>
      <c r="G537" s="40" t="s">
        <v>2530</v>
      </c>
      <c r="H537" s="40"/>
      <c r="I537" s="38" t="s">
        <v>2531</v>
      </c>
      <c r="J537" s="38" t="s">
        <v>16</v>
      </c>
      <c r="K537" s="38" t="s">
        <v>2532</v>
      </c>
      <c r="L537" s="38" t="s">
        <v>46</v>
      </c>
      <c r="M537" s="37" t="s">
        <v>231</v>
      </c>
      <c r="N537" s="39" t="n">
        <v>38520</v>
      </c>
      <c r="O537" s="41" t="s">
        <v>23</v>
      </c>
      <c r="P537" s="41" t="s">
        <v>105</v>
      </c>
      <c r="Q537" s="42"/>
      <c r="R537" s="41"/>
      <c r="S537" s="42"/>
      <c r="T537" s="41"/>
    </row>
    <row r="538" customFormat="false" ht="13.5" hidden="false" customHeight="true" outlineLevel="0" collapsed="false">
      <c r="A538" s="37" t="n">
        <v>535</v>
      </c>
      <c r="B538" s="37" t="n">
        <v>2380</v>
      </c>
      <c r="C538" s="38" t="s">
        <v>2533</v>
      </c>
      <c r="D538" s="37" t="s">
        <v>100</v>
      </c>
      <c r="E538" s="39" t="n">
        <v>26602</v>
      </c>
      <c r="F538" s="37" t="n">
        <f aca="true">IFERROR(DATEDIF(E538,TODAY(),"Y"),"")</f>
        <v>53</v>
      </c>
      <c r="G538" s="40" t="s">
        <v>2534</v>
      </c>
      <c r="H538" s="40"/>
      <c r="I538" s="38" t="s">
        <v>2535</v>
      </c>
      <c r="J538" s="38" t="s">
        <v>15</v>
      </c>
      <c r="K538" s="38" t="s">
        <v>2536</v>
      </c>
      <c r="L538" s="38" t="s">
        <v>46</v>
      </c>
      <c r="M538" s="37"/>
      <c r="N538" s="39" t="n">
        <v>38520</v>
      </c>
      <c r="O538" s="41" t="s">
        <v>23</v>
      </c>
      <c r="P538" s="41" t="s">
        <v>105</v>
      </c>
      <c r="Q538" s="42"/>
      <c r="R538" s="41"/>
      <c r="S538" s="42"/>
      <c r="T538" s="41"/>
    </row>
    <row r="539" customFormat="false" ht="13.5" hidden="false" customHeight="true" outlineLevel="0" collapsed="false">
      <c r="A539" s="37" t="n">
        <v>536</v>
      </c>
      <c r="B539" s="37" t="n">
        <v>2382</v>
      </c>
      <c r="C539" s="38" t="s">
        <v>2537</v>
      </c>
      <c r="D539" s="37" t="s">
        <v>100</v>
      </c>
      <c r="E539" s="39" t="n">
        <v>26055</v>
      </c>
      <c r="F539" s="37" t="n">
        <f aca="true">IFERROR(DATEDIF(E539,TODAY(),"Y"),"")</f>
        <v>55</v>
      </c>
      <c r="G539" s="40" t="s">
        <v>2538</v>
      </c>
      <c r="H539" s="40" t="s">
        <v>2539</v>
      </c>
      <c r="I539" s="38" t="s">
        <v>2540</v>
      </c>
      <c r="J539" s="38" t="s">
        <v>16</v>
      </c>
      <c r="K539" s="38" t="s">
        <v>2541</v>
      </c>
      <c r="L539" s="38" t="s">
        <v>55</v>
      </c>
      <c r="M539" s="37"/>
      <c r="N539" s="39" t="n">
        <v>38520</v>
      </c>
      <c r="O539" s="41" t="s">
        <v>23</v>
      </c>
      <c r="P539" s="41" t="s">
        <v>105</v>
      </c>
      <c r="Q539" s="42"/>
      <c r="R539" s="41"/>
      <c r="S539" s="42"/>
      <c r="T539" s="41"/>
    </row>
    <row r="540" customFormat="false" ht="13.5" hidden="false" customHeight="true" outlineLevel="0" collapsed="false">
      <c r="A540" s="37" t="n">
        <v>537</v>
      </c>
      <c r="B540" s="37" t="n">
        <v>2387</v>
      </c>
      <c r="C540" s="38" t="s">
        <v>2542</v>
      </c>
      <c r="D540" s="37" t="s">
        <v>100</v>
      </c>
      <c r="E540" s="39" t="n">
        <v>29290</v>
      </c>
      <c r="F540" s="37" t="n">
        <f aca="true">IFERROR(DATEDIF(E540,TODAY(),"Y"),"")</f>
        <v>46</v>
      </c>
      <c r="G540" s="40" t="s">
        <v>2543</v>
      </c>
      <c r="H540" s="40"/>
      <c r="I540" s="38"/>
      <c r="J540" s="38" t="s">
        <v>16</v>
      </c>
      <c r="K540" s="38" t="s">
        <v>2544</v>
      </c>
      <c r="L540" s="38" t="s">
        <v>53</v>
      </c>
      <c r="M540" s="37"/>
      <c r="N540" s="39" t="n">
        <v>38520</v>
      </c>
      <c r="O540" s="41" t="s">
        <v>23</v>
      </c>
      <c r="P540" s="41" t="s">
        <v>105</v>
      </c>
      <c r="Q540" s="42"/>
      <c r="R540" s="41"/>
      <c r="S540" s="42"/>
      <c r="T540" s="41"/>
    </row>
    <row r="541" customFormat="false" ht="13.5" hidden="false" customHeight="true" outlineLevel="0" collapsed="false">
      <c r="A541" s="37" t="n">
        <v>538</v>
      </c>
      <c r="B541" s="37" t="n">
        <v>2394</v>
      </c>
      <c r="C541" s="38" t="s">
        <v>2545</v>
      </c>
      <c r="D541" s="37" t="s">
        <v>100</v>
      </c>
      <c r="E541" s="39" t="n">
        <v>25673</v>
      </c>
      <c r="F541" s="37" t="n">
        <f aca="true">IFERROR(DATEDIF(E541,TODAY(),"Y"),"")</f>
        <v>56</v>
      </c>
      <c r="G541" s="40" t="s">
        <v>2546</v>
      </c>
      <c r="H541" s="40" t="s">
        <v>2547</v>
      </c>
      <c r="I541" s="38" t="s">
        <v>2548</v>
      </c>
      <c r="J541" s="38" t="s">
        <v>15</v>
      </c>
      <c r="K541" s="38" t="s">
        <v>2549</v>
      </c>
      <c r="L541" s="38" t="s">
        <v>47</v>
      </c>
      <c r="M541" s="37" t="s">
        <v>104</v>
      </c>
      <c r="N541" s="39" t="n">
        <v>38520</v>
      </c>
      <c r="O541" s="41" t="s">
        <v>23</v>
      </c>
      <c r="P541" s="41" t="s">
        <v>105</v>
      </c>
      <c r="Q541" s="42"/>
      <c r="R541" s="41"/>
      <c r="S541" s="42"/>
      <c r="T541" s="41"/>
    </row>
    <row r="542" customFormat="false" ht="13.5" hidden="false" customHeight="true" outlineLevel="0" collapsed="false">
      <c r="A542" s="37" t="n">
        <v>539</v>
      </c>
      <c r="B542" s="37" t="n">
        <v>2395</v>
      </c>
      <c r="C542" s="38" t="s">
        <v>2550</v>
      </c>
      <c r="D542" s="37" t="s">
        <v>100</v>
      </c>
      <c r="E542" s="39" t="n">
        <v>27133</v>
      </c>
      <c r="F542" s="37" t="n">
        <f aca="true">IFERROR(DATEDIF(E542,TODAY(),"Y"),"")</f>
        <v>52</v>
      </c>
      <c r="G542" s="40" t="s">
        <v>2551</v>
      </c>
      <c r="H542" s="40"/>
      <c r="I542" s="38" t="s">
        <v>2552</v>
      </c>
      <c r="J542" s="38" t="s">
        <v>16</v>
      </c>
      <c r="K542" s="38" t="s">
        <v>2553</v>
      </c>
      <c r="L542" s="38" t="s">
        <v>52</v>
      </c>
      <c r="M542" s="37"/>
      <c r="N542" s="39" t="n">
        <v>38520</v>
      </c>
      <c r="O542" s="41" t="s">
        <v>23</v>
      </c>
      <c r="P542" s="41" t="s">
        <v>105</v>
      </c>
      <c r="Q542" s="42"/>
      <c r="R542" s="41"/>
      <c r="S542" s="42"/>
      <c r="T542" s="41"/>
    </row>
    <row r="543" customFormat="false" ht="13.5" hidden="false" customHeight="true" outlineLevel="0" collapsed="false">
      <c r="A543" s="37" t="n">
        <v>540</v>
      </c>
      <c r="B543" s="37" t="n">
        <v>2398</v>
      </c>
      <c r="C543" s="38" t="s">
        <v>2554</v>
      </c>
      <c r="D543" s="37" t="s">
        <v>100</v>
      </c>
      <c r="E543" s="39" t="n">
        <v>27926</v>
      </c>
      <c r="F543" s="37" t="n">
        <f aca="true">IFERROR(DATEDIF(E543,TODAY(),"Y"),"")</f>
        <v>50</v>
      </c>
      <c r="G543" s="40" t="s">
        <v>2555</v>
      </c>
      <c r="H543" s="40" t="s">
        <v>2556</v>
      </c>
      <c r="I543" s="38" t="s">
        <v>2557</v>
      </c>
      <c r="J543" s="38" t="s">
        <v>16</v>
      </c>
      <c r="K543" s="38" t="s">
        <v>2558</v>
      </c>
      <c r="L543" s="38" t="s">
        <v>47</v>
      </c>
      <c r="M543" s="37" t="s">
        <v>104</v>
      </c>
      <c r="N543" s="39" t="n">
        <v>38520</v>
      </c>
      <c r="O543" s="41" t="s">
        <v>23</v>
      </c>
      <c r="P543" s="41" t="s">
        <v>105</v>
      </c>
      <c r="Q543" s="42"/>
      <c r="R543" s="41"/>
      <c r="S543" s="42"/>
      <c r="T543" s="41"/>
    </row>
    <row r="544" customFormat="false" ht="13.5" hidden="false" customHeight="true" outlineLevel="0" collapsed="false">
      <c r="A544" s="37" t="n">
        <v>541</v>
      </c>
      <c r="B544" s="37" t="n">
        <v>2399</v>
      </c>
      <c r="C544" s="38" t="s">
        <v>2559</v>
      </c>
      <c r="D544" s="37" t="s">
        <v>100</v>
      </c>
      <c r="E544" s="39" t="n">
        <v>26434</v>
      </c>
      <c r="F544" s="37" t="n">
        <f aca="true">IFERROR(DATEDIF(E544,TODAY(),"Y"),"")</f>
        <v>54</v>
      </c>
      <c r="G544" s="40" t="s">
        <v>2560</v>
      </c>
      <c r="H544" s="40" t="s">
        <v>2561</v>
      </c>
      <c r="I544" s="38"/>
      <c r="J544" s="38" t="s">
        <v>15</v>
      </c>
      <c r="K544" s="38" t="s">
        <v>2562</v>
      </c>
      <c r="L544" s="43" t="s">
        <v>58</v>
      </c>
      <c r="M544" s="37"/>
      <c r="N544" s="39" t="n">
        <v>38520</v>
      </c>
      <c r="O544" s="41" t="s">
        <v>23</v>
      </c>
      <c r="P544" s="41" t="s">
        <v>105</v>
      </c>
      <c r="Q544" s="42"/>
      <c r="R544" s="41"/>
      <c r="S544" s="42"/>
      <c r="T544" s="41"/>
    </row>
    <row r="545" customFormat="false" ht="13.5" hidden="false" customHeight="true" outlineLevel="0" collapsed="false">
      <c r="A545" s="37" t="n">
        <v>542</v>
      </c>
      <c r="B545" s="37" t="n">
        <v>2400</v>
      </c>
      <c r="C545" s="38" t="s">
        <v>2563</v>
      </c>
      <c r="D545" s="37" t="s">
        <v>100</v>
      </c>
      <c r="E545" s="39" t="n">
        <v>28638</v>
      </c>
      <c r="F545" s="37" t="n">
        <f aca="true">IFERROR(DATEDIF(E545,TODAY(),"Y"),"")</f>
        <v>48</v>
      </c>
      <c r="G545" s="40" t="s">
        <v>2564</v>
      </c>
      <c r="H545" s="40"/>
      <c r="I545" s="38" t="s">
        <v>2565</v>
      </c>
      <c r="J545" s="38" t="s">
        <v>15</v>
      </c>
      <c r="K545" s="38" t="s">
        <v>2566</v>
      </c>
      <c r="L545" s="38" t="s">
        <v>46</v>
      </c>
      <c r="M545" s="37" t="s">
        <v>120</v>
      </c>
      <c r="N545" s="39" t="n">
        <v>38520</v>
      </c>
      <c r="O545" s="41" t="s">
        <v>23</v>
      </c>
      <c r="P545" s="41" t="s">
        <v>105</v>
      </c>
      <c r="Q545" s="42"/>
      <c r="R545" s="41"/>
      <c r="S545" s="42"/>
      <c r="T545" s="41"/>
    </row>
    <row r="546" customFormat="false" ht="13.5" hidden="false" customHeight="true" outlineLevel="0" collapsed="false">
      <c r="A546" s="37" t="n">
        <v>543</v>
      </c>
      <c r="B546" s="37" t="n">
        <v>2404</v>
      </c>
      <c r="C546" s="38" t="s">
        <v>2567</v>
      </c>
      <c r="D546" s="37" t="s">
        <v>100</v>
      </c>
      <c r="E546" s="39" t="n">
        <v>27139</v>
      </c>
      <c r="F546" s="37" t="n">
        <f aca="true">IFERROR(DATEDIF(E546,TODAY(),"Y"),"")</f>
        <v>52</v>
      </c>
      <c r="G546" s="40" t="s">
        <v>2568</v>
      </c>
      <c r="H546" s="40" t="s">
        <v>2569</v>
      </c>
      <c r="I546" s="38" t="s">
        <v>2570</v>
      </c>
      <c r="J546" s="38" t="s">
        <v>18</v>
      </c>
      <c r="K546" s="38" t="s">
        <v>2571</v>
      </c>
      <c r="L546" s="38" t="s">
        <v>55</v>
      </c>
      <c r="M546" s="37"/>
      <c r="N546" s="39" t="n">
        <v>38520</v>
      </c>
      <c r="O546" s="41" t="s">
        <v>23</v>
      </c>
      <c r="P546" s="41" t="s">
        <v>105</v>
      </c>
      <c r="Q546" s="42"/>
      <c r="R546" s="41"/>
      <c r="S546" s="42"/>
      <c r="T546" s="41"/>
    </row>
    <row r="547" customFormat="false" ht="13.5" hidden="false" customHeight="true" outlineLevel="0" collapsed="false">
      <c r="A547" s="37" t="n">
        <v>544</v>
      </c>
      <c r="B547" s="37" t="n">
        <v>2405</v>
      </c>
      <c r="C547" s="38" t="s">
        <v>2572</v>
      </c>
      <c r="D547" s="37" t="s">
        <v>100</v>
      </c>
      <c r="E547" s="39" t="n">
        <v>18323</v>
      </c>
      <c r="F547" s="37" t="n">
        <f aca="true">IFERROR(DATEDIF(E547,TODAY(),"Y"),"")</f>
        <v>76</v>
      </c>
      <c r="G547" s="40" t="s">
        <v>2573</v>
      </c>
      <c r="H547" s="40"/>
      <c r="I547" s="38" t="s">
        <v>2574</v>
      </c>
      <c r="J547" s="38" t="s">
        <v>15</v>
      </c>
      <c r="K547" s="38" t="s">
        <v>2575</v>
      </c>
      <c r="L547" s="38" t="s">
        <v>53</v>
      </c>
      <c r="M547" s="37"/>
      <c r="N547" s="39" t="n">
        <v>38520</v>
      </c>
      <c r="O547" s="41" t="s">
        <v>23</v>
      </c>
      <c r="P547" s="41" t="s">
        <v>105</v>
      </c>
      <c r="Q547" s="42"/>
      <c r="R547" s="41"/>
      <c r="S547" s="42"/>
      <c r="T547" s="41"/>
    </row>
    <row r="548" customFormat="false" ht="13.5" hidden="false" customHeight="true" outlineLevel="0" collapsed="false">
      <c r="A548" s="37" t="n">
        <v>545</v>
      </c>
      <c r="B548" s="37" t="n">
        <v>2407</v>
      </c>
      <c r="C548" s="38" t="s">
        <v>2576</v>
      </c>
      <c r="D548" s="37" t="s">
        <v>100</v>
      </c>
      <c r="E548" s="39" t="n">
        <v>29401</v>
      </c>
      <c r="F548" s="37" t="n">
        <f aca="true">IFERROR(DATEDIF(E548,TODAY(),"Y"),"")</f>
        <v>46</v>
      </c>
      <c r="G548" s="40" t="s">
        <v>2577</v>
      </c>
      <c r="H548" s="40" t="s">
        <v>2578</v>
      </c>
      <c r="I548" s="38" t="s">
        <v>2579</v>
      </c>
      <c r="J548" s="38" t="s">
        <v>16</v>
      </c>
      <c r="K548" s="38" t="s">
        <v>2580</v>
      </c>
      <c r="L548" s="38" t="s">
        <v>52</v>
      </c>
      <c r="M548" s="37"/>
      <c r="N548" s="39" t="n">
        <v>38520</v>
      </c>
      <c r="O548" s="41" t="s">
        <v>23</v>
      </c>
      <c r="P548" s="41" t="s">
        <v>105</v>
      </c>
      <c r="Q548" s="42"/>
      <c r="R548" s="41"/>
      <c r="S548" s="42"/>
      <c r="T548" s="41"/>
    </row>
    <row r="549" customFormat="false" ht="13.5" hidden="false" customHeight="true" outlineLevel="0" collapsed="false">
      <c r="A549" s="37" t="n">
        <v>546</v>
      </c>
      <c r="B549" s="37" t="n">
        <v>2411</v>
      </c>
      <c r="C549" s="38" t="s">
        <v>2581</v>
      </c>
      <c r="D549" s="37" t="s">
        <v>100</v>
      </c>
      <c r="E549" s="39" t="n">
        <v>21226</v>
      </c>
      <c r="F549" s="37" t="n">
        <f aca="true">IFERROR(DATEDIF(E549,TODAY(),"Y"),"")</f>
        <v>68</v>
      </c>
      <c r="G549" s="40" t="s">
        <v>2582</v>
      </c>
      <c r="H549" s="40" t="s">
        <v>2583</v>
      </c>
      <c r="I549" s="38" t="s">
        <v>2584</v>
      </c>
      <c r="J549" s="38" t="s">
        <v>15</v>
      </c>
      <c r="K549" s="38" t="s">
        <v>2585</v>
      </c>
      <c r="L549" s="38" t="s">
        <v>47</v>
      </c>
      <c r="M549" s="37"/>
      <c r="N549" s="39" t="n">
        <v>38520</v>
      </c>
      <c r="O549" s="41" t="s">
        <v>23</v>
      </c>
      <c r="P549" s="41" t="s">
        <v>105</v>
      </c>
      <c r="Q549" s="42"/>
      <c r="R549" s="41"/>
      <c r="S549" s="42"/>
      <c r="T549" s="41"/>
    </row>
    <row r="550" customFormat="false" ht="13.5" hidden="false" customHeight="true" outlineLevel="0" collapsed="false">
      <c r="A550" s="37" t="n">
        <v>547</v>
      </c>
      <c r="B550" s="37" t="n">
        <v>2417</v>
      </c>
      <c r="C550" s="38" t="s">
        <v>2586</v>
      </c>
      <c r="D550" s="37" t="s">
        <v>100</v>
      </c>
      <c r="E550" s="39" t="n">
        <v>23595</v>
      </c>
      <c r="F550" s="37" t="n">
        <f aca="true">IFERROR(DATEDIF(E550,TODAY(),"Y"),"")</f>
        <v>62</v>
      </c>
      <c r="G550" s="40" t="s">
        <v>2587</v>
      </c>
      <c r="H550" s="40"/>
      <c r="I550" s="38" t="s">
        <v>2588</v>
      </c>
      <c r="J550" s="38" t="s">
        <v>15</v>
      </c>
      <c r="K550" s="38" t="s">
        <v>2589</v>
      </c>
      <c r="L550" s="38" t="s">
        <v>46</v>
      </c>
      <c r="M550" s="37"/>
      <c r="N550" s="39" t="n">
        <v>38520</v>
      </c>
      <c r="O550" s="41" t="s">
        <v>23</v>
      </c>
      <c r="P550" s="41" t="s">
        <v>105</v>
      </c>
      <c r="Q550" s="42"/>
      <c r="R550" s="41"/>
      <c r="S550" s="42"/>
      <c r="T550" s="41"/>
    </row>
    <row r="551" customFormat="false" ht="13.5" hidden="false" customHeight="true" outlineLevel="0" collapsed="false">
      <c r="A551" s="37" t="n">
        <v>548</v>
      </c>
      <c r="B551" s="37" t="n">
        <v>2419</v>
      </c>
      <c r="C551" s="38" t="s">
        <v>2590</v>
      </c>
      <c r="D551" s="37" t="s">
        <v>100</v>
      </c>
      <c r="E551" s="39" t="n">
        <v>27132</v>
      </c>
      <c r="F551" s="37" t="n">
        <f aca="true">IFERROR(DATEDIF(E551,TODAY(),"Y"),"")</f>
        <v>52</v>
      </c>
      <c r="G551" s="40" t="s">
        <v>2591</v>
      </c>
      <c r="H551" s="40"/>
      <c r="I551" s="38" t="s">
        <v>2592</v>
      </c>
      <c r="J551" s="38" t="s">
        <v>15</v>
      </c>
      <c r="K551" s="38" t="s">
        <v>2593</v>
      </c>
      <c r="L551" s="38" t="s">
        <v>47</v>
      </c>
      <c r="M551" s="37"/>
      <c r="N551" s="39" t="n">
        <v>38520</v>
      </c>
      <c r="O551" s="41" t="s">
        <v>23</v>
      </c>
      <c r="P551" s="41" t="s">
        <v>105</v>
      </c>
      <c r="Q551" s="42"/>
      <c r="R551" s="41"/>
      <c r="S551" s="42"/>
      <c r="T551" s="41"/>
    </row>
    <row r="552" customFormat="false" ht="13.5" hidden="false" customHeight="true" outlineLevel="0" collapsed="false">
      <c r="A552" s="37" t="n">
        <v>549</v>
      </c>
      <c r="B552" s="37" t="n">
        <v>2420</v>
      </c>
      <c r="C552" s="38" t="s">
        <v>2594</v>
      </c>
      <c r="D552" s="37" t="s">
        <v>100</v>
      </c>
      <c r="E552" s="39" t="n">
        <v>29737</v>
      </c>
      <c r="F552" s="37" t="n">
        <f aca="true">IFERROR(DATEDIF(E552,TODAY(),"Y"),"")</f>
        <v>45</v>
      </c>
      <c r="G552" s="40" t="s">
        <v>2595</v>
      </c>
      <c r="H552" s="40"/>
      <c r="I552" s="38" t="s">
        <v>2596</v>
      </c>
      <c r="J552" s="38" t="s">
        <v>15</v>
      </c>
      <c r="K552" s="38" t="s">
        <v>2597</v>
      </c>
      <c r="L552" s="38" t="s">
        <v>46</v>
      </c>
      <c r="M552" s="37" t="s">
        <v>120</v>
      </c>
      <c r="N552" s="39" t="n">
        <v>38520</v>
      </c>
      <c r="O552" s="41" t="s">
        <v>23</v>
      </c>
      <c r="P552" s="41" t="s">
        <v>105</v>
      </c>
      <c r="Q552" s="42"/>
      <c r="R552" s="41"/>
      <c r="S552" s="42"/>
      <c r="T552" s="41"/>
    </row>
    <row r="553" customFormat="false" ht="13.5" hidden="false" customHeight="true" outlineLevel="0" collapsed="false">
      <c r="A553" s="37" t="n">
        <v>550</v>
      </c>
      <c r="B553" s="37" t="n">
        <v>2421</v>
      </c>
      <c r="C553" s="38" t="s">
        <v>2598</v>
      </c>
      <c r="D553" s="37" t="s">
        <v>100</v>
      </c>
      <c r="E553" s="39" t="n">
        <v>23146</v>
      </c>
      <c r="F553" s="37" t="n">
        <f aca="true">IFERROR(DATEDIF(E553,TODAY(),"Y"),"")</f>
        <v>63</v>
      </c>
      <c r="G553" s="40" t="s">
        <v>2599</v>
      </c>
      <c r="H553" s="40" t="s">
        <v>2600</v>
      </c>
      <c r="I553" s="38" t="s">
        <v>2601</v>
      </c>
      <c r="J553" s="38" t="s">
        <v>15</v>
      </c>
      <c r="K553" s="38" t="s">
        <v>2602</v>
      </c>
      <c r="L553" s="38" t="s">
        <v>51</v>
      </c>
      <c r="M553" s="37" t="s">
        <v>104</v>
      </c>
      <c r="N553" s="39" t="n">
        <v>38520</v>
      </c>
      <c r="O553" s="41" t="s">
        <v>23</v>
      </c>
      <c r="P553" s="41" t="s">
        <v>105</v>
      </c>
      <c r="Q553" s="42"/>
      <c r="R553" s="41"/>
      <c r="S553" s="42"/>
      <c r="T553" s="41"/>
    </row>
    <row r="554" customFormat="false" ht="13.5" hidden="false" customHeight="true" outlineLevel="0" collapsed="false">
      <c r="A554" s="37" t="n">
        <v>551</v>
      </c>
      <c r="B554" s="37" t="n">
        <v>2426</v>
      </c>
      <c r="C554" s="38" t="s">
        <v>2603</v>
      </c>
      <c r="D554" s="37" t="s">
        <v>100</v>
      </c>
      <c r="E554" s="39" t="n">
        <v>19695</v>
      </c>
      <c r="F554" s="37" t="n">
        <f aca="true">IFERROR(DATEDIF(E554,TODAY(),"Y"),"")</f>
        <v>72</v>
      </c>
      <c r="G554" s="40" t="s">
        <v>2604</v>
      </c>
      <c r="H554" s="40" t="s">
        <v>2605</v>
      </c>
      <c r="I554" s="38" t="s">
        <v>2606</v>
      </c>
      <c r="J554" s="38" t="s">
        <v>15</v>
      </c>
      <c r="K554" s="38" t="s">
        <v>2607</v>
      </c>
      <c r="L554" s="38" t="s">
        <v>54</v>
      </c>
      <c r="M554" s="37"/>
      <c r="N554" s="39" t="n">
        <v>38520</v>
      </c>
      <c r="O554" s="41" t="s">
        <v>23</v>
      </c>
      <c r="P554" s="41" t="s">
        <v>105</v>
      </c>
      <c r="Q554" s="42"/>
      <c r="R554" s="41"/>
      <c r="S554" s="42"/>
      <c r="T554" s="41"/>
    </row>
    <row r="555" customFormat="false" ht="13.5" hidden="false" customHeight="true" outlineLevel="0" collapsed="false">
      <c r="A555" s="37" t="n">
        <v>552</v>
      </c>
      <c r="B555" s="37" t="n">
        <v>2427</v>
      </c>
      <c r="C555" s="38" t="s">
        <v>2608</v>
      </c>
      <c r="D555" s="37" t="s">
        <v>100</v>
      </c>
      <c r="E555" s="39" t="n">
        <v>23446</v>
      </c>
      <c r="F555" s="37" t="n">
        <f aca="true">IFERROR(DATEDIF(E555,TODAY(),"Y"),"")</f>
        <v>62</v>
      </c>
      <c r="G555" s="40" t="s">
        <v>2609</v>
      </c>
      <c r="H555" s="40" t="s">
        <v>2610</v>
      </c>
      <c r="I555" s="38" t="s">
        <v>2611</v>
      </c>
      <c r="J555" s="38" t="s">
        <v>18</v>
      </c>
      <c r="K555" s="38" t="s">
        <v>2612</v>
      </c>
      <c r="L555" s="38" t="s">
        <v>55</v>
      </c>
      <c r="M555" s="37" t="s">
        <v>177</v>
      </c>
      <c r="N555" s="39" t="n">
        <v>38520</v>
      </c>
      <c r="O555" s="41" t="s">
        <v>23</v>
      </c>
      <c r="P555" s="41" t="s">
        <v>105</v>
      </c>
      <c r="Q555" s="42"/>
      <c r="R555" s="41"/>
      <c r="S555" s="42"/>
      <c r="T555" s="41"/>
    </row>
    <row r="556" customFormat="false" ht="13.5" hidden="false" customHeight="true" outlineLevel="0" collapsed="false">
      <c r="A556" s="37" t="n">
        <v>553</v>
      </c>
      <c r="B556" s="37" t="n">
        <v>2428</v>
      </c>
      <c r="C556" s="38" t="s">
        <v>2613</v>
      </c>
      <c r="D556" s="37" t="s">
        <v>100</v>
      </c>
      <c r="E556" s="39" t="n">
        <v>21624</v>
      </c>
      <c r="F556" s="37" t="n">
        <f aca="true">IFERROR(DATEDIF(E556,TODAY(),"Y"),"")</f>
        <v>67</v>
      </c>
      <c r="G556" s="40" t="s">
        <v>2614</v>
      </c>
      <c r="H556" s="40" t="s">
        <v>2615</v>
      </c>
      <c r="I556" s="38" t="s">
        <v>2616</v>
      </c>
      <c r="J556" s="38" t="s">
        <v>18</v>
      </c>
      <c r="K556" s="38" t="s">
        <v>2617</v>
      </c>
      <c r="L556" s="38" t="s">
        <v>52</v>
      </c>
      <c r="M556" s="37"/>
      <c r="N556" s="39" t="n">
        <v>38520</v>
      </c>
      <c r="O556" s="41" t="s">
        <v>23</v>
      </c>
      <c r="P556" s="41" t="s">
        <v>105</v>
      </c>
      <c r="Q556" s="42"/>
      <c r="R556" s="41"/>
      <c r="S556" s="42"/>
      <c r="T556" s="41"/>
    </row>
    <row r="557" customFormat="false" ht="13.5" hidden="false" customHeight="true" outlineLevel="0" collapsed="false">
      <c r="A557" s="37" t="n">
        <v>554</v>
      </c>
      <c r="B557" s="37" t="n">
        <v>2429</v>
      </c>
      <c r="C557" s="38" t="s">
        <v>2618</v>
      </c>
      <c r="D557" s="37" t="s">
        <v>100</v>
      </c>
      <c r="E557" s="39" t="n">
        <v>26814</v>
      </c>
      <c r="F557" s="37" t="n">
        <f aca="true">IFERROR(DATEDIF(E557,TODAY(),"Y"),"")</f>
        <v>53</v>
      </c>
      <c r="G557" s="40" t="s">
        <v>2619</v>
      </c>
      <c r="H557" s="40" t="s">
        <v>2620</v>
      </c>
      <c r="I557" s="38" t="s">
        <v>2621</v>
      </c>
      <c r="J557" s="38" t="s">
        <v>16</v>
      </c>
      <c r="K557" s="38" t="s">
        <v>2622</v>
      </c>
      <c r="L557" s="38" t="s">
        <v>55</v>
      </c>
      <c r="M557" s="37"/>
      <c r="N557" s="39" t="n">
        <v>38520</v>
      </c>
      <c r="O557" s="41" t="s">
        <v>23</v>
      </c>
      <c r="P557" s="41" t="s">
        <v>105</v>
      </c>
      <c r="Q557" s="42"/>
      <c r="R557" s="41"/>
      <c r="S557" s="42"/>
      <c r="T557" s="41"/>
    </row>
    <row r="558" customFormat="false" ht="13.5" hidden="false" customHeight="true" outlineLevel="0" collapsed="false">
      <c r="A558" s="37" t="n">
        <v>555</v>
      </c>
      <c r="B558" s="37" t="n">
        <v>2432</v>
      </c>
      <c r="C558" s="38" t="s">
        <v>2623</v>
      </c>
      <c r="D558" s="37" t="s">
        <v>100</v>
      </c>
      <c r="E558" s="39" t="n">
        <v>18308</v>
      </c>
      <c r="F558" s="37" t="n">
        <f aca="true">IFERROR(DATEDIF(E558,TODAY(),"Y"),"")</f>
        <v>76</v>
      </c>
      <c r="G558" s="40" t="s">
        <v>2624</v>
      </c>
      <c r="H558" s="40"/>
      <c r="I558" s="38" t="s">
        <v>2625</v>
      </c>
      <c r="J558" s="38" t="s">
        <v>18</v>
      </c>
      <c r="K558" s="38" t="s">
        <v>2626</v>
      </c>
      <c r="L558" s="38" t="s">
        <v>54</v>
      </c>
      <c r="M558" s="37"/>
      <c r="N558" s="39" t="n">
        <v>38520</v>
      </c>
      <c r="O558" s="41" t="s">
        <v>23</v>
      </c>
      <c r="P558" s="41" t="s">
        <v>105</v>
      </c>
      <c r="Q558" s="42"/>
      <c r="R558" s="41"/>
      <c r="S558" s="42"/>
      <c r="T558" s="41"/>
    </row>
    <row r="559" customFormat="false" ht="13.5" hidden="false" customHeight="true" outlineLevel="0" collapsed="false">
      <c r="A559" s="37" t="n">
        <v>556</v>
      </c>
      <c r="B559" s="37" t="n">
        <v>2434</v>
      </c>
      <c r="C559" s="38" t="s">
        <v>2627</v>
      </c>
      <c r="D559" s="37" t="s">
        <v>100</v>
      </c>
      <c r="E559" s="39" t="n">
        <v>27534</v>
      </c>
      <c r="F559" s="37" t="n">
        <f aca="true">IFERROR(DATEDIF(E559,TODAY(),"Y"),"")</f>
        <v>51</v>
      </c>
      <c r="G559" s="40" t="s">
        <v>2628</v>
      </c>
      <c r="H559" s="40"/>
      <c r="I559" s="38" t="s">
        <v>2629</v>
      </c>
      <c r="J559" s="38" t="s">
        <v>16</v>
      </c>
      <c r="K559" s="38" t="s">
        <v>2630</v>
      </c>
      <c r="L559" s="38" t="s">
        <v>47</v>
      </c>
      <c r="M559" s="37"/>
      <c r="N559" s="39" t="n">
        <v>38520</v>
      </c>
      <c r="O559" s="41" t="s">
        <v>23</v>
      </c>
      <c r="P559" s="41" t="s">
        <v>105</v>
      </c>
      <c r="Q559" s="42"/>
      <c r="R559" s="41"/>
      <c r="S559" s="42"/>
      <c r="T559" s="41"/>
    </row>
    <row r="560" customFormat="false" ht="13.5" hidden="false" customHeight="true" outlineLevel="0" collapsed="false">
      <c r="A560" s="37" t="n">
        <v>557</v>
      </c>
      <c r="B560" s="37" t="n">
        <v>2437</v>
      </c>
      <c r="C560" s="38" t="s">
        <v>2631</v>
      </c>
      <c r="D560" s="37" t="s">
        <v>100</v>
      </c>
      <c r="E560" s="39" t="n">
        <v>23181</v>
      </c>
      <c r="F560" s="37" t="n">
        <f aca="true">IFERROR(DATEDIF(E560,TODAY(),"Y"),"")</f>
        <v>63</v>
      </c>
      <c r="G560" s="40" t="s">
        <v>2632</v>
      </c>
      <c r="H560" s="40" t="s">
        <v>2633</v>
      </c>
      <c r="I560" s="38" t="s">
        <v>2634</v>
      </c>
      <c r="J560" s="38"/>
      <c r="K560" s="38" t="s">
        <v>2635</v>
      </c>
      <c r="L560" s="38" t="s">
        <v>44</v>
      </c>
      <c r="M560" s="37"/>
      <c r="N560" s="39" t="n">
        <v>38520</v>
      </c>
      <c r="O560" s="41" t="s">
        <v>23</v>
      </c>
      <c r="P560" s="41" t="s">
        <v>105</v>
      </c>
      <c r="Q560" s="42"/>
      <c r="R560" s="41"/>
      <c r="S560" s="42"/>
      <c r="T560" s="41"/>
    </row>
    <row r="561" customFormat="false" ht="13.5" hidden="false" customHeight="true" outlineLevel="0" collapsed="false">
      <c r="A561" s="37" t="n">
        <v>558</v>
      </c>
      <c r="B561" s="37" t="n">
        <v>2439</v>
      </c>
      <c r="C561" s="38" t="s">
        <v>2636</v>
      </c>
      <c r="D561" s="37" t="s">
        <v>100</v>
      </c>
      <c r="E561" s="39" t="n">
        <v>22798</v>
      </c>
      <c r="F561" s="37" t="n">
        <f aca="true">IFERROR(DATEDIF(E561,TODAY(),"Y"),"")</f>
        <v>64</v>
      </c>
      <c r="G561" s="40" t="s">
        <v>2637</v>
      </c>
      <c r="H561" s="40"/>
      <c r="I561" s="38" t="s">
        <v>2638</v>
      </c>
      <c r="J561" s="38" t="s">
        <v>16</v>
      </c>
      <c r="K561" s="38" t="s">
        <v>2639</v>
      </c>
      <c r="L561" s="38" t="s">
        <v>55</v>
      </c>
      <c r="M561" s="37"/>
      <c r="N561" s="39" t="n">
        <v>38520</v>
      </c>
      <c r="O561" s="41" t="s">
        <v>23</v>
      </c>
      <c r="P561" s="41" t="s">
        <v>105</v>
      </c>
      <c r="Q561" s="42"/>
      <c r="R561" s="41"/>
      <c r="S561" s="42"/>
      <c r="T561" s="41"/>
    </row>
    <row r="562" customFormat="false" ht="13.5" hidden="false" customHeight="true" outlineLevel="0" collapsed="false">
      <c r="A562" s="37" t="n">
        <v>559</v>
      </c>
      <c r="B562" s="37" t="n">
        <v>2443</v>
      </c>
      <c r="C562" s="38" t="s">
        <v>2640</v>
      </c>
      <c r="D562" s="37" t="s">
        <v>100</v>
      </c>
      <c r="E562" s="39" t="n">
        <v>20057</v>
      </c>
      <c r="F562" s="37" t="n">
        <f aca="true">IFERROR(DATEDIF(E562,TODAY(),"Y"),"")</f>
        <v>71</v>
      </c>
      <c r="G562" s="40" t="s">
        <v>2641</v>
      </c>
      <c r="H562" s="40"/>
      <c r="I562" s="38" t="s">
        <v>2642</v>
      </c>
      <c r="J562" s="38" t="s">
        <v>15</v>
      </c>
      <c r="K562" s="38" t="s">
        <v>2643</v>
      </c>
      <c r="L562" s="38" t="s">
        <v>46</v>
      </c>
      <c r="M562" s="37"/>
      <c r="N562" s="39" t="n">
        <v>38520</v>
      </c>
      <c r="O562" s="41" t="s">
        <v>23</v>
      </c>
      <c r="P562" s="41" t="s">
        <v>105</v>
      </c>
      <c r="Q562" s="42"/>
      <c r="R562" s="41"/>
      <c r="S562" s="42"/>
      <c r="T562" s="41"/>
    </row>
    <row r="563" customFormat="false" ht="13.5" hidden="false" customHeight="true" outlineLevel="0" collapsed="false">
      <c r="A563" s="37" t="n">
        <v>560</v>
      </c>
      <c r="B563" s="37" t="n">
        <v>2447</v>
      </c>
      <c r="C563" s="38" t="s">
        <v>2644</v>
      </c>
      <c r="D563" s="37" t="s">
        <v>100</v>
      </c>
      <c r="E563" s="39" t="n">
        <v>29951</v>
      </c>
      <c r="F563" s="37" t="n">
        <f aca="true">IFERROR(DATEDIF(E563,TODAY(),"Y"),"")</f>
        <v>44</v>
      </c>
      <c r="G563" s="40" t="s">
        <v>2645</v>
      </c>
      <c r="H563" s="40" t="s">
        <v>2646</v>
      </c>
      <c r="I563" s="38" t="s">
        <v>2647</v>
      </c>
      <c r="J563" s="38" t="s">
        <v>16</v>
      </c>
      <c r="K563" s="38" t="s">
        <v>2648</v>
      </c>
      <c r="L563" s="38" t="s">
        <v>55</v>
      </c>
      <c r="M563" s="37" t="s">
        <v>104</v>
      </c>
      <c r="N563" s="39" t="n">
        <v>38520</v>
      </c>
      <c r="O563" s="41" t="s">
        <v>23</v>
      </c>
      <c r="P563" s="41" t="s">
        <v>105</v>
      </c>
      <c r="Q563" s="42"/>
      <c r="R563" s="41"/>
      <c r="S563" s="42"/>
      <c r="T563" s="41"/>
    </row>
    <row r="564" customFormat="false" ht="13.5" hidden="false" customHeight="true" outlineLevel="0" collapsed="false">
      <c r="A564" s="37" t="n">
        <v>561</v>
      </c>
      <c r="B564" s="37" t="n">
        <v>2450</v>
      </c>
      <c r="C564" s="38" t="s">
        <v>2649</v>
      </c>
      <c r="D564" s="37" t="s">
        <v>100</v>
      </c>
      <c r="E564" s="39" t="n">
        <v>22793</v>
      </c>
      <c r="F564" s="37" t="n">
        <f aca="true">IFERROR(DATEDIF(E564,TODAY(),"Y"),"")</f>
        <v>64</v>
      </c>
      <c r="G564" s="40" t="s">
        <v>2650</v>
      </c>
      <c r="H564" s="40" t="s">
        <v>2651</v>
      </c>
      <c r="I564" s="38" t="s">
        <v>2652</v>
      </c>
      <c r="J564" s="38" t="s">
        <v>16</v>
      </c>
      <c r="K564" s="38" t="s">
        <v>2653</v>
      </c>
      <c r="L564" s="43" t="s">
        <v>58</v>
      </c>
      <c r="M564" s="37" t="s">
        <v>177</v>
      </c>
      <c r="N564" s="39" t="n">
        <v>38520</v>
      </c>
      <c r="O564" s="41" t="s">
        <v>23</v>
      </c>
      <c r="P564" s="41" t="s">
        <v>105</v>
      </c>
      <c r="Q564" s="42"/>
      <c r="R564" s="41"/>
      <c r="S564" s="42"/>
      <c r="T564" s="41"/>
    </row>
    <row r="565" customFormat="false" ht="13.5" hidden="false" customHeight="true" outlineLevel="0" collapsed="false">
      <c r="A565" s="37" t="n">
        <v>562</v>
      </c>
      <c r="B565" s="37" t="n">
        <v>2454</v>
      </c>
      <c r="C565" s="38" t="s">
        <v>2654</v>
      </c>
      <c r="D565" s="37" t="s">
        <v>100</v>
      </c>
      <c r="E565" s="39" t="n">
        <v>21115</v>
      </c>
      <c r="F565" s="37" t="n">
        <f aca="true">IFERROR(DATEDIF(E565,TODAY(),"Y"),"")</f>
        <v>68</v>
      </c>
      <c r="G565" s="40" t="s">
        <v>2655</v>
      </c>
      <c r="H565" s="40"/>
      <c r="I565" s="38" t="s">
        <v>2656</v>
      </c>
      <c r="J565" s="38" t="s">
        <v>15</v>
      </c>
      <c r="K565" s="38" t="s">
        <v>2657</v>
      </c>
      <c r="L565" s="38" t="s">
        <v>55</v>
      </c>
      <c r="M565" s="37"/>
      <c r="N565" s="39" t="n">
        <v>38520</v>
      </c>
      <c r="O565" s="41" t="s">
        <v>23</v>
      </c>
      <c r="P565" s="41" t="s">
        <v>105</v>
      </c>
      <c r="Q565" s="42"/>
      <c r="R565" s="41"/>
      <c r="S565" s="42"/>
      <c r="T565" s="41"/>
    </row>
    <row r="566" customFormat="false" ht="13.5" hidden="false" customHeight="true" outlineLevel="0" collapsed="false">
      <c r="A566" s="37" t="n">
        <v>563</v>
      </c>
      <c r="B566" s="37" t="n">
        <v>2457</v>
      </c>
      <c r="C566" s="38" t="s">
        <v>2658</v>
      </c>
      <c r="D566" s="37" t="s">
        <v>100</v>
      </c>
      <c r="E566" s="39" t="n">
        <v>23872</v>
      </c>
      <c r="F566" s="37" t="n">
        <f aca="true">IFERROR(DATEDIF(E566,TODAY(),"Y"),"")</f>
        <v>61</v>
      </c>
      <c r="G566" s="40" t="s">
        <v>2659</v>
      </c>
      <c r="H566" s="40" t="s">
        <v>2660</v>
      </c>
      <c r="I566" s="38" t="s">
        <v>2661</v>
      </c>
      <c r="J566" s="38" t="s">
        <v>15</v>
      </c>
      <c r="K566" s="38" t="s">
        <v>2662</v>
      </c>
      <c r="L566" s="38" t="s">
        <v>51</v>
      </c>
      <c r="M566" s="37" t="s">
        <v>177</v>
      </c>
      <c r="N566" s="39" t="n">
        <v>38520</v>
      </c>
      <c r="O566" s="41" t="s">
        <v>23</v>
      </c>
      <c r="P566" s="41" t="s">
        <v>105</v>
      </c>
      <c r="Q566" s="42"/>
      <c r="R566" s="41"/>
      <c r="S566" s="42"/>
      <c r="T566" s="41"/>
    </row>
    <row r="567" customFormat="false" ht="13.5" hidden="false" customHeight="true" outlineLevel="0" collapsed="false">
      <c r="A567" s="37" t="n">
        <v>564</v>
      </c>
      <c r="B567" s="37" t="n">
        <v>2458</v>
      </c>
      <c r="C567" s="38" t="s">
        <v>2663</v>
      </c>
      <c r="D567" s="37" t="s">
        <v>100</v>
      </c>
      <c r="E567" s="39" t="n">
        <v>26083</v>
      </c>
      <c r="F567" s="37" t="n">
        <f aca="true">IFERROR(DATEDIF(E567,TODAY(),"Y"),"")</f>
        <v>55</v>
      </c>
      <c r="G567" s="40" t="s">
        <v>2664</v>
      </c>
      <c r="H567" s="40" t="s">
        <v>2665</v>
      </c>
      <c r="I567" s="38" t="s">
        <v>2666</v>
      </c>
      <c r="J567" s="38" t="s">
        <v>16</v>
      </c>
      <c r="K567" s="38" t="s">
        <v>2667</v>
      </c>
      <c r="L567" s="38" t="s">
        <v>55</v>
      </c>
      <c r="M567" s="37"/>
      <c r="N567" s="39" t="n">
        <v>38520</v>
      </c>
      <c r="O567" s="41" t="s">
        <v>23</v>
      </c>
      <c r="P567" s="41" t="s">
        <v>105</v>
      </c>
      <c r="Q567" s="42"/>
      <c r="R567" s="41"/>
      <c r="S567" s="42"/>
      <c r="T567" s="41"/>
    </row>
    <row r="568" customFormat="false" ht="13.5" hidden="false" customHeight="true" outlineLevel="0" collapsed="false">
      <c r="A568" s="37" t="n">
        <v>565</v>
      </c>
      <c r="B568" s="37" t="n">
        <v>2462</v>
      </c>
      <c r="C568" s="38" t="s">
        <v>2668</v>
      </c>
      <c r="D568" s="37" t="s">
        <v>100</v>
      </c>
      <c r="E568" s="39" t="n">
        <v>21709</v>
      </c>
      <c r="F568" s="37" t="n">
        <f aca="true">IFERROR(DATEDIF(E568,TODAY(),"Y"),"")</f>
        <v>67</v>
      </c>
      <c r="G568" s="40" t="s">
        <v>2669</v>
      </c>
      <c r="H568" s="40" t="s">
        <v>2670</v>
      </c>
      <c r="I568" s="38" t="s">
        <v>2671</v>
      </c>
      <c r="J568" s="38" t="s">
        <v>15</v>
      </c>
      <c r="K568" s="38" t="s">
        <v>2672</v>
      </c>
      <c r="L568" s="38" t="s">
        <v>44</v>
      </c>
      <c r="M568" s="37"/>
      <c r="N568" s="39" t="n">
        <v>38520</v>
      </c>
      <c r="O568" s="41" t="s">
        <v>23</v>
      </c>
      <c r="P568" s="41" t="s">
        <v>105</v>
      </c>
      <c r="Q568" s="42"/>
      <c r="R568" s="41"/>
      <c r="S568" s="42"/>
      <c r="T568" s="41"/>
    </row>
    <row r="569" customFormat="false" ht="13.5" hidden="false" customHeight="true" outlineLevel="0" collapsed="false">
      <c r="A569" s="37" t="n">
        <v>566</v>
      </c>
      <c r="B569" s="37" t="n">
        <v>2464</v>
      </c>
      <c r="C569" s="38" t="s">
        <v>2673</v>
      </c>
      <c r="D569" s="37" t="s">
        <v>100</v>
      </c>
      <c r="E569" s="39" t="n">
        <v>20017</v>
      </c>
      <c r="F569" s="37" t="n">
        <f aca="true">IFERROR(DATEDIF(E569,TODAY(),"Y"),"")</f>
        <v>71</v>
      </c>
      <c r="G569" s="40" t="s">
        <v>2674</v>
      </c>
      <c r="H569" s="40" t="s">
        <v>2675</v>
      </c>
      <c r="I569" s="38" t="s">
        <v>2676</v>
      </c>
      <c r="J569" s="38" t="s">
        <v>16</v>
      </c>
      <c r="K569" s="38" t="s">
        <v>2677</v>
      </c>
      <c r="L569" s="38" t="s">
        <v>55</v>
      </c>
      <c r="M569" s="37"/>
      <c r="N569" s="39" t="n">
        <v>38520</v>
      </c>
      <c r="O569" s="41" t="s">
        <v>23</v>
      </c>
      <c r="P569" s="41" t="s">
        <v>105</v>
      </c>
      <c r="Q569" s="42"/>
      <c r="R569" s="41"/>
      <c r="S569" s="42"/>
      <c r="T569" s="41"/>
    </row>
    <row r="570" customFormat="false" ht="13.5" hidden="false" customHeight="true" outlineLevel="0" collapsed="false">
      <c r="A570" s="37" t="n">
        <v>567</v>
      </c>
      <c r="B570" s="37" t="n">
        <v>2467</v>
      </c>
      <c r="C570" s="38" t="s">
        <v>2678</v>
      </c>
      <c r="D570" s="37" t="s">
        <v>100</v>
      </c>
      <c r="E570" s="39" t="n">
        <v>24906</v>
      </c>
      <c r="F570" s="37" t="n">
        <f aca="true">IFERROR(DATEDIF(E570,TODAY(),"Y"),"")</f>
        <v>58</v>
      </c>
      <c r="G570" s="40" t="s">
        <v>2679</v>
      </c>
      <c r="H570" s="40" t="s">
        <v>2680</v>
      </c>
      <c r="I570" s="38"/>
      <c r="J570" s="38" t="s">
        <v>15</v>
      </c>
      <c r="K570" s="38" t="s">
        <v>2681</v>
      </c>
      <c r="L570" s="38" t="s">
        <v>47</v>
      </c>
      <c r="M570" s="37" t="s">
        <v>231</v>
      </c>
      <c r="N570" s="39" t="n">
        <v>38520</v>
      </c>
      <c r="O570" s="41" t="s">
        <v>23</v>
      </c>
      <c r="P570" s="41" t="s">
        <v>105</v>
      </c>
      <c r="Q570" s="42"/>
      <c r="R570" s="41"/>
      <c r="S570" s="42"/>
      <c r="T570" s="41"/>
    </row>
    <row r="571" customFormat="false" ht="13.5" hidden="false" customHeight="true" outlineLevel="0" collapsed="false">
      <c r="A571" s="37" t="n">
        <v>568</v>
      </c>
      <c r="B571" s="37" t="n">
        <v>2473</v>
      </c>
      <c r="C571" s="38" t="s">
        <v>2682</v>
      </c>
      <c r="D571" s="37" t="s">
        <v>100</v>
      </c>
      <c r="E571" s="39" t="n">
        <v>26608</v>
      </c>
      <c r="F571" s="37" t="n">
        <f aca="true">IFERROR(DATEDIF(E571,TODAY(),"Y"),"")</f>
        <v>53</v>
      </c>
      <c r="G571" s="40" t="s">
        <v>2683</v>
      </c>
      <c r="H571" s="40"/>
      <c r="I571" s="38" t="s">
        <v>2684</v>
      </c>
      <c r="J571" s="38" t="s">
        <v>16</v>
      </c>
      <c r="K571" s="38" t="s">
        <v>2685</v>
      </c>
      <c r="L571" s="38" t="s">
        <v>46</v>
      </c>
      <c r="M571" s="37" t="s">
        <v>104</v>
      </c>
      <c r="N571" s="39" t="n">
        <v>38520</v>
      </c>
      <c r="O571" s="41" t="s">
        <v>23</v>
      </c>
      <c r="P571" s="41" t="s">
        <v>105</v>
      </c>
      <c r="Q571" s="42"/>
      <c r="R571" s="41"/>
      <c r="S571" s="42"/>
      <c r="T571" s="41"/>
    </row>
    <row r="572" customFormat="false" ht="13.5" hidden="false" customHeight="true" outlineLevel="0" collapsed="false">
      <c r="A572" s="37" t="n">
        <v>569</v>
      </c>
      <c r="B572" s="37" t="n">
        <v>2482</v>
      </c>
      <c r="C572" s="38" t="s">
        <v>2686</v>
      </c>
      <c r="D572" s="37" t="s">
        <v>100</v>
      </c>
      <c r="E572" s="39" t="n">
        <v>24970</v>
      </c>
      <c r="F572" s="37" t="n">
        <f aca="true">IFERROR(DATEDIF(E572,TODAY(),"Y"),"")</f>
        <v>58</v>
      </c>
      <c r="G572" s="40" t="s">
        <v>2687</v>
      </c>
      <c r="H572" s="40" t="s">
        <v>2688</v>
      </c>
      <c r="I572" s="38" t="s">
        <v>2689</v>
      </c>
      <c r="J572" s="38" t="s">
        <v>15</v>
      </c>
      <c r="K572" s="38" t="s">
        <v>2690</v>
      </c>
      <c r="L572" s="38" t="s">
        <v>55</v>
      </c>
      <c r="M572" s="37" t="s">
        <v>120</v>
      </c>
      <c r="N572" s="39" t="n">
        <v>38520</v>
      </c>
      <c r="O572" s="41" t="s">
        <v>23</v>
      </c>
      <c r="P572" s="41" t="s">
        <v>105</v>
      </c>
      <c r="Q572" s="42"/>
      <c r="R572" s="41"/>
      <c r="S572" s="42"/>
      <c r="T572" s="41"/>
    </row>
    <row r="573" customFormat="false" ht="13.5" hidden="false" customHeight="true" outlineLevel="0" collapsed="false">
      <c r="A573" s="37" t="n">
        <v>570</v>
      </c>
      <c r="B573" s="37" t="n">
        <v>2483</v>
      </c>
      <c r="C573" s="38" t="s">
        <v>2691</v>
      </c>
      <c r="D573" s="37" t="s">
        <v>100</v>
      </c>
      <c r="E573" s="39" t="n">
        <v>24258</v>
      </c>
      <c r="F573" s="37" t="n">
        <f aca="true">IFERROR(DATEDIF(E573,TODAY(),"Y"),"")</f>
        <v>60</v>
      </c>
      <c r="G573" s="40" t="s">
        <v>2692</v>
      </c>
      <c r="H573" s="40" t="s">
        <v>2693</v>
      </c>
      <c r="I573" s="38" t="s">
        <v>2694</v>
      </c>
      <c r="J573" s="38" t="s">
        <v>16</v>
      </c>
      <c r="K573" s="38" t="s">
        <v>2695</v>
      </c>
      <c r="L573" s="38" t="s">
        <v>48</v>
      </c>
      <c r="M573" s="37" t="s">
        <v>120</v>
      </c>
      <c r="N573" s="39" t="n">
        <v>38520</v>
      </c>
      <c r="O573" s="41" t="s">
        <v>23</v>
      </c>
      <c r="P573" s="41" t="s">
        <v>105</v>
      </c>
      <c r="Q573" s="42"/>
      <c r="R573" s="41"/>
      <c r="S573" s="42"/>
      <c r="T573" s="41"/>
    </row>
    <row r="574" customFormat="false" ht="13.5" hidden="false" customHeight="true" outlineLevel="0" collapsed="false">
      <c r="A574" s="37" t="n">
        <v>571</v>
      </c>
      <c r="B574" s="37" t="n">
        <v>2486</v>
      </c>
      <c r="C574" s="38" t="s">
        <v>2696</v>
      </c>
      <c r="D574" s="37" t="s">
        <v>100</v>
      </c>
      <c r="E574" s="39" t="n">
        <v>27741</v>
      </c>
      <c r="F574" s="37" t="n">
        <f aca="true">IFERROR(DATEDIF(E574,TODAY(),"Y"),"")</f>
        <v>50</v>
      </c>
      <c r="G574" s="40" t="s">
        <v>2697</v>
      </c>
      <c r="H574" s="40" t="s">
        <v>2698</v>
      </c>
      <c r="I574" s="38" t="s">
        <v>2699</v>
      </c>
      <c r="J574" s="38" t="s">
        <v>16</v>
      </c>
      <c r="K574" s="38" t="s">
        <v>2700</v>
      </c>
      <c r="L574" s="38" t="s">
        <v>56</v>
      </c>
      <c r="M574" s="37"/>
      <c r="N574" s="39" t="n">
        <v>38520</v>
      </c>
      <c r="O574" s="41" t="s">
        <v>23</v>
      </c>
      <c r="P574" s="41" t="s">
        <v>105</v>
      </c>
      <c r="Q574" s="42"/>
      <c r="R574" s="41"/>
      <c r="S574" s="42"/>
      <c r="T574" s="41"/>
    </row>
    <row r="575" customFormat="false" ht="13.5" hidden="false" customHeight="true" outlineLevel="0" collapsed="false">
      <c r="A575" s="37" t="n">
        <v>572</v>
      </c>
      <c r="B575" s="37" t="n">
        <v>2488</v>
      </c>
      <c r="C575" s="38" t="s">
        <v>2701</v>
      </c>
      <c r="D575" s="37" t="s">
        <v>100</v>
      </c>
      <c r="E575" s="39" t="n">
        <v>25294</v>
      </c>
      <c r="F575" s="37" t="n">
        <f aca="true">IFERROR(DATEDIF(E575,TODAY(),"Y"),"")</f>
        <v>57</v>
      </c>
      <c r="G575" s="40" t="s">
        <v>2702</v>
      </c>
      <c r="H575" s="40"/>
      <c r="I575" s="38" t="s">
        <v>2703</v>
      </c>
      <c r="J575" s="38" t="s">
        <v>16</v>
      </c>
      <c r="K575" s="38" t="s">
        <v>2704</v>
      </c>
      <c r="L575" s="38" t="s">
        <v>46</v>
      </c>
      <c r="M575" s="37"/>
      <c r="N575" s="39" t="n">
        <v>38520</v>
      </c>
      <c r="O575" s="41" t="s">
        <v>23</v>
      </c>
      <c r="P575" s="41" t="s">
        <v>105</v>
      </c>
      <c r="Q575" s="42"/>
      <c r="R575" s="41"/>
      <c r="S575" s="42"/>
      <c r="T575" s="41"/>
    </row>
    <row r="576" customFormat="false" ht="13.5" hidden="false" customHeight="true" outlineLevel="0" collapsed="false">
      <c r="A576" s="37" t="n">
        <v>573</v>
      </c>
      <c r="B576" s="37" t="n">
        <v>2490</v>
      </c>
      <c r="C576" s="38" t="s">
        <v>2705</v>
      </c>
      <c r="D576" s="37" t="s">
        <v>100</v>
      </c>
      <c r="E576" s="39" t="n">
        <v>29815</v>
      </c>
      <c r="F576" s="37" t="n">
        <f aca="true">IFERROR(DATEDIF(E576,TODAY(),"Y"),"")</f>
        <v>44</v>
      </c>
      <c r="G576" s="40" t="s">
        <v>2706</v>
      </c>
      <c r="H576" s="40"/>
      <c r="I576" s="38" t="s">
        <v>2707</v>
      </c>
      <c r="J576" s="38" t="s">
        <v>15</v>
      </c>
      <c r="K576" s="38" t="s">
        <v>2708</v>
      </c>
      <c r="L576" s="38" t="s">
        <v>54</v>
      </c>
      <c r="M576" s="37" t="s">
        <v>120</v>
      </c>
      <c r="N576" s="39" t="n">
        <v>38520</v>
      </c>
      <c r="O576" s="41" t="s">
        <v>23</v>
      </c>
      <c r="P576" s="41" t="s">
        <v>105</v>
      </c>
      <c r="Q576" s="42"/>
      <c r="R576" s="41"/>
      <c r="S576" s="42"/>
      <c r="T576" s="41"/>
    </row>
    <row r="577" customFormat="false" ht="13.5" hidden="false" customHeight="true" outlineLevel="0" collapsed="false">
      <c r="A577" s="37" t="n">
        <v>574</v>
      </c>
      <c r="B577" s="37" t="n">
        <v>2491</v>
      </c>
      <c r="C577" s="38" t="s">
        <v>2709</v>
      </c>
      <c r="D577" s="37" t="s">
        <v>100</v>
      </c>
      <c r="E577" s="39" t="n">
        <v>23165</v>
      </c>
      <c r="F577" s="37" t="n">
        <f aca="true">IFERROR(DATEDIF(E577,TODAY(),"Y"),"")</f>
        <v>63</v>
      </c>
      <c r="G577" s="40" t="s">
        <v>2710</v>
      </c>
      <c r="H577" s="40" t="s">
        <v>2711</v>
      </c>
      <c r="I577" s="38"/>
      <c r="J577" s="38" t="s">
        <v>18</v>
      </c>
      <c r="K577" s="38" t="s">
        <v>2712</v>
      </c>
      <c r="L577" s="38" t="s">
        <v>55</v>
      </c>
      <c r="M577" s="37"/>
      <c r="N577" s="39" t="n">
        <v>38520</v>
      </c>
      <c r="O577" s="41" t="s">
        <v>23</v>
      </c>
      <c r="P577" s="41" t="s">
        <v>105</v>
      </c>
      <c r="Q577" s="42"/>
      <c r="R577" s="41"/>
      <c r="S577" s="42"/>
      <c r="T577" s="41"/>
    </row>
    <row r="578" customFormat="false" ht="13.5" hidden="false" customHeight="true" outlineLevel="0" collapsed="false">
      <c r="A578" s="37" t="n">
        <v>575</v>
      </c>
      <c r="B578" s="37" t="n">
        <v>2492</v>
      </c>
      <c r="C578" s="38" t="s">
        <v>2713</v>
      </c>
      <c r="D578" s="37" t="s">
        <v>100</v>
      </c>
      <c r="E578" s="39" t="n">
        <v>25578</v>
      </c>
      <c r="F578" s="37" t="n">
        <f aca="true">IFERROR(DATEDIF(E578,TODAY(),"Y"),"")</f>
        <v>56</v>
      </c>
      <c r="G578" s="40" t="s">
        <v>2714</v>
      </c>
      <c r="H578" s="40" t="s">
        <v>2715</v>
      </c>
      <c r="I578" s="38" t="s">
        <v>2716</v>
      </c>
      <c r="J578" s="38" t="s">
        <v>16</v>
      </c>
      <c r="K578" s="38" t="s">
        <v>2717</v>
      </c>
      <c r="L578" s="38" t="s">
        <v>47</v>
      </c>
      <c r="M578" s="37"/>
      <c r="N578" s="39" t="n">
        <v>38520</v>
      </c>
      <c r="O578" s="41" t="s">
        <v>23</v>
      </c>
      <c r="P578" s="41" t="s">
        <v>105</v>
      </c>
      <c r="Q578" s="42"/>
      <c r="R578" s="41"/>
      <c r="S578" s="42"/>
      <c r="T578" s="41"/>
    </row>
    <row r="579" customFormat="false" ht="13.5" hidden="false" customHeight="true" outlineLevel="0" collapsed="false">
      <c r="A579" s="37" t="n">
        <v>576</v>
      </c>
      <c r="B579" s="37" t="n">
        <v>2496</v>
      </c>
      <c r="C579" s="38" t="s">
        <v>2718</v>
      </c>
      <c r="D579" s="37" t="s">
        <v>100</v>
      </c>
      <c r="E579" s="39" t="n">
        <v>22775</v>
      </c>
      <c r="F579" s="37" t="n">
        <f aca="true">IFERROR(DATEDIF(E579,TODAY(),"Y"),"")</f>
        <v>64</v>
      </c>
      <c r="G579" s="40" t="s">
        <v>2719</v>
      </c>
      <c r="H579" s="40" t="s">
        <v>2720</v>
      </c>
      <c r="I579" s="38" t="s">
        <v>2721</v>
      </c>
      <c r="J579" s="38" t="s">
        <v>15</v>
      </c>
      <c r="K579" s="38" t="s">
        <v>2722</v>
      </c>
      <c r="L579" s="38" t="s">
        <v>43</v>
      </c>
      <c r="M579" s="37"/>
      <c r="N579" s="39" t="n">
        <v>38520</v>
      </c>
      <c r="O579" s="41" t="s">
        <v>23</v>
      </c>
      <c r="P579" s="41" t="s">
        <v>105</v>
      </c>
      <c r="Q579" s="42"/>
      <c r="R579" s="41"/>
      <c r="S579" s="42"/>
      <c r="T579" s="41"/>
    </row>
    <row r="580" customFormat="false" ht="13.5" hidden="false" customHeight="true" outlineLevel="0" collapsed="false">
      <c r="A580" s="37" t="n">
        <v>577</v>
      </c>
      <c r="B580" s="37" t="n">
        <v>2500</v>
      </c>
      <c r="C580" s="38" t="s">
        <v>2723</v>
      </c>
      <c r="D580" s="37" t="s">
        <v>100</v>
      </c>
      <c r="E580" s="39" t="n">
        <v>27491</v>
      </c>
      <c r="F580" s="37" t="n">
        <f aca="true">IFERROR(DATEDIF(E580,TODAY(),"Y"),"")</f>
        <v>51</v>
      </c>
      <c r="G580" s="40" t="s">
        <v>2724</v>
      </c>
      <c r="H580" s="40" t="s">
        <v>2725</v>
      </c>
      <c r="I580" s="38" t="s">
        <v>2726</v>
      </c>
      <c r="J580" s="38" t="s">
        <v>15</v>
      </c>
      <c r="K580" s="38" t="s">
        <v>2727</v>
      </c>
      <c r="L580" s="38" t="s">
        <v>55</v>
      </c>
      <c r="M580" s="37" t="s">
        <v>104</v>
      </c>
      <c r="N580" s="39" t="n">
        <v>38520</v>
      </c>
      <c r="O580" s="41" t="s">
        <v>23</v>
      </c>
      <c r="P580" s="41" t="s">
        <v>105</v>
      </c>
      <c r="Q580" s="42"/>
      <c r="R580" s="41"/>
      <c r="S580" s="42"/>
      <c r="T580" s="41"/>
    </row>
    <row r="581" customFormat="false" ht="13.5" hidden="false" customHeight="true" outlineLevel="0" collapsed="false">
      <c r="A581" s="37" t="n">
        <v>578</v>
      </c>
      <c r="B581" s="37" t="n">
        <v>2501</v>
      </c>
      <c r="C581" s="38" t="s">
        <v>2728</v>
      </c>
      <c r="D581" s="37" t="s">
        <v>100</v>
      </c>
      <c r="E581" s="39" t="n">
        <v>23441</v>
      </c>
      <c r="F581" s="37" t="n">
        <f aca="true">IFERROR(DATEDIF(E581,TODAY(),"Y"),"")</f>
        <v>62</v>
      </c>
      <c r="G581" s="40" t="s">
        <v>2729</v>
      </c>
      <c r="H581" s="40" t="s">
        <v>2730</v>
      </c>
      <c r="I581" s="38" t="s">
        <v>2731</v>
      </c>
      <c r="J581" s="38" t="s">
        <v>15</v>
      </c>
      <c r="K581" s="38" t="s">
        <v>2732</v>
      </c>
      <c r="L581" s="38" t="s">
        <v>55</v>
      </c>
      <c r="M581" s="37"/>
      <c r="N581" s="39" t="n">
        <v>38520</v>
      </c>
      <c r="O581" s="41" t="s">
        <v>23</v>
      </c>
      <c r="P581" s="41" t="s">
        <v>105</v>
      </c>
      <c r="Q581" s="42"/>
      <c r="R581" s="41"/>
      <c r="S581" s="42"/>
      <c r="T581" s="41"/>
    </row>
    <row r="582" customFormat="false" ht="13.5" hidden="false" customHeight="true" outlineLevel="0" collapsed="false">
      <c r="A582" s="37" t="n">
        <v>579</v>
      </c>
      <c r="B582" s="37" t="n">
        <v>2502</v>
      </c>
      <c r="C582" s="38" t="s">
        <v>2733</v>
      </c>
      <c r="D582" s="37" t="s">
        <v>100</v>
      </c>
      <c r="E582" s="39" t="n">
        <v>29824</v>
      </c>
      <c r="F582" s="37" t="n">
        <f aca="true">IFERROR(DATEDIF(E582,TODAY(),"Y"),"")</f>
        <v>44</v>
      </c>
      <c r="G582" s="40" t="s">
        <v>2734</v>
      </c>
      <c r="H582" s="40"/>
      <c r="I582" s="38" t="s">
        <v>2735</v>
      </c>
      <c r="J582" s="38" t="s">
        <v>15</v>
      </c>
      <c r="K582" s="38" t="s">
        <v>2736</v>
      </c>
      <c r="L582" s="38" t="s">
        <v>54</v>
      </c>
      <c r="M582" s="37" t="s">
        <v>104</v>
      </c>
      <c r="N582" s="39" t="n">
        <v>38520</v>
      </c>
      <c r="O582" s="41" t="s">
        <v>23</v>
      </c>
      <c r="P582" s="41" t="s">
        <v>105</v>
      </c>
      <c r="Q582" s="42"/>
      <c r="R582" s="41"/>
      <c r="S582" s="42"/>
      <c r="T582" s="41"/>
    </row>
    <row r="583" customFormat="false" ht="13.5" hidden="false" customHeight="true" outlineLevel="0" collapsed="false">
      <c r="A583" s="37" t="n">
        <v>580</v>
      </c>
      <c r="B583" s="37" t="n">
        <v>2507</v>
      </c>
      <c r="C583" s="38" t="s">
        <v>2737</v>
      </c>
      <c r="D583" s="37" t="s">
        <v>100</v>
      </c>
      <c r="E583" s="39" t="n">
        <v>22046</v>
      </c>
      <c r="F583" s="37" t="n">
        <f aca="true">IFERROR(DATEDIF(E583,TODAY(),"Y"),"")</f>
        <v>66</v>
      </c>
      <c r="G583" s="40" t="s">
        <v>2738</v>
      </c>
      <c r="H583" s="40" t="s">
        <v>2739</v>
      </c>
      <c r="I583" s="38" t="s">
        <v>2740</v>
      </c>
      <c r="J583" s="38" t="s">
        <v>15</v>
      </c>
      <c r="K583" s="38" t="s">
        <v>2741</v>
      </c>
      <c r="L583" s="38" t="s">
        <v>54</v>
      </c>
      <c r="M583" s="37" t="s">
        <v>177</v>
      </c>
      <c r="N583" s="39" t="n">
        <v>38520</v>
      </c>
      <c r="O583" s="41" t="s">
        <v>23</v>
      </c>
      <c r="P583" s="41" t="s">
        <v>105</v>
      </c>
      <c r="Q583" s="42"/>
      <c r="R583" s="41"/>
      <c r="S583" s="42"/>
      <c r="T583" s="41"/>
    </row>
    <row r="584" customFormat="false" ht="13.5" hidden="false" customHeight="true" outlineLevel="0" collapsed="false">
      <c r="A584" s="37" t="n">
        <v>581</v>
      </c>
      <c r="B584" s="37" t="n">
        <v>2510</v>
      </c>
      <c r="C584" s="38" t="s">
        <v>2742</v>
      </c>
      <c r="D584" s="37" t="s">
        <v>100</v>
      </c>
      <c r="E584" s="39" t="n">
        <v>23525</v>
      </c>
      <c r="F584" s="37" t="n">
        <f aca="true">IFERROR(DATEDIF(E584,TODAY(),"Y"),"")</f>
        <v>62</v>
      </c>
      <c r="G584" s="40" t="s">
        <v>2743</v>
      </c>
      <c r="H584" s="40"/>
      <c r="I584" s="38"/>
      <c r="J584" s="38" t="s">
        <v>15</v>
      </c>
      <c r="K584" s="38" t="s">
        <v>2744</v>
      </c>
      <c r="L584" s="38" t="s">
        <v>55</v>
      </c>
      <c r="M584" s="37"/>
      <c r="N584" s="39" t="n">
        <v>38520</v>
      </c>
      <c r="O584" s="41" t="s">
        <v>23</v>
      </c>
      <c r="P584" s="41" t="s">
        <v>105</v>
      </c>
      <c r="Q584" s="42"/>
      <c r="R584" s="41"/>
      <c r="S584" s="42"/>
      <c r="T584" s="41"/>
    </row>
    <row r="585" customFormat="false" ht="13.5" hidden="false" customHeight="true" outlineLevel="0" collapsed="false">
      <c r="A585" s="37" t="n">
        <v>582</v>
      </c>
      <c r="B585" s="37" t="n">
        <v>2511</v>
      </c>
      <c r="C585" s="38" t="s">
        <v>2745</v>
      </c>
      <c r="D585" s="37" t="s">
        <v>100</v>
      </c>
      <c r="E585" s="39" t="n">
        <v>23893</v>
      </c>
      <c r="F585" s="37" t="n">
        <f aca="true">IFERROR(DATEDIF(E585,TODAY(),"Y"),"")</f>
        <v>61</v>
      </c>
      <c r="G585" s="40" t="s">
        <v>2746</v>
      </c>
      <c r="H585" s="40"/>
      <c r="I585" s="38" t="s">
        <v>2747</v>
      </c>
      <c r="J585" s="38" t="s">
        <v>15</v>
      </c>
      <c r="K585" s="38" t="s">
        <v>2748</v>
      </c>
      <c r="L585" s="38" t="s">
        <v>48</v>
      </c>
      <c r="M585" s="37"/>
      <c r="N585" s="39" t="n">
        <v>38520</v>
      </c>
      <c r="O585" s="41" t="s">
        <v>23</v>
      </c>
      <c r="P585" s="41" t="s">
        <v>105</v>
      </c>
      <c r="Q585" s="42"/>
      <c r="R585" s="41"/>
      <c r="S585" s="42"/>
      <c r="T585" s="41"/>
    </row>
    <row r="586" customFormat="false" ht="13.5" hidden="false" customHeight="true" outlineLevel="0" collapsed="false">
      <c r="A586" s="37" t="n">
        <v>583</v>
      </c>
      <c r="B586" s="37" t="n">
        <v>2512</v>
      </c>
      <c r="C586" s="38" t="s">
        <v>2749</v>
      </c>
      <c r="D586" s="37" t="s">
        <v>100</v>
      </c>
      <c r="E586" s="39" t="n">
        <v>19725</v>
      </c>
      <c r="F586" s="37" t="n">
        <f aca="true">IFERROR(DATEDIF(E586,TODAY(),"Y"),"")</f>
        <v>72</v>
      </c>
      <c r="G586" s="40" t="s">
        <v>2750</v>
      </c>
      <c r="H586" s="40"/>
      <c r="I586" s="38"/>
      <c r="J586" s="38" t="s">
        <v>15</v>
      </c>
      <c r="K586" s="38" t="s">
        <v>2751</v>
      </c>
      <c r="L586" s="38" t="s">
        <v>47</v>
      </c>
      <c r="M586" s="37" t="s">
        <v>177</v>
      </c>
      <c r="N586" s="39" t="n">
        <v>38520</v>
      </c>
      <c r="O586" s="41" t="s">
        <v>23</v>
      </c>
      <c r="P586" s="41" t="s">
        <v>105</v>
      </c>
      <c r="Q586" s="42"/>
      <c r="R586" s="41"/>
      <c r="S586" s="42"/>
      <c r="T586" s="41"/>
    </row>
    <row r="587" customFormat="false" ht="13.5" hidden="false" customHeight="true" outlineLevel="0" collapsed="false">
      <c r="A587" s="37" t="n">
        <v>584</v>
      </c>
      <c r="B587" s="37" t="n">
        <v>2513</v>
      </c>
      <c r="C587" s="38" t="s">
        <v>2752</v>
      </c>
      <c r="D587" s="37" t="s">
        <v>100</v>
      </c>
      <c r="E587" s="39" t="n">
        <v>18774</v>
      </c>
      <c r="F587" s="37" t="n">
        <f aca="true">IFERROR(DATEDIF(E587,TODAY(),"Y"),"")</f>
        <v>75</v>
      </c>
      <c r="G587" s="40" t="s">
        <v>2753</v>
      </c>
      <c r="H587" s="40" t="s">
        <v>2754</v>
      </c>
      <c r="I587" s="38" t="s">
        <v>2755</v>
      </c>
      <c r="J587" s="38" t="s">
        <v>15</v>
      </c>
      <c r="K587" s="38" t="s">
        <v>2756</v>
      </c>
      <c r="L587" s="38" t="s">
        <v>43</v>
      </c>
      <c r="M587" s="37"/>
      <c r="N587" s="39" t="n">
        <v>38520</v>
      </c>
      <c r="O587" s="41" t="s">
        <v>23</v>
      </c>
      <c r="P587" s="41" t="s">
        <v>105</v>
      </c>
      <c r="Q587" s="42"/>
      <c r="R587" s="41"/>
      <c r="S587" s="42"/>
      <c r="T587" s="41"/>
    </row>
    <row r="588" customFormat="false" ht="13.5" hidden="false" customHeight="true" outlineLevel="0" collapsed="false">
      <c r="A588" s="37" t="n">
        <v>585</v>
      </c>
      <c r="B588" s="37" t="n">
        <v>2514</v>
      </c>
      <c r="C588" s="38" t="s">
        <v>2757</v>
      </c>
      <c r="D588" s="37" t="s">
        <v>100</v>
      </c>
      <c r="E588" s="39" t="n">
        <v>16809</v>
      </c>
      <c r="F588" s="37" t="n">
        <f aca="true">IFERROR(DATEDIF(E588,TODAY(),"Y"),"")</f>
        <v>80</v>
      </c>
      <c r="G588" s="40" t="s">
        <v>2758</v>
      </c>
      <c r="H588" s="40"/>
      <c r="I588" s="38" t="s">
        <v>2759</v>
      </c>
      <c r="J588" s="38" t="s">
        <v>15</v>
      </c>
      <c r="K588" s="38" t="s">
        <v>2760</v>
      </c>
      <c r="L588" s="38" t="s">
        <v>54</v>
      </c>
      <c r="M588" s="37"/>
      <c r="N588" s="39" t="n">
        <v>38520</v>
      </c>
      <c r="O588" s="41" t="s">
        <v>23</v>
      </c>
      <c r="P588" s="41" t="s">
        <v>105</v>
      </c>
      <c r="Q588" s="42"/>
      <c r="R588" s="41"/>
      <c r="S588" s="42"/>
      <c r="T588" s="41"/>
    </row>
    <row r="589" customFormat="false" ht="13.5" hidden="false" customHeight="true" outlineLevel="0" collapsed="false">
      <c r="A589" s="37" t="n">
        <v>586</v>
      </c>
      <c r="B589" s="37" t="n">
        <v>2517</v>
      </c>
      <c r="C589" s="38" t="s">
        <v>2761</v>
      </c>
      <c r="D589" s="37" t="s">
        <v>100</v>
      </c>
      <c r="E589" s="39" t="n">
        <v>21827</v>
      </c>
      <c r="F589" s="37" t="n">
        <f aca="true">IFERROR(DATEDIF(E589,TODAY(),"Y"),"")</f>
        <v>66</v>
      </c>
      <c r="G589" s="40" t="s">
        <v>2762</v>
      </c>
      <c r="H589" s="40" t="s">
        <v>2763</v>
      </c>
      <c r="I589" s="38" t="s">
        <v>2764</v>
      </c>
      <c r="J589" s="38" t="s">
        <v>15</v>
      </c>
      <c r="K589" s="38" t="s">
        <v>2765</v>
      </c>
      <c r="L589" s="38" t="s">
        <v>55</v>
      </c>
      <c r="M589" s="37"/>
      <c r="N589" s="39" t="n">
        <v>38520</v>
      </c>
      <c r="O589" s="41" t="s">
        <v>23</v>
      </c>
      <c r="P589" s="41" t="s">
        <v>105</v>
      </c>
      <c r="Q589" s="42"/>
      <c r="R589" s="41"/>
      <c r="S589" s="42"/>
      <c r="T589" s="41"/>
    </row>
    <row r="590" customFormat="false" ht="13.5" hidden="false" customHeight="true" outlineLevel="0" collapsed="false">
      <c r="A590" s="37" t="n">
        <v>587</v>
      </c>
      <c r="B590" s="37" t="n">
        <v>2519</v>
      </c>
      <c r="C590" s="38" t="s">
        <v>2766</v>
      </c>
      <c r="D590" s="37" t="s">
        <v>100</v>
      </c>
      <c r="E590" s="39" t="n">
        <v>27474</v>
      </c>
      <c r="F590" s="37" t="n">
        <f aca="true">IFERROR(DATEDIF(E590,TODAY(),"Y"),"")</f>
        <v>51</v>
      </c>
      <c r="G590" s="40" t="s">
        <v>2767</v>
      </c>
      <c r="H590" s="40" t="s">
        <v>2768</v>
      </c>
      <c r="I590" s="38" t="s">
        <v>2769</v>
      </c>
      <c r="J590" s="38" t="s">
        <v>15</v>
      </c>
      <c r="K590" s="38" t="s">
        <v>2770</v>
      </c>
      <c r="L590" s="38" t="s">
        <v>51</v>
      </c>
      <c r="M590" s="37"/>
      <c r="N590" s="39" t="n">
        <v>38520</v>
      </c>
      <c r="O590" s="41" t="s">
        <v>23</v>
      </c>
      <c r="P590" s="41" t="s">
        <v>105</v>
      </c>
      <c r="Q590" s="42"/>
      <c r="R590" s="41"/>
      <c r="S590" s="42"/>
      <c r="T590" s="41"/>
    </row>
    <row r="591" customFormat="false" ht="13.5" hidden="false" customHeight="true" outlineLevel="0" collapsed="false">
      <c r="A591" s="37" t="n">
        <v>588</v>
      </c>
      <c r="B591" s="37" t="n">
        <v>2521</v>
      </c>
      <c r="C591" s="38" t="s">
        <v>2771</v>
      </c>
      <c r="D591" s="37" t="s">
        <v>100</v>
      </c>
      <c r="E591" s="39" t="n">
        <v>27174</v>
      </c>
      <c r="F591" s="37" t="n">
        <f aca="true">IFERROR(DATEDIF(E591,TODAY(),"Y"),"")</f>
        <v>52</v>
      </c>
      <c r="G591" s="40" t="s">
        <v>2772</v>
      </c>
      <c r="H591" s="40" t="s">
        <v>2773</v>
      </c>
      <c r="I591" s="38" t="s">
        <v>2774</v>
      </c>
      <c r="J591" s="38" t="s">
        <v>24</v>
      </c>
      <c r="K591" s="38" t="s">
        <v>2775</v>
      </c>
      <c r="L591" s="38" t="s">
        <v>53</v>
      </c>
      <c r="M591" s="37" t="s">
        <v>120</v>
      </c>
      <c r="N591" s="39" t="n">
        <v>38520</v>
      </c>
      <c r="O591" s="41" t="s">
        <v>23</v>
      </c>
      <c r="P591" s="41" t="s">
        <v>105</v>
      </c>
      <c r="Q591" s="42"/>
      <c r="R591" s="41"/>
      <c r="S591" s="42"/>
      <c r="T591" s="41"/>
    </row>
    <row r="592" customFormat="false" ht="13.5" hidden="false" customHeight="true" outlineLevel="0" collapsed="false">
      <c r="A592" s="37" t="n">
        <v>589</v>
      </c>
      <c r="B592" s="37" t="n">
        <v>2523</v>
      </c>
      <c r="C592" s="38" t="s">
        <v>2776</v>
      </c>
      <c r="D592" s="37" t="s">
        <v>100</v>
      </c>
      <c r="E592" s="39" t="n">
        <v>26448</v>
      </c>
      <c r="F592" s="37" t="n">
        <f aca="true">IFERROR(DATEDIF(E592,TODAY(),"Y"),"")</f>
        <v>54</v>
      </c>
      <c r="G592" s="40" t="s">
        <v>2777</v>
      </c>
      <c r="H592" s="40" t="s">
        <v>2778</v>
      </c>
      <c r="I592" s="38" t="s">
        <v>2779</v>
      </c>
      <c r="J592" s="38" t="s">
        <v>15</v>
      </c>
      <c r="K592" s="38" t="s">
        <v>2780</v>
      </c>
      <c r="L592" s="43" t="s">
        <v>58</v>
      </c>
      <c r="M592" s="37"/>
      <c r="N592" s="39" t="n">
        <v>38520</v>
      </c>
      <c r="O592" s="41" t="s">
        <v>23</v>
      </c>
      <c r="P592" s="41" t="s">
        <v>105</v>
      </c>
      <c r="Q592" s="42"/>
      <c r="R592" s="41"/>
      <c r="S592" s="42"/>
      <c r="T592" s="41"/>
    </row>
    <row r="593" customFormat="false" ht="13.5" hidden="false" customHeight="true" outlineLevel="0" collapsed="false">
      <c r="A593" s="37" t="n">
        <v>590</v>
      </c>
      <c r="B593" s="37" t="n">
        <v>2524</v>
      </c>
      <c r="C593" s="38" t="s">
        <v>2781</v>
      </c>
      <c r="D593" s="37" t="s">
        <v>100</v>
      </c>
      <c r="E593" s="39" t="n">
        <v>20738</v>
      </c>
      <c r="F593" s="37" t="n">
        <f aca="true">IFERROR(DATEDIF(E593,TODAY(),"Y"),"")</f>
        <v>69</v>
      </c>
      <c r="G593" s="40" t="s">
        <v>2782</v>
      </c>
      <c r="H593" s="40" t="s">
        <v>2783</v>
      </c>
      <c r="I593" s="38" t="s">
        <v>2784</v>
      </c>
      <c r="J593" s="38" t="s">
        <v>25</v>
      </c>
      <c r="K593" s="38" t="s">
        <v>2785</v>
      </c>
      <c r="L593" s="38" t="s">
        <v>43</v>
      </c>
      <c r="M593" s="37"/>
      <c r="N593" s="39" t="n">
        <v>38520</v>
      </c>
      <c r="O593" s="41" t="s">
        <v>23</v>
      </c>
      <c r="P593" s="41" t="s">
        <v>105</v>
      </c>
      <c r="Q593" s="42"/>
      <c r="R593" s="41"/>
      <c r="S593" s="42"/>
      <c r="T593" s="41"/>
    </row>
    <row r="594" customFormat="false" ht="13.5" hidden="false" customHeight="true" outlineLevel="0" collapsed="false">
      <c r="A594" s="37" t="n">
        <v>591</v>
      </c>
      <c r="B594" s="37" t="n">
        <v>2531</v>
      </c>
      <c r="C594" s="38" t="s">
        <v>2786</v>
      </c>
      <c r="D594" s="37" t="s">
        <v>100</v>
      </c>
      <c r="E594" s="39" t="n">
        <v>27527</v>
      </c>
      <c r="F594" s="37" t="n">
        <f aca="true">IFERROR(DATEDIF(E594,TODAY(),"Y"),"")</f>
        <v>51</v>
      </c>
      <c r="G594" s="40" t="s">
        <v>2787</v>
      </c>
      <c r="H594" s="40"/>
      <c r="I594" s="38" t="s">
        <v>2788</v>
      </c>
      <c r="J594" s="38" t="s">
        <v>15</v>
      </c>
      <c r="K594" s="38" t="s">
        <v>2789</v>
      </c>
      <c r="L594" s="38" t="s">
        <v>51</v>
      </c>
      <c r="M594" s="37"/>
      <c r="N594" s="39" t="n">
        <v>38520</v>
      </c>
      <c r="O594" s="41" t="s">
        <v>23</v>
      </c>
      <c r="P594" s="41" t="s">
        <v>105</v>
      </c>
      <c r="Q594" s="42"/>
      <c r="R594" s="41"/>
      <c r="S594" s="42"/>
      <c r="T594" s="41"/>
    </row>
    <row r="595" customFormat="false" ht="13.5" hidden="false" customHeight="true" outlineLevel="0" collapsed="false">
      <c r="A595" s="37" t="n">
        <v>592</v>
      </c>
      <c r="B595" s="37" t="n">
        <v>2532</v>
      </c>
      <c r="C595" s="38" t="s">
        <v>2790</v>
      </c>
      <c r="D595" s="37" t="s">
        <v>100</v>
      </c>
      <c r="E595" s="39" t="n">
        <v>22067</v>
      </c>
      <c r="F595" s="37" t="n">
        <f aca="true">IFERROR(DATEDIF(E595,TODAY(),"Y"),"")</f>
        <v>66</v>
      </c>
      <c r="G595" s="40" t="s">
        <v>2791</v>
      </c>
      <c r="H595" s="40"/>
      <c r="I595" s="38" t="s">
        <v>2792</v>
      </c>
      <c r="J595" s="38" t="s">
        <v>15</v>
      </c>
      <c r="K595" s="38" t="s">
        <v>2793</v>
      </c>
      <c r="L595" s="38" t="s">
        <v>46</v>
      </c>
      <c r="M595" s="37"/>
      <c r="N595" s="39" t="n">
        <v>38520</v>
      </c>
      <c r="O595" s="41" t="s">
        <v>23</v>
      </c>
      <c r="P595" s="41" t="s">
        <v>105</v>
      </c>
      <c r="Q595" s="42"/>
      <c r="R595" s="41"/>
      <c r="S595" s="42"/>
      <c r="T595" s="41"/>
    </row>
    <row r="596" customFormat="false" ht="13.5" hidden="false" customHeight="true" outlineLevel="0" collapsed="false">
      <c r="A596" s="37" t="n">
        <v>593</v>
      </c>
      <c r="B596" s="37" t="n">
        <v>2533</v>
      </c>
      <c r="C596" s="38" t="s">
        <v>2794</v>
      </c>
      <c r="D596" s="37" t="s">
        <v>100</v>
      </c>
      <c r="E596" s="39" t="n">
        <v>25277</v>
      </c>
      <c r="F596" s="37" t="n">
        <f aca="true">IFERROR(DATEDIF(E596,TODAY(),"Y"),"")</f>
        <v>57</v>
      </c>
      <c r="G596" s="40" t="s">
        <v>2795</v>
      </c>
      <c r="H596" s="40" t="s">
        <v>2796</v>
      </c>
      <c r="I596" s="38" t="s">
        <v>2797</v>
      </c>
      <c r="J596" s="38" t="s">
        <v>15</v>
      </c>
      <c r="K596" s="38" t="s">
        <v>2798</v>
      </c>
      <c r="L596" s="38" t="s">
        <v>55</v>
      </c>
      <c r="M596" s="37"/>
      <c r="N596" s="39" t="n">
        <v>38520</v>
      </c>
      <c r="O596" s="41" t="s">
        <v>23</v>
      </c>
      <c r="P596" s="41" t="s">
        <v>105</v>
      </c>
      <c r="Q596" s="42"/>
      <c r="R596" s="41"/>
      <c r="S596" s="42"/>
      <c r="T596" s="41"/>
    </row>
    <row r="597" customFormat="false" ht="13.5" hidden="false" customHeight="true" outlineLevel="0" collapsed="false">
      <c r="A597" s="37" t="n">
        <v>594</v>
      </c>
      <c r="B597" s="37" t="n">
        <v>2534</v>
      </c>
      <c r="C597" s="38" t="s">
        <v>2799</v>
      </c>
      <c r="D597" s="37" t="s">
        <v>100</v>
      </c>
      <c r="E597" s="39" t="n">
        <v>22221</v>
      </c>
      <c r="F597" s="37" t="n">
        <f aca="true">IFERROR(DATEDIF(E597,TODAY(),"Y"),"")</f>
        <v>65</v>
      </c>
      <c r="G597" s="40" t="s">
        <v>2800</v>
      </c>
      <c r="H597" s="40" t="s">
        <v>2801</v>
      </c>
      <c r="I597" s="38" t="s">
        <v>2802</v>
      </c>
      <c r="J597" s="38" t="s">
        <v>15</v>
      </c>
      <c r="K597" s="38" t="s">
        <v>2803</v>
      </c>
      <c r="L597" s="38" t="s">
        <v>44</v>
      </c>
      <c r="M597" s="37"/>
      <c r="N597" s="39" t="n">
        <v>38520</v>
      </c>
      <c r="O597" s="41" t="s">
        <v>23</v>
      </c>
      <c r="P597" s="41" t="s">
        <v>105</v>
      </c>
      <c r="Q597" s="42"/>
      <c r="R597" s="41"/>
      <c r="S597" s="42"/>
      <c r="T597" s="41"/>
    </row>
    <row r="598" customFormat="false" ht="13.5" hidden="false" customHeight="true" outlineLevel="0" collapsed="false">
      <c r="A598" s="37" t="n">
        <v>595</v>
      </c>
      <c r="B598" s="37" t="n">
        <v>2535</v>
      </c>
      <c r="C598" s="38" t="s">
        <v>2804</v>
      </c>
      <c r="D598" s="37" t="s">
        <v>100</v>
      </c>
      <c r="E598" s="39" t="n">
        <v>25091</v>
      </c>
      <c r="F598" s="37" t="n">
        <f aca="true">IFERROR(DATEDIF(E598,TODAY(),"Y"),"")</f>
        <v>57</v>
      </c>
      <c r="G598" s="40" t="s">
        <v>2805</v>
      </c>
      <c r="H598" s="40" t="s">
        <v>2806</v>
      </c>
      <c r="I598" s="38" t="s">
        <v>2807</v>
      </c>
      <c r="J598" s="38" t="s">
        <v>16</v>
      </c>
      <c r="K598" s="38" t="s">
        <v>2808</v>
      </c>
      <c r="L598" s="38" t="s">
        <v>47</v>
      </c>
      <c r="M598" s="37"/>
      <c r="N598" s="39" t="n">
        <v>38520</v>
      </c>
      <c r="O598" s="41" t="s">
        <v>23</v>
      </c>
      <c r="P598" s="41" t="s">
        <v>105</v>
      </c>
      <c r="Q598" s="42"/>
      <c r="R598" s="41"/>
      <c r="S598" s="42"/>
      <c r="T598" s="41"/>
    </row>
    <row r="599" customFormat="false" ht="13.5" hidden="false" customHeight="true" outlineLevel="0" collapsed="false">
      <c r="A599" s="37" t="n">
        <v>596</v>
      </c>
      <c r="B599" s="37" t="n">
        <v>2538</v>
      </c>
      <c r="C599" s="38" t="s">
        <v>2809</v>
      </c>
      <c r="D599" s="37" t="s">
        <v>100</v>
      </c>
      <c r="E599" s="39" t="n">
        <v>25660</v>
      </c>
      <c r="F599" s="37" t="n">
        <f aca="true">IFERROR(DATEDIF(E599,TODAY(),"Y"),"")</f>
        <v>56</v>
      </c>
      <c r="G599" s="40" t="s">
        <v>2810</v>
      </c>
      <c r="H599" s="40" t="s">
        <v>2811</v>
      </c>
      <c r="I599" s="38" t="s">
        <v>2812</v>
      </c>
      <c r="J599" s="38" t="s">
        <v>16</v>
      </c>
      <c r="K599" s="38" t="s">
        <v>2813</v>
      </c>
      <c r="L599" s="38" t="s">
        <v>55</v>
      </c>
      <c r="M599" s="37"/>
      <c r="N599" s="39" t="n">
        <v>38520</v>
      </c>
      <c r="O599" s="41" t="s">
        <v>23</v>
      </c>
      <c r="P599" s="41" t="s">
        <v>105</v>
      </c>
      <c r="Q599" s="42"/>
      <c r="R599" s="41"/>
      <c r="S599" s="42"/>
      <c r="T599" s="41"/>
    </row>
    <row r="600" customFormat="false" ht="13.5" hidden="false" customHeight="true" outlineLevel="0" collapsed="false">
      <c r="A600" s="37" t="n">
        <v>597</v>
      </c>
      <c r="B600" s="37" t="n">
        <v>2543</v>
      </c>
      <c r="C600" s="38" t="s">
        <v>2814</v>
      </c>
      <c r="D600" s="37" t="s">
        <v>100</v>
      </c>
      <c r="E600" s="39" t="n">
        <v>28638</v>
      </c>
      <c r="F600" s="37" t="n">
        <f aca="true">IFERROR(DATEDIF(E600,TODAY(),"Y"),"")</f>
        <v>48</v>
      </c>
      <c r="G600" s="40" t="s">
        <v>2815</v>
      </c>
      <c r="H600" s="40"/>
      <c r="I600" s="38"/>
      <c r="J600" s="38" t="s">
        <v>16</v>
      </c>
      <c r="K600" s="38" t="s">
        <v>2816</v>
      </c>
      <c r="L600" s="38" t="s">
        <v>46</v>
      </c>
      <c r="M600" s="37"/>
      <c r="N600" s="39" t="n">
        <v>38520</v>
      </c>
      <c r="O600" s="41" t="s">
        <v>23</v>
      </c>
      <c r="P600" s="41" t="s">
        <v>105</v>
      </c>
      <c r="Q600" s="42"/>
      <c r="R600" s="41"/>
      <c r="S600" s="42"/>
      <c r="T600" s="41"/>
    </row>
    <row r="601" customFormat="false" ht="13.5" hidden="false" customHeight="true" outlineLevel="0" collapsed="false">
      <c r="A601" s="37" t="n">
        <v>598</v>
      </c>
      <c r="B601" s="37" t="n">
        <v>2546</v>
      </c>
      <c r="C601" s="38" t="s">
        <v>2817</v>
      </c>
      <c r="D601" s="37" t="s">
        <v>100</v>
      </c>
      <c r="E601" s="39" t="n">
        <v>30005</v>
      </c>
      <c r="F601" s="37" t="n">
        <f aca="true">IFERROR(DATEDIF(E601,TODAY(),"Y"),"")</f>
        <v>44</v>
      </c>
      <c r="G601" s="40" t="s">
        <v>2818</v>
      </c>
      <c r="H601" s="40"/>
      <c r="I601" s="38" t="s">
        <v>2819</v>
      </c>
      <c r="J601" s="38" t="s">
        <v>16</v>
      </c>
      <c r="K601" s="38" t="s">
        <v>2820</v>
      </c>
      <c r="L601" s="38" t="s">
        <v>54</v>
      </c>
      <c r="M601" s="37" t="s">
        <v>177</v>
      </c>
      <c r="N601" s="39" t="n">
        <v>38520</v>
      </c>
      <c r="O601" s="41" t="s">
        <v>23</v>
      </c>
      <c r="P601" s="41" t="s">
        <v>105</v>
      </c>
      <c r="Q601" s="42"/>
      <c r="R601" s="41"/>
      <c r="S601" s="42"/>
      <c r="T601" s="41"/>
    </row>
    <row r="602" customFormat="false" ht="13.5" hidden="false" customHeight="true" outlineLevel="0" collapsed="false">
      <c r="A602" s="37" t="n">
        <v>599</v>
      </c>
      <c r="B602" s="37" t="n">
        <v>2547</v>
      </c>
      <c r="C602" s="38" t="s">
        <v>2821</v>
      </c>
      <c r="D602" s="37" t="s">
        <v>100</v>
      </c>
      <c r="E602" s="39" t="n">
        <v>22682</v>
      </c>
      <c r="F602" s="37" t="n">
        <f aca="true">IFERROR(DATEDIF(E602,TODAY(),"Y"),"")</f>
        <v>64</v>
      </c>
      <c r="G602" s="40" t="s">
        <v>2822</v>
      </c>
      <c r="H602" s="40"/>
      <c r="I602" s="38" t="s">
        <v>2823</v>
      </c>
      <c r="J602" s="38" t="s">
        <v>15</v>
      </c>
      <c r="K602" s="38" t="s">
        <v>2824</v>
      </c>
      <c r="L602" s="38" t="s">
        <v>55</v>
      </c>
      <c r="M602" s="37"/>
      <c r="N602" s="39" t="n">
        <v>38520</v>
      </c>
      <c r="O602" s="41" t="s">
        <v>23</v>
      </c>
      <c r="P602" s="41" t="s">
        <v>105</v>
      </c>
      <c r="Q602" s="42"/>
      <c r="R602" s="41"/>
      <c r="S602" s="42"/>
      <c r="T602" s="41"/>
    </row>
    <row r="603" customFormat="false" ht="13.5" hidden="false" customHeight="true" outlineLevel="0" collapsed="false">
      <c r="A603" s="37" t="n">
        <v>600</v>
      </c>
      <c r="B603" s="37" t="n">
        <v>2551</v>
      </c>
      <c r="C603" s="38" t="s">
        <v>2825</v>
      </c>
      <c r="D603" s="37" t="s">
        <v>100</v>
      </c>
      <c r="E603" s="39" t="n">
        <v>28569</v>
      </c>
      <c r="F603" s="37" t="n">
        <f aca="true">IFERROR(DATEDIF(E603,TODAY(),"Y"),"")</f>
        <v>48</v>
      </c>
      <c r="G603" s="40" t="s">
        <v>2826</v>
      </c>
      <c r="H603" s="40" t="s">
        <v>2827</v>
      </c>
      <c r="I603" s="38" t="s">
        <v>2828</v>
      </c>
      <c r="J603" s="38" t="s">
        <v>15</v>
      </c>
      <c r="K603" s="38" t="s">
        <v>2829</v>
      </c>
      <c r="L603" s="38" t="s">
        <v>55</v>
      </c>
      <c r="M603" s="37" t="s">
        <v>177</v>
      </c>
      <c r="N603" s="39" t="n">
        <v>38520</v>
      </c>
      <c r="O603" s="41" t="s">
        <v>23</v>
      </c>
      <c r="P603" s="41" t="s">
        <v>105</v>
      </c>
      <c r="Q603" s="42"/>
      <c r="R603" s="41"/>
      <c r="S603" s="42"/>
      <c r="T603" s="41"/>
    </row>
    <row r="604" customFormat="false" ht="13.5" hidden="false" customHeight="true" outlineLevel="0" collapsed="false">
      <c r="A604" s="37" t="n">
        <v>601</v>
      </c>
      <c r="B604" s="37" t="n">
        <v>2553</v>
      </c>
      <c r="C604" s="38" t="s">
        <v>2830</v>
      </c>
      <c r="D604" s="37" t="s">
        <v>100</v>
      </c>
      <c r="E604" s="39" t="n">
        <v>21736</v>
      </c>
      <c r="F604" s="37" t="n">
        <f aca="true">IFERROR(DATEDIF(E604,TODAY(),"Y"),"")</f>
        <v>67</v>
      </c>
      <c r="G604" s="40" t="s">
        <v>2831</v>
      </c>
      <c r="H604" s="40"/>
      <c r="I604" s="38" t="s">
        <v>2832</v>
      </c>
      <c r="J604" s="38" t="s">
        <v>25</v>
      </c>
      <c r="K604" s="38" t="s">
        <v>2833</v>
      </c>
      <c r="L604" s="38" t="s">
        <v>46</v>
      </c>
      <c r="M604" s="37"/>
      <c r="N604" s="39" t="n">
        <v>38520</v>
      </c>
      <c r="O604" s="41" t="s">
        <v>23</v>
      </c>
      <c r="P604" s="41" t="s">
        <v>105</v>
      </c>
      <c r="Q604" s="42"/>
      <c r="R604" s="41"/>
      <c r="S604" s="42"/>
      <c r="T604" s="41"/>
    </row>
    <row r="605" customFormat="false" ht="13.5" hidden="false" customHeight="true" outlineLevel="0" collapsed="false">
      <c r="A605" s="37" t="n">
        <v>602</v>
      </c>
      <c r="B605" s="37" t="n">
        <v>2556</v>
      </c>
      <c r="C605" s="38" t="s">
        <v>2834</v>
      </c>
      <c r="D605" s="37" t="s">
        <v>100</v>
      </c>
      <c r="E605" s="39" t="n">
        <v>28054</v>
      </c>
      <c r="F605" s="37" t="n">
        <f aca="true">IFERROR(DATEDIF(E605,TODAY(),"Y"),"")</f>
        <v>49</v>
      </c>
      <c r="G605" s="40" t="s">
        <v>2835</v>
      </c>
      <c r="H605" s="40" t="s">
        <v>2836</v>
      </c>
      <c r="I605" s="38" t="s">
        <v>2837</v>
      </c>
      <c r="J605" s="38" t="s">
        <v>15</v>
      </c>
      <c r="K605" s="38" t="s">
        <v>2838</v>
      </c>
      <c r="L605" s="38" t="s">
        <v>55</v>
      </c>
      <c r="M605" s="37" t="s">
        <v>745</v>
      </c>
      <c r="N605" s="39" t="n">
        <v>38520</v>
      </c>
      <c r="O605" s="41" t="s">
        <v>23</v>
      </c>
      <c r="P605" s="41" t="s">
        <v>105</v>
      </c>
      <c r="Q605" s="42"/>
      <c r="R605" s="41"/>
      <c r="S605" s="42"/>
      <c r="T605" s="41"/>
    </row>
    <row r="606" customFormat="false" ht="13.5" hidden="false" customHeight="true" outlineLevel="0" collapsed="false">
      <c r="A606" s="37" t="n">
        <v>603</v>
      </c>
      <c r="B606" s="37" t="n">
        <v>2558</v>
      </c>
      <c r="C606" s="38" t="s">
        <v>2839</v>
      </c>
      <c r="D606" s="37" t="s">
        <v>100</v>
      </c>
      <c r="E606" s="39" t="n">
        <v>23834</v>
      </c>
      <c r="F606" s="37" t="n">
        <f aca="true">IFERROR(DATEDIF(E606,TODAY(),"Y"),"")</f>
        <v>61</v>
      </c>
      <c r="G606" s="40" t="s">
        <v>2840</v>
      </c>
      <c r="H606" s="40" t="s">
        <v>2841</v>
      </c>
      <c r="I606" s="38" t="s">
        <v>2842</v>
      </c>
      <c r="J606" s="38" t="s">
        <v>16</v>
      </c>
      <c r="K606" s="38" t="s">
        <v>2843</v>
      </c>
      <c r="L606" s="38" t="s">
        <v>46</v>
      </c>
      <c r="M606" s="37"/>
      <c r="N606" s="39" t="n">
        <v>38520</v>
      </c>
      <c r="O606" s="41" t="s">
        <v>23</v>
      </c>
      <c r="P606" s="41" t="s">
        <v>105</v>
      </c>
      <c r="Q606" s="42"/>
      <c r="R606" s="41"/>
      <c r="S606" s="42"/>
      <c r="T606" s="41"/>
    </row>
    <row r="607" customFormat="false" ht="13.5" hidden="false" customHeight="true" outlineLevel="0" collapsed="false">
      <c r="A607" s="37" t="n">
        <v>604</v>
      </c>
      <c r="B607" s="37" t="n">
        <v>2559</v>
      </c>
      <c r="C607" s="38" t="s">
        <v>2844</v>
      </c>
      <c r="D607" s="37" t="s">
        <v>100</v>
      </c>
      <c r="E607" s="39" t="n">
        <v>22792</v>
      </c>
      <c r="F607" s="37" t="n">
        <f aca="true">IFERROR(DATEDIF(E607,TODAY(),"Y"),"")</f>
        <v>64</v>
      </c>
      <c r="G607" s="40" t="s">
        <v>2845</v>
      </c>
      <c r="H607" s="40" t="s">
        <v>2846</v>
      </c>
      <c r="I607" s="38" t="s">
        <v>2847</v>
      </c>
      <c r="J607" s="38" t="s">
        <v>16</v>
      </c>
      <c r="K607" s="38" t="s">
        <v>2848</v>
      </c>
      <c r="L607" s="38" t="s">
        <v>54</v>
      </c>
      <c r="M607" s="37"/>
      <c r="N607" s="39" t="n">
        <v>38520</v>
      </c>
      <c r="O607" s="41" t="s">
        <v>23</v>
      </c>
      <c r="P607" s="41" t="s">
        <v>105</v>
      </c>
      <c r="Q607" s="42"/>
      <c r="R607" s="41"/>
      <c r="S607" s="42"/>
      <c r="T607" s="41"/>
    </row>
    <row r="608" customFormat="false" ht="13.5" hidden="false" customHeight="true" outlineLevel="0" collapsed="false">
      <c r="A608" s="37" t="n">
        <v>605</v>
      </c>
      <c r="B608" s="37" t="n">
        <v>2561</v>
      </c>
      <c r="C608" s="38" t="s">
        <v>2849</v>
      </c>
      <c r="D608" s="37" t="s">
        <v>100</v>
      </c>
      <c r="E608" s="39" t="n">
        <v>25348</v>
      </c>
      <c r="F608" s="37" t="n">
        <f aca="true">IFERROR(DATEDIF(E608,TODAY(),"Y"),"")</f>
        <v>57</v>
      </c>
      <c r="G608" s="40" t="s">
        <v>2850</v>
      </c>
      <c r="H608" s="40" t="s">
        <v>2851</v>
      </c>
      <c r="I608" s="38" t="s">
        <v>2852</v>
      </c>
      <c r="J608" s="38" t="s">
        <v>15</v>
      </c>
      <c r="K608" s="38" t="s">
        <v>2853</v>
      </c>
      <c r="L608" s="38" t="s">
        <v>51</v>
      </c>
      <c r="M608" s="37"/>
      <c r="N608" s="39" t="n">
        <v>38520</v>
      </c>
      <c r="O608" s="41" t="s">
        <v>23</v>
      </c>
      <c r="P608" s="41" t="s">
        <v>105</v>
      </c>
      <c r="Q608" s="42"/>
      <c r="R608" s="41"/>
      <c r="S608" s="42"/>
      <c r="T608" s="41"/>
    </row>
    <row r="609" customFormat="false" ht="13.5" hidden="false" customHeight="true" outlineLevel="0" collapsed="false">
      <c r="A609" s="37" t="n">
        <v>606</v>
      </c>
      <c r="B609" s="37" t="n">
        <v>2564</v>
      </c>
      <c r="C609" s="38" t="s">
        <v>2854</v>
      </c>
      <c r="D609" s="37" t="s">
        <v>100</v>
      </c>
      <c r="E609" s="39" t="n">
        <v>26451</v>
      </c>
      <c r="F609" s="37" t="n">
        <f aca="true">IFERROR(DATEDIF(E609,TODAY(),"Y"),"")</f>
        <v>54</v>
      </c>
      <c r="G609" s="40" t="s">
        <v>2855</v>
      </c>
      <c r="H609" s="40"/>
      <c r="I609" s="38" t="s">
        <v>2856</v>
      </c>
      <c r="J609" s="38" t="s">
        <v>16</v>
      </c>
      <c r="K609" s="38" t="s">
        <v>2857</v>
      </c>
      <c r="L609" s="38" t="s">
        <v>44</v>
      </c>
      <c r="M609" s="37"/>
      <c r="N609" s="39" t="n">
        <v>38520</v>
      </c>
      <c r="O609" s="41" t="s">
        <v>23</v>
      </c>
      <c r="P609" s="41" t="s">
        <v>105</v>
      </c>
      <c r="Q609" s="42"/>
      <c r="R609" s="41"/>
      <c r="S609" s="42"/>
      <c r="T609" s="41"/>
    </row>
    <row r="610" customFormat="false" ht="13.5" hidden="false" customHeight="true" outlineLevel="0" collapsed="false">
      <c r="A610" s="37" t="n">
        <v>607</v>
      </c>
      <c r="B610" s="37" t="n">
        <v>2566</v>
      </c>
      <c r="C610" s="38" t="s">
        <v>2858</v>
      </c>
      <c r="D610" s="37" t="s">
        <v>100</v>
      </c>
      <c r="E610" s="39" t="n">
        <v>21131</v>
      </c>
      <c r="F610" s="37" t="n">
        <f aca="true">IFERROR(DATEDIF(E610,TODAY(),"Y"),"")</f>
        <v>68</v>
      </c>
      <c r="G610" s="40" t="s">
        <v>2859</v>
      </c>
      <c r="H610" s="40"/>
      <c r="I610" s="38" t="s">
        <v>2860</v>
      </c>
      <c r="J610" s="38" t="s">
        <v>15</v>
      </c>
      <c r="K610" s="38" t="s">
        <v>2861</v>
      </c>
      <c r="L610" s="38" t="s">
        <v>51</v>
      </c>
      <c r="M610" s="37"/>
      <c r="N610" s="39" t="n">
        <v>38520</v>
      </c>
      <c r="O610" s="41" t="s">
        <v>23</v>
      </c>
      <c r="P610" s="41" t="s">
        <v>105</v>
      </c>
      <c r="Q610" s="42"/>
      <c r="R610" s="41"/>
      <c r="S610" s="42"/>
      <c r="T610" s="41"/>
    </row>
    <row r="611" customFormat="false" ht="13.5" hidden="false" customHeight="true" outlineLevel="0" collapsed="false">
      <c r="A611" s="37" t="n">
        <v>608</v>
      </c>
      <c r="B611" s="37" t="n">
        <v>2568</v>
      </c>
      <c r="C611" s="38" t="s">
        <v>2862</v>
      </c>
      <c r="D611" s="37" t="s">
        <v>100</v>
      </c>
      <c r="E611" s="39" t="n">
        <v>26449</v>
      </c>
      <c r="F611" s="37" t="n">
        <f aca="true">IFERROR(DATEDIF(E611,TODAY(),"Y"),"")</f>
        <v>54</v>
      </c>
      <c r="G611" s="40" t="s">
        <v>2863</v>
      </c>
      <c r="H611" s="40"/>
      <c r="I611" s="38" t="s">
        <v>2864</v>
      </c>
      <c r="J611" s="38" t="s">
        <v>16</v>
      </c>
      <c r="K611" s="38" t="s">
        <v>2865</v>
      </c>
      <c r="L611" s="38" t="s">
        <v>54</v>
      </c>
      <c r="M611" s="37"/>
      <c r="N611" s="39" t="n">
        <v>38520</v>
      </c>
      <c r="O611" s="41" t="s">
        <v>23</v>
      </c>
      <c r="P611" s="41" t="s">
        <v>105</v>
      </c>
      <c r="Q611" s="42"/>
      <c r="R611" s="41"/>
      <c r="S611" s="42"/>
      <c r="T611" s="41"/>
    </row>
    <row r="612" customFormat="false" ht="13.5" hidden="false" customHeight="true" outlineLevel="0" collapsed="false">
      <c r="A612" s="37" t="n">
        <v>609</v>
      </c>
      <c r="B612" s="37" t="n">
        <v>2569</v>
      </c>
      <c r="C612" s="38" t="s">
        <v>2866</v>
      </c>
      <c r="D612" s="37" t="s">
        <v>100</v>
      </c>
      <c r="E612" s="39" t="n">
        <v>26365</v>
      </c>
      <c r="F612" s="37" t="n">
        <f aca="true">IFERROR(DATEDIF(E612,TODAY(),"Y"),"")</f>
        <v>54</v>
      </c>
      <c r="G612" s="40" t="s">
        <v>2867</v>
      </c>
      <c r="H612" s="40" t="s">
        <v>2868</v>
      </c>
      <c r="I612" s="38" t="s">
        <v>2869</v>
      </c>
      <c r="J612" s="38" t="s">
        <v>16</v>
      </c>
      <c r="K612" s="38" t="s">
        <v>2870</v>
      </c>
      <c r="L612" s="43" t="s">
        <v>58</v>
      </c>
      <c r="M612" s="37" t="s">
        <v>177</v>
      </c>
      <c r="N612" s="39" t="n">
        <v>38520</v>
      </c>
      <c r="O612" s="41" t="s">
        <v>23</v>
      </c>
      <c r="P612" s="41" t="s">
        <v>105</v>
      </c>
      <c r="Q612" s="42"/>
      <c r="R612" s="41"/>
      <c r="S612" s="42"/>
      <c r="T612" s="41"/>
    </row>
    <row r="613" customFormat="false" ht="13.5" hidden="false" customHeight="true" outlineLevel="0" collapsed="false">
      <c r="A613" s="37" t="n">
        <v>610</v>
      </c>
      <c r="B613" s="37" t="n">
        <v>2570</v>
      </c>
      <c r="C613" s="38" t="s">
        <v>2871</v>
      </c>
      <c r="D613" s="37" t="s">
        <v>100</v>
      </c>
      <c r="E613" s="39" t="n">
        <v>22653</v>
      </c>
      <c r="F613" s="37" t="n">
        <f aca="true">IFERROR(DATEDIF(E613,TODAY(),"Y"),"")</f>
        <v>64</v>
      </c>
      <c r="G613" s="40" t="s">
        <v>2872</v>
      </c>
      <c r="H613" s="40" t="s">
        <v>2873</v>
      </c>
      <c r="I613" s="38" t="s">
        <v>2874</v>
      </c>
      <c r="J613" s="38" t="s">
        <v>15</v>
      </c>
      <c r="K613" s="38" t="s">
        <v>2875</v>
      </c>
      <c r="L613" s="38" t="s">
        <v>43</v>
      </c>
      <c r="M613" s="37" t="s">
        <v>104</v>
      </c>
      <c r="N613" s="39" t="n">
        <v>38520</v>
      </c>
      <c r="O613" s="41" t="s">
        <v>23</v>
      </c>
      <c r="P613" s="41" t="s">
        <v>105</v>
      </c>
      <c r="Q613" s="42"/>
      <c r="R613" s="41"/>
      <c r="S613" s="42"/>
      <c r="T613" s="41"/>
    </row>
    <row r="614" customFormat="false" ht="13.5" hidden="false" customHeight="true" outlineLevel="0" collapsed="false">
      <c r="A614" s="37" t="n">
        <v>611</v>
      </c>
      <c r="B614" s="37" t="n">
        <v>2572</v>
      </c>
      <c r="C614" s="38" t="s">
        <v>2876</v>
      </c>
      <c r="D614" s="37" t="s">
        <v>100</v>
      </c>
      <c r="E614" s="39" t="n">
        <v>19163</v>
      </c>
      <c r="F614" s="37" t="n">
        <f aca="true">IFERROR(DATEDIF(E614,TODAY(),"Y"),"")</f>
        <v>74</v>
      </c>
      <c r="G614" s="40" t="s">
        <v>2877</v>
      </c>
      <c r="H614" s="40"/>
      <c r="I614" s="38"/>
      <c r="J614" s="38" t="s">
        <v>15</v>
      </c>
      <c r="K614" s="38" t="s">
        <v>2878</v>
      </c>
      <c r="L614" s="38" t="s">
        <v>44</v>
      </c>
      <c r="M614" s="37"/>
      <c r="N614" s="39" t="n">
        <v>38520</v>
      </c>
      <c r="O614" s="41" t="s">
        <v>23</v>
      </c>
      <c r="P614" s="41" t="s">
        <v>105</v>
      </c>
      <c r="Q614" s="42"/>
      <c r="R614" s="41"/>
      <c r="S614" s="42"/>
      <c r="T614" s="41"/>
    </row>
    <row r="615" customFormat="false" ht="13.5" hidden="false" customHeight="true" outlineLevel="0" collapsed="false">
      <c r="A615" s="37" t="n">
        <v>612</v>
      </c>
      <c r="B615" s="37" t="n">
        <v>2580</v>
      </c>
      <c r="C615" s="38" t="s">
        <v>2879</v>
      </c>
      <c r="D615" s="37" t="s">
        <v>100</v>
      </c>
      <c r="E615" s="39" t="n">
        <v>18884</v>
      </c>
      <c r="F615" s="37" t="n">
        <f aca="true">IFERROR(DATEDIF(E615,TODAY(),"Y"),"")</f>
        <v>74</v>
      </c>
      <c r="G615" s="40" t="s">
        <v>2880</v>
      </c>
      <c r="H615" s="40" t="s">
        <v>2881</v>
      </c>
      <c r="I615" s="38" t="s">
        <v>2882</v>
      </c>
      <c r="J615" s="38" t="s">
        <v>15</v>
      </c>
      <c r="K615" s="38" t="s">
        <v>2883</v>
      </c>
      <c r="L615" s="38" t="s">
        <v>53</v>
      </c>
      <c r="M615" s="37"/>
      <c r="N615" s="39" t="n">
        <v>38520</v>
      </c>
      <c r="O615" s="41" t="s">
        <v>23</v>
      </c>
      <c r="P615" s="41" t="s">
        <v>105</v>
      </c>
      <c r="Q615" s="42"/>
      <c r="R615" s="41"/>
      <c r="S615" s="42"/>
      <c r="T615" s="41"/>
    </row>
    <row r="616" customFormat="false" ht="13.5" hidden="false" customHeight="true" outlineLevel="0" collapsed="false">
      <c r="A616" s="37" t="n">
        <v>613</v>
      </c>
      <c r="B616" s="37" t="n">
        <v>2582</v>
      </c>
      <c r="C616" s="38" t="s">
        <v>2884</v>
      </c>
      <c r="D616" s="37" t="s">
        <v>100</v>
      </c>
      <c r="E616" s="39" t="n">
        <v>20059</v>
      </c>
      <c r="F616" s="37" t="n">
        <f aca="true">IFERROR(DATEDIF(E616,TODAY(),"Y"),"")</f>
        <v>71</v>
      </c>
      <c r="G616" s="40" t="s">
        <v>2885</v>
      </c>
      <c r="H616" s="40" t="s">
        <v>2886</v>
      </c>
      <c r="I616" s="38" t="s">
        <v>2887</v>
      </c>
      <c r="J616" s="38" t="s">
        <v>15</v>
      </c>
      <c r="K616" s="38" t="s">
        <v>2888</v>
      </c>
      <c r="L616" s="38" t="s">
        <v>46</v>
      </c>
      <c r="M616" s="37"/>
      <c r="N616" s="39" t="n">
        <v>38520</v>
      </c>
      <c r="O616" s="41" t="s">
        <v>23</v>
      </c>
      <c r="P616" s="41" t="s">
        <v>105</v>
      </c>
      <c r="Q616" s="42"/>
      <c r="R616" s="41"/>
      <c r="S616" s="42"/>
      <c r="T616" s="41"/>
    </row>
    <row r="617" customFormat="false" ht="13.5" hidden="false" customHeight="true" outlineLevel="0" collapsed="false">
      <c r="A617" s="37" t="n">
        <v>614</v>
      </c>
      <c r="B617" s="37" t="n">
        <v>2585</v>
      </c>
      <c r="C617" s="38" t="s">
        <v>2889</v>
      </c>
      <c r="D617" s="37" t="s">
        <v>100</v>
      </c>
      <c r="E617" s="39" t="n">
        <v>26424</v>
      </c>
      <c r="F617" s="37" t="n">
        <f aca="true">IFERROR(DATEDIF(E617,TODAY(),"Y"),"")</f>
        <v>54</v>
      </c>
      <c r="G617" s="40" t="s">
        <v>2890</v>
      </c>
      <c r="H617" s="40"/>
      <c r="I617" s="38" t="s">
        <v>2891</v>
      </c>
      <c r="J617" s="38" t="s">
        <v>16</v>
      </c>
      <c r="K617" s="38" t="s">
        <v>2892</v>
      </c>
      <c r="L617" s="38" t="s">
        <v>55</v>
      </c>
      <c r="M617" s="37"/>
      <c r="N617" s="39" t="n">
        <v>38520</v>
      </c>
      <c r="O617" s="41" t="s">
        <v>23</v>
      </c>
      <c r="P617" s="41" t="s">
        <v>105</v>
      </c>
      <c r="Q617" s="42"/>
      <c r="R617" s="41"/>
      <c r="S617" s="42"/>
      <c r="T617" s="41"/>
    </row>
    <row r="618" customFormat="false" ht="13.5" hidden="false" customHeight="true" outlineLevel="0" collapsed="false">
      <c r="A618" s="37" t="n">
        <v>615</v>
      </c>
      <c r="B618" s="37" t="n">
        <v>2587</v>
      </c>
      <c r="C618" s="38" t="s">
        <v>2893</v>
      </c>
      <c r="D618" s="37" t="s">
        <v>100</v>
      </c>
      <c r="E618" s="39" t="n">
        <v>29723</v>
      </c>
      <c r="F618" s="37" t="n">
        <f aca="true">IFERROR(DATEDIF(E618,TODAY(),"Y"),"")</f>
        <v>45</v>
      </c>
      <c r="G618" s="40" t="s">
        <v>2894</v>
      </c>
      <c r="H618" s="40" t="s">
        <v>2895</v>
      </c>
      <c r="I618" s="38" t="s">
        <v>2896</v>
      </c>
      <c r="J618" s="38" t="s">
        <v>16</v>
      </c>
      <c r="K618" s="38" t="s">
        <v>2897</v>
      </c>
      <c r="L618" s="38" t="s">
        <v>49</v>
      </c>
      <c r="M618" s="37" t="s">
        <v>177</v>
      </c>
      <c r="N618" s="39" t="n">
        <v>38520</v>
      </c>
      <c r="O618" s="41" t="s">
        <v>23</v>
      </c>
      <c r="P618" s="41" t="s">
        <v>105</v>
      </c>
      <c r="Q618" s="42"/>
      <c r="R618" s="41"/>
      <c r="S618" s="42"/>
      <c r="T618" s="41"/>
    </row>
    <row r="619" customFormat="false" ht="13.5" hidden="false" customHeight="true" outlineLevel="0" collapsed="false">
      <c r="A619" s="37" t="n">
        <v>616</v>
      </c>
      <c r="B619" s="37" t="n">
        <v>2591</v>
      </c>
      <c r="C619" s="38" t="s">
        <v>2898</v>
      </c>
      <c r="D619" s="37" t="s">
        <v>100</v>
      </c>
      <c r="E619" s="39" t="n">
        <v>25263</v>
      </c>
      <c r="F619" s="37" t="n">
        <f aca="true">IFERROR(DATEDIF(E619,TODAY(),"Y"),"")</f>
        <v>57</v>
      </c>
      <c r="G619" s="40" t="s">
        <v>2899</v>
      </c>
      <c r="H619" s="40" t="s">
        <v>2900</v>
      </c>
      <c r="I619" s="38" t="s">
        <v>2901</v>
      </c>
      <c r="J619" s="38" t="s">
        <v>15</v>
      </c>
      <c r="K619" s="38" t="s">
        <v>2902</v>
      </c>
      <c r="L619" s="43" t="s">
        <v>58</v>
      </c>
      <c r="M619" s="37"/>
      <c r="N619" s="39" t="n">
        <v>38520</v>
      </c>
      <c r="O619" s="41" t="s">
        <v>23</v>
      </c>
      <c r="P619" s="41" t="s">
        <v>105</v>
      </c>
      <c r="Q619" s="42"/>
      <c r="R619" s="41"/>
      <c r="S619" s="42"/>
      <c r="T619" s="41"/>
    </row>
    <row r="620" customFormat="false" ht="13.5" hidden="false" customHeight="true" outlineLevel="0" collapsed="false">
      <c r="A620" s="37" t="n">
        <v>617</v>
      </c>
      <c r="B620" s="37" t="n">
        <v>2592</v>
      </c>
      <c r="C620" s="38" t="s">
        <v>2903</v>
      </c>
      <c r="D620" s="37" t="s">
        <v>100</v>
      </c>
      <c r="E620" s="39" t="n">
        <v>23500</v>
      </c>
      <c r="F620" s="37" t="n">
        <f aca="true">IFERROR(DATEDIF(E620,TODAY(),"Y"),"")</f>
        <v>62</v>
      </c>
      <c r="G620" s="40" t="s">
        <v>2904</v>
      </c>
      <c r="H620" s="40" t="s">
        <v>2905</v>
      </c>
      <c r="I620" s="38" t="s">
        <v>2906</v>
      </c>
      <c r="J620" s="38"/>
      <c r="K620" s="38" t="s">
        <v>2907</v>
      </c>
      <c r="L620" s="38" t="s">
        <v>47</v>
      </c>
      <c r="M620" s="37" t="s">
        <v>120</v>
      </c>
      <c r="N620" s="39" t="n">
        <v>38520</v>
      </c>
      <c r="O620" s="41" t="s">
        <v>23</v>
      </c>
      <c r="P620" s="41" t="s">
        <v>105</v>
      </c>
      <c r="Q620" s="42"/>
      <c r="R620" s="41"/>
      <c r="S620" s="42"/>
      <c r="T620" s="41"/>
    </row>
    <row r="621" customFormat="false" ht="13.5" hidden="false" customHeight="true" outlineLevel="0" collapsed="false">
      <c r="A621" s="37" t="n">
        <v>618</v>
      </c>
      <c r="B621" s="37" t="n">
        <v>2594</v>
      </c>
      <c r="C621" s="38" t="s">
        <v>2908</v>
      </c>
      <c r="D621" s="37" t="s">
        <v>100</v>
      </c>
      <c r="E621" s="39" t="n">
        <v>24842</v>
      </c>
      <c r="F621" s="37" t="n">
        <f aca="true">IFERROR(DATEDIF(E621,TODAY(),"Y"),"")</f>
        <v>58</v>
      </c>
      <c r="G621" s="40" t="s">
        <v>2909</v>
      </c>
      <c r="H621" s="40" t="s">
        <v>2910</v>
      </c>
      <c r="I621" s="38" t="s">
        <v>2911</v>
      </c>
      <c r="J621" s="38" t="s">
        <v>15</v>
      </c>
      <c r="K621" s="38" t="s">
        <v>2912</v>
      </c>
      <c r="L621" s="38" t="s">
        <v>54</v>
      </c>
      <c r="M621" s="37"/>
      <c r="N621" s="39" t="n">
        <v>38520</v>
      </c>
      <c r="O621" s="41" t="s">
        <v>23</v>
      </c>
      <c r="P621" s="41" t="s">
        <v>105</v>
      </c>
      <c r="Q621" s="42"/>
      <c r="R621" s="41"/>
      <c r="S621" s="42"/>
      <c r="T621" s="41"/>
    </row>
    <row r="622" customFormat="false" ht="13.5" hidden="false" customHeight="true" outlineLevel="0" collapsed="false">
      <c r="A622" s="37" t="n">
        <v>619</v>
      </c>
      <c r="B622" s="37" t="n">
        <v>2599</v>
      </c>
      <c r="C622" s="38" t="s">
        <v>2913</v>
      </c>
      <c r="D622" s="37" t="s">
        <v>100</v>
      </c>
      <c r="E622" s="39" t="n">
        <v>24798</v>
      </c>
      <c r="F622" s="37" t="n">
        <f aca="true">IFERROR(DATEDIF(E622,TODAY(),"Y"),"")</f>
        <v>58</v>
      </c>
      <c r="G622" s="40" t="s">
        <v>2914</v>
      </c>
      <c r="H622" s="40"/>
      <c r="I622" s="38" t="s">
        <v>2915</v>
      </c>
      <c r="J622" s="38" t="s">
        <v>16</v>
      </c>
      <c r="K622" s="38" t="s">
        <v>2916</v>
      </c>
      <c r="L622" s="38" t="s">
        <v>47</v>
      </c>
      <c r="M622" s="37" t="s">
        <v>120</v>
      </c>
      <c r="N622" s="39" t="n">
        <v>38520</v>
      </c>
      <c r="O622" s="41" t="s">
        <v>23</v>
      </c>
      <c r="P622" s="41" t="s">
        <v>105</v>
      </c>
      <c r="Q622" s="42"/>
      <c r="R622" s="41"/>
      <c r="S622" s="42"/>
      <c r="T622" s="41"/>
    </row>
    <row r="623" customFormat="false" ht="13.5" hidden="false" customHeight="true" outlineLevel="0" collapsed="false">
      <c r="A623" s="37" t="n">
        <v>620</v>
      </c>
      <c r="B623" s="37" t="n">
        <v>2600</v>
      </c>
      <c r="C623" s="38" t="s">
        <v>2917</v>
      </c>
      <c r="D623" s="37" t="s">
        <v>100</v>
      </c>
      <c r="E623" s="39" t="n">
        <v>27470</v>
      </c>
      <c r="F623" s="37" t="n">
        <f aca="true">IFERROR(DATEDIF(E623,TODAY(),"Y"),"")</f>
        <v>51</v>
      </c>
      <c r="G623" s="40" t="s">
        <v>2918</v>
      </c>
      <c r="H623" s="40" t="s">
        <v>2919</v>
      </c>
      <c r="I623" s="38" t="s">
        <v>2920</v>
      </c>
      <c r="J623" s="38"/>
      <c r="K623" s="38" t="s">
        <v>2921</v>
      </c>
      <c r="L623" s="38" t="s">
        <v>54</v>
      </c>
      <c r="M623" s="37" t="s">
        <v>120</v>
      </c>
      <c r="N623" s="39" t="n">
        <v>38520</v>
      </c>
      <c r="O623" s="41" t="s">
        <v>23</v>
      </c>
      <c r="P623" s="41" t="s">
        <v>105</v>
      </c>
      <c r="Q623" s="42"/>
      <c r="R623" s="41"/>
      <c r="S623" s="42"/>
      <c r="T623" s="41"/>
    </row>
    <row r="624" customFormat="false" ht="13.5" hidden="false" customHeight="true" outlineLevel="0" collapsed="false">
      <c r="A624" s="37" t="n">
        <v>621</v>
      </c>
      <c r="B624" s="37" t="n">
        <v>2601</v>
      </c>
      <c r="C624" s="38" t="s">
        <v>2922</v>
      </c>
      <c r="D624" s="37" t="s">
        <v>100</v>
      </c>
      <c r="E624" s="39" t="n">
        <v>23517</v>
      </c>
      <c r="F624" s="37" t="n">
        <f aca="true">IFERROR(DATEDIF(E624,TODAY(),"Y"),"")</f>
        <v>62</v>
      </c>
      <c r="G624" s="40" t="s">
        <v>2923</v>
      </c>
      <c r="H624" s="40"/>
      <c r="I624" s="38" t="s">
        <v>2924</v>
      </c>
      <c r="J624" s="38" t="s">
        <v>15</v>
      </c>
      <c r="K624" s="38" t="s">
        <v>2925</v>
      </c>
      <c r="L624" s="38" t="s">
        <v>46</v>
      </c>
      <c r="M624" s="37"/>
      <c r="N624" s="39" t="n">
        <v>38520</v>
      </c>
      <c r="O624" s="41" t="s">
        <v>23</v>
      </c>
      <c r="P624" s="41" t="s">
        <v>105</v>
      </c>
      <c r="Q624" s="42"/>
      <c r="R624" s="41"/>
      <c r="S624" s="42"/>
      <c r="T624" s="41"/>
    </row>
    <row r="625" customFormat="false" ht="13.5" hidden="false" customHeight="true" outlineLevel="0" collapsed="false">
      <c r="A625" s="37" t="n">
        <v>622</v>
      </c>
      <c r="B625" s="37" t="n">
        <v>2602</v>
      </c>
      <c r="C625" s="38" t="s">
        <v>2926</v>
      </c>
      <c r="D625" s="37" t="s">
        <v>100</v>
      </c>
      <c r="E625" s="39" t="n">
        <v>27067</v>
      </c>
      <c r="F625" s="37" t="n">
        <f aca="true">IFERROR(DATEDIF(E625,TODAY(),"Y"),"")</f>
        <v>52</v>
      </c>
      <c r="G625" s="40" t="s">
        <v>2927</v>
      </c>
      <c r="H625" s="40"/>
      <c r="I625" s="38" t="s">
        <v>2928</v>
      </c>
      <c r="J625" s="38" t="s">
        <v>15</v>
      </c>
      <c r="K625" s="38" t="s">
        <v>2929</v>
      </c>
      <c r="L625" s="38" t="s">
        <v>55</v>
      </c>
      <c r="M625" s="37"/>
      <c r="N625" s="39" t="n">
        <v>38520</v>
      </c>
      <c r="O625" s="41" t="s">
        <v>23</v>
      </c>
      <c r="P625" s="41" t="s">
        <v>105</v>
      </c>
      <c r="Q625" s="42"/>
      <c r="R625" s="41"/>
      <c r="S625" s="42"/>
      <c r="T625" s="41"/>
    </row>
    <row r="626" customFormat="false" ht="13.5" hidden="false" customHeight="true" outlineLevel="0" collapsed="false">
      <c r="A626" s="37" t="n">
        <v>623</v>
      </c>
      <c r="B626" s="37" t="n">
        <v>2606</v>
      </c>
      <c r="C626" s="38" t="s">
        <v>2930</v>
      </c>
      <c r="D626" s="37" t="s">
        <v>100</v>
      </c>
      <c r="E626" s="39" t="n">
        <v>31182</v>
      </c>
      <c r="F626" s="37" t="n">
        <f aca="true">IFERROR(DATEDIF(E626,TODAY(),"Y"),"")</f>
        <v>41</v>
      </c>
      <c r="G626" s="40" t="s">
        <v>2931</v>
      </c>
      <c r="H626" s="40"/>
      <c r="I626" s="38"/>
      <c r="J626" s="38" t="s">
        <v>15</v>
      </c>
      <c r="K626" s="38" t="s">
        <v>2932</v>
      </c>
      <c r="L626" s="38" t="s">
        <v>55</v>
      </c>
      <c r="M626" s="37"/>
      <c r="N626" s="39" t="n">
        <v>38520</v>
      </c>
      <c r="O626" s="41" t="s">
        <v>23</v>
      </c>
      <c r="P626" s="41" t="s">
        <v>105</v>
      </c>
      <c r="Q626" s="42"/>
      <c r="R626" s="41"/>
      <c r="S626" s="42"/>
      <c r="T626" s="41"/>
    </row>
    <row r="627" customFormat="false" ht="13.5" hidden="false" customHeight="true" outlineLevel="0" collapsed="false">
      <c r="A627" s="37" t="n">
        <v>624</v>
      </c>
      <c r="B627" s="37" t="n">
        <v>2610</v>
      </c>
      <c r="C627" s="38" t="s">
        <v>2933</v>
      </c>
      <c r="D627" s="37" t="s">
        <v>100</v>
      </c>
      <c r="E627" s="39" t="n">
        <v>25283</v>
      </c>
      <c r="F627" s="37" t="n">
        <f aca="true">IFERROR(DATEDIF(E627,TODAY(),"Y"),"")</f>
        <v>57</v>
      </c>
      <c r="G627" s="40" t="s">
        <v>2934</v>
      </c>
      <c r="H627" s="40"/>
      <c r="I627" s="38" t="s">
        <v>2935</v>
      </c>
      <c r="J627" s="38" t="s">
        <v>15</v>
      </c>
      <c r="K627" s="38" t="s">
        <v>2936</v>
      </c>
      <c r="L627" s="38" t="s">
        <v>55</v>
      </c>
      <c r="M627" s="37"/>
      <c r="N627" s="39" t="n">
        <v>38520</v>
      </c>
      <c r="O627" s="41" t="s">
        <v>23</v>
      </c>
      <c r="P627" s="41" t="s">
        <v>105</v>
      </c>
      <c r="Q627" s="42"/>
      <c r="R627" s="41"/>
      <c r="S627" s="42"/>
      <c r="T627" s="41"/>
    </row>
    <row r="628" customFormat="false" ht="13.5" hidden="false" customHeight="true" outlineLevel="0" collapsed="false">
      <c r="A628" s="37" t="n">
        <v>625</v>
      </c>
      <c r="B628" s="37" t="n">
        <v>2612</v>
      </c>
      <c r="C628" s="38" t="s">
        <v>2937</v>
      </c>
      <c r="D628" s="37" t="s">
        <v>100</v>
      </c>
      <c r="E628" s="39" t="n">
        <v>23884</v>
      </c>
      <c r="F628" s="37" t="n">
        <f aca="true">IFERROR(DATEDIF(E628,TODAY(),"Y"),"")</f>
        <v>61</v>
      </c>
      <c r="G628" s="40" t="s">
        <v>2938</v>
      </c>
      <c r="H628" s="40"/>
      <c r="I628" s="38" t="s">
        <v>2939</v>
      </c>
      <c r="J628" s="38" t="s">
        <v>15</v>
      </c>
      <c r="K628" s="38" t="s">
        <v>2940</v>
      </c>
      <c r="L628" s="38" t="s">
        <v>55</v>
      </c>
      <c r="M628" s="37"/>
      <c r="N628" s="39" t="n">
        <v>38520</v>
      </c>
      <c r="O628" s="41" t="s">
        <v>23</v>
      </c>
      <c r="P628" s="41" t="s">
        <v>105</v>
      </c>
      <c r="Q628" s="42"/>
      <c r="R628" s="41"/>
      <c r="S628" s="42"/>
      <c r="T628" s="41"/>
    </row>
    <row r="629" customFormat="false" ht="13.5" hidden="false" customHeight="true" outlineLevel="0" collapsed="false">
      <c r="A629" s="37" t="n">
        <v>626</v>
      </c>
      <c r="B629" s="37" t="n">
        <v>2614</v>
      </c>
      <c r="C629" s="38" t="s">
        <v>2941</v>
      </c>
      <c r="D629" s="37" t="s">
        <v>100</v>
      </c>
      <c r="E629" s="39" t="n">
        <v>25298</v>
      </c>
      <c r="F629" s="37" t="n">
        <f aca="true">IFERROR(DATEDIF(E629,TODAY(),"Y"),"")</f>
        <v>57</v>
      </c>
      <c r="G629" s="40" t="s">
        <v>2942</v>
      </c>
      <c r="H629" s="40" t="s">
        <v>2943</v>
      </c>
      <c r="I629" s="38" t="s">
        <v>2944</v>
      </c>
      <c r="J629" s="38" t="s">
        <v>15</v>
      </c>
      <c r="K629" s="38" t="s">
        <v>2945</v>
      </c>
      <c r="L629" s="38" t="s">
        <v>55</v>
      </c>
      <c r="M629" s="37"/>
      <c r="N629" s="39" t="n">
        <v>38520</v>
      </c>
      <c r="O629" s="41" t="s">
        <v>23</v>
      </c>
      <c r="P629" s="41" t="s">
        <v>105</v>
      </c>
      <c r="Q629" s="42"/>
      <c r="R629" s="41"/>
      <c r="S629" s="42"/>
      <c r="T629" s="41"/>
    </row>
    <row r="630" customFormat="false" ht="13.5" hidden="false" customHeight="true" outlineLevel="0" collapsed="false">
      <c r="A630" s="37" t="n">
        <v>627</v>
      </c>
      <c r="B630" s="37" t="n">
        <v>2616</v>
      </c>
      <c r="C630" s="38" t="s">
        <v>2946</v>
      </c>
      <c r="D630" s="37" t="s">
        <v>100</v>
      </c>
      <c r="E630" s="39" t="n">
        <v>28520</v>
      </c>
      <c r="F630" s="37" t="n">
        <f aca="true">IFERROR(DATEDIF(E630,TODAY(),"Y"),"")</f>
        <v>48</v>
      </c>
      <c r="G630" s="40" t="s">
        <v>2947</v>
      </c>
      <c r="H630" s="40"/>
      <c r="I630" s="38" t="s">
        <v>791</v>
      </c>
      <c r="J630" s="38" t="s">
        <v>15</v>
      </c>
      <c r="K630" s="38" t="s">
        <v>2948</v>
      </c>
      <c r="L630" s="43" t="s">
        <v>58</v>
      </c>
      <c r="M630" s="37"/>
      <c r="N630" s="39" t="n">
        <v>38520</v>
      </c>
      <c r="O630" s="41" t="s">
        <v>23</v>
      </c>
      <c r="P630" s="41" t="s">
        <v>105</v>
      </c>
      <c r="Q630" s="42"/>
      <c r="R630" s="41"/>
      <c r="S630" s="42"/>
      <c r="T630" s="41"/>
    </row>
    <row r="631" customFormat="false" ht="13.5" hidden="false" customHeight="true" outlineLevel="0" collapsed="false">
      <c r="A631" s="37" t="n">
        <v>628</v>
      </c>
      <c r="B631" s="37" t="n">
        <v>2619</v>
      </c>
      <c r="C631" s="38" t="s">
        <v>2949</v>
      </c>
      <c r="D631" s="37" t="s">
        <v>100</v>
      </c>
      <c r="E631" s="39" t="n">
        <v>22778</v>
      </c>
      <c r="F631" s="37" t="n">
        <f aca="true">IFERROR(DATEDIF(E631,TODAY(),"Y"),"")</f>
        <v>64</v>
      </c>
      <c r="G631" s="40" t="s">
        <v>2950</v>
      </c>
      <c r="H631" s="40"/>
      <c r="I631" s="38" t="s">
        <v>2951</v>
      </c>
      <c r="J631" s="38" t="s">
        <v>15</v>
      </c>
      <c r="K631" s="38" t="s">
        <v>2952</v>
      </c>
      <c r="L631" s="38" t="s">
        <v>50</v>
      </c>
      <c r="M631" s="37" t="s">
        <v>120</v>
      </c>
      <c r="N631" s="39" t="n">
        <v>38520</v>
      </c>
      <c r="O631" s="41" t="s">
        <v>23</v>
      </c>
      <c r="P631" s="41" t="s">
        <v>105</v>
      </c>
      <c r="Q631" s="42"/>
      <c r="R631" s="41"/>
      <c r="S631" s="42"/>
      <c r="T631" s="41"/>
    </row>
    <row r="632" customFormat="false" ht="13.5" hidden="false" customHeight="true" outlineLevel="0" collapsed="false">
      <c r="A632" s="37" t="n">
        <v>629</v>
      </c>
      <c r="B632" s="37" t="n">
        <v>2620</v>
      </c>
      <c r="C632" s="38" t="s">
        <v>2953</v>
      </c>
      <c r="D632" s="37" t="s">
        <v>100</v>
      </c>
      <c r="E632" s="39" t="n">
        <v>23202</v>
      </c>
      <c r="F632" s="37" t="n">
        <f aca="true">IFERROR(DATEDIF(E632,TODAY(),"Y"),"")</f>
        <v>63</v>
      </c>
      <c r="G632" s="40" t="s">
        <v>2954</v>
      </c>
      <c r="H632" s="40"/>
      <c r="I632" s="38" t="s">
        <v>2955</v>
      </c>
      <c r="J632" s="38" t="s">
        <v>18</v>
      </c>
      <c r="K632" s="38" t="s">
        <v>2956</v>
      </c>
      <c r="L632" s="38" t="s">
        <v>46</v>
      </c>
      <c r="M632" s="37"/>
      <c r="N632" s="39" t="n">
        <v>38520</v>
      </c>
      <c r="O632" s="41" t="s">
        <v>23</v>
      </c>
      <c r="P632" s="41" t="s">
        <v>105</v>
      </c>
      <c r="Q632" s="42"/>
      <c r="R632" s="41"/>
      <c r="S632" s="42"/>
      <c r="T632" s="41"/>
    </row>
    <row r="633" customFormat="false" ht="13.5" hidden="false" customHeight="true" outlineLevel="0" collapsed="false">
      <c r="A633" s="37" t="n">
        <v>630</v>
      </c>
      <c r="B633" s="37" t="n">
        <v>2621</v>
      </c>
      <c r="C633" s="38" t="s">
        <v>2957</v>
      </c>
      <c r="D633" s="37" t="s">
        <v>100</v>
      </c>
      <c r="E633" s="39" t="n">
        <v>28534</v>
      </c>
      <c r="F633" s="37" t="n">
        <f aca="true">IFERROR(DATEDIF(E633,TODAY(),"Y"),"")</f>
        <v>48</v>
      </c>
      <c r="G633" s="40" t="s">
        <v>2958</v>
      </c>
      <c r="H633" s="40" t="s">
        <v>2959</v>
      </c>
      <c r="I633" s="38" t="s">
        <v>2960</v>
      </c>
      <c r="J633" s="38" t="s">
        <v>15</v>
      </c>
      <c r="K633" s="38" t="s">
        <v>2961</v>
      </c>
      <c r="L633" s="38" t="s">
        <v>47</v>
      </c>
      <c r="M633" s="37"/>
      <c r="N633" s="39" t="n">
        <v>38520</v>
      </c>
      <c r="O633" s="41" t="s">
        <v>23</v>
      </c>
      <c r="P633" s="41" t="s">
        <v>105</v>
      </c>
      <c r="Q633" s="42"/>
      <c r="R633" s="41"/>
      <c r="S633" s="42"/>
      <c r="T633" s="41"/>
    </row>
    <row r="634" customFormat="false" ht="13.5" hidden="false" customHeight="true" outlineLevel="0" collapsed="false">
      <c r="A634" s="37" t="n">
        <v>631</v>
      </c>
      <c r="B634" s="37" t="n">
        <v>2622</v>
      </c>
      <c r="C634" s="38" t="s">
        <v>2962</v>
      </c>
      <c r="D634" s="37" t="s">
        <v>100</v>
      </c>
      <c r="E634" s="39" t="n">
        <v>25703</v>
      </c>
      <c r="F634" s="37" t="n">
        <f aca="true">IFERROR(DATEDIF(E634,TODAY(),"Y"),"")</f>
        <v>56</v>
      </c>
      <c r="G634" s="40" t="s">
        <v>2963</v>
      </c>
      <c r="H634" s="40" t="s">
        <v>2964</v>
      </c>
      <c r="I634" s="38" t="s">
        <v>2965</v>
      </c>
      <c r="J634" s="38" t="s">
        <v>15</v>
      </c>
      <c r="K634" s="38" t="s">
        <v>2966</v>
      </c>
      <c r="L634" s="38" t="s">
        <v>53</v>
      </c>
      <c r="M634" s="37" t="s">
        <v>120</v>
      </c>
      <c r="N634" s="39" t="n">
        <v>38520</v>
      </c>
      <c r="O634" s="41" t="s">
        <v>23</v>
      </c>
      <c r="P634" s="41" t="s">
        <v>105</v>
      </c>
      <c r="Q634" s="42"/>
      <c r="R634" s="41"/>
      <c r="S634" s="42"/>
      <c r="T634" s="41"/>
    </row>
    <row r="635" customFormat="false" ht="13.5" hidden="false" customHeight="true" outlineLevel="0" collapsed="false">
      <c r="A635" s="37" t="n">
        <v>632</v>
      </c>
      <c r="B635" s="37" t="n">
        <v>2624</v>
      </c>
      <c r="C635" s="38" t="s">
        <v>466</v>
      </c>
      <c r="D635" s="37" t="s">
        <v>100</v>
      </c>
      <c r="E635" s="39" t="n">
        <v>25951</v>
      </c>
      <c r="F635" s="37" t="n">
        <f aca="true">IFERROR(DATEDIF(E635,TODAY(),"Y"),"")</f>
        <v>55</v>
      </c>
      <c r="G635" s="40" t="s">
        <v>2967</v>
      </c>
      <c r="H635" s="40" t="s">
        <v>2968</v>
      </c>
      <c r="I635" s="38" t="s">
        <v>2969</v>
      </c>
      <c r="J635" s="38" t="s">
        <v>15</v>
      </c>
      <c r="K635" s="38" t="s">
        <v>2970</v>
      </c>
      <c r="L635" s="43" t="s">
        <v>58</v>
      </c>
      <c r="M635" s="37"/>
      <c r="N635" s="39" t="n">
        <v>38520</v>
      </c>
      <c r="O635" s="41" t="s">
        <v>23</v>
      </c>
      <c r="P635" s="41" t="s">
        <v>105</v>
      </c>
      <c r="Q635" s="42"/>
      <c r="R635" s="41"/>
      <c r="S635" s="42"/>
      <c r="T635" s="41"/>
    </row>
    <row r="636" customFormat="false" ht="13.5" hidden="false" customHeight="true" outlineLevel="0" collapsed="false">
      <c r="A636" s="37" t="n">
        <v>633</v>
      </c>
      <c r="B636" s="37" t="n">
        <v>2625</v>
      </c>
      <c r="C636" s="38" t="s">
        <v>2971</v>
      </c>
      <c r="D636" s="37" t="s">
        <v>100</v>
      </c>
      <c r="E636" s="39" t="n">
        <v>20424</v>
      </c>
      <c r="F636" s="37" t="n">
        <f aca="true">IFERROR(DATEDIF(E636,TODAY(),"Y"),"")</f>
        <v>70</v>
      </c>
      <c r="G636" s="40" t="s">
        <v>2972</v>
      </c>
      <c r="H636" s="40"/>
      <c r="I636" s="38" t="s">
        <v>2973</v>
      </c>
      <c r="J636" s="38" t="s">
        <v>15</v>
      </c>
      <c r="K636" s="38" t="s">
        <v>2974</v>
      </c>
      <c r="L636" s="38" t="s">
        <v>53</v>
      </c>
      <c r="M636" s="37" t="s">
        <v>177</v>
      </c>
      <c r="N636" s="39" t="n">
        <v>38520</v>
      </c>
      <c r="O636" s="41" t="s">
        <v>23</v>
      </c>
      <c r="P636" s="41" t="s">
        <v>105</v>
      </c>
      <c r="Q636" s="42"/>
      <c r="R636" s="41"/>
      <c r="S636" s="42"/>
      <c r="T636" s="41"/>
    </row>
    <row r="637" customFormat="false" ht="13.5" hidden="false" customHeight="true" outlineLevel="0" collapsed="false">
      <c r="A637" s="37" t="n">
        <v>634</v>
      </c>
      <c r="B637" s="37" t="n">
        <v>2631</v>
      </c>
      <c r="C637" s="38" t="s">
        <v>2975</v>
      </c>
      <c r="D637" s="37" t="s">
        <v>100</v>
      </c>
      <c r="E637" s="39" t="n">
        <v>24231</v>
      </c>
      <c r="F637" s="37" t="n">
        <f aca="true">IFERROR(DATEDIF(E637,TODAY(),"Y"),"")</f>
        <v>60</v>
      </c>
      <c r="G637" s="40" t="s">
        <v>2976</v>
      </c>
      <c r="H637" s="40"/>
      <c r="I637" s="38" t="s">
        <v>2977</v>
      </c>
      <c r="J637" s="38" t="s">
        <v>15</v>
      </c>
      <c r="K637" s="38" t="s">
        <v>2978</v>
      </c>
      <c r="L637" s="38" t="s">
        <v>55</v>
      </c>
      <c r="M637" s="37" t="s">
        <v>177</v>
      </c>
      <c r="N637" s="39" t="n">
        <v>38520</v>
      </c>
      <c r="O637" s="41" t="s">
        <v>23</v>
      </c>
      <c r="P637" s="41" t="s">
        <v>105</v>
      </c>
      <c r="Q637" s="42"/>
      <c r="R637" s="41"/>
      <c r="S637" s="42"/>
      <c r="T637" s="41"/>
    </row>
    <row r="638" customFormat="false" ht="13.5" hidden="false" customHeight="true" outlineLevel="0" collapsed="false">
      <c r="A638" s="37" t="n">
        <v>635</v>
      </c>
      <c r="B638" s="37" t="n">
        <v>2632</v>
      </c>
      <c r="C638" s="38" t="s">
        <v>2979</v>
      </c>
      <c r="D638" s="37" t="s">
        <v>100</v>
      </c>
      <c r="E638" s="39" t="n">
        <v>24929</v>
      </c>
      <c r="F638" s="37" t="n">
        <f aca="true">IFERROR(DATEDIF(E638,TODAY(),"Y"),"")</f>
        <v>58</v>
      </c>
      <c r="G638" s="40" t="s">
        <v>2980</v>
      </c>
      <c r="H638" s="40"/>
      <c r="I638" s="38" t="s">
        <v>2981</v>
      </c>
      <c r="J638" s="38" t="s">
        <v>15</v>
      </c>
      <c r="K638" s="38" t="s">
        <v>2982</v>
      </c>
      <c r="L638" s="38" t="s">
        <v>55</v>
      </c>
      <c r="M638" s="37"/>
      <c r="N638" s="39" t="n">
        <v>38520</v>
      </c>
      <c r="O638" s="41" t="s">
        <v>23</v>
      </c>
      <c r="P638" s="41" t="s">
        <v>105</v>
      </c>
      <c r="Q638" s="42"/>
      <c r="R638" s="41"/>
      <c r="S638" s="42"/>
      <c r="T638" s="41"/>
    </row>
    <row r="639" customFormat="false" ht="13.5" hidden="false" customHeight="true" outlineLevel="0" collapsed="false">
      <c r="A639" s="37" t="n">
        <v>636</v>
      </c>
      <c r="B639" s="37" t="n">
        <v>2633</v>
      </c>
      <c r="C639" s="38" t="s">
        <v>2983</v>
      </c>
      <c r="D639" s="37" t="s">
        <v>100</v>
      </c>
      <c r="E639" s="39" t="n">
        <v>19105</v>
      </c>
      <c r="F639" s="37" t="n">
        <f aca="true">IFERROR(DATEDIF(E639,TODAY(),"Y"),"")</f>
        <v>74</v>
      </c>
      <c r="G639" s="40" t="s">
        <v>2984</v>
      </c>
      <c r="H639" s="40"/>
      <c r="I639" s="38" t="s">
        <v>2985</v>
      </c>
      <c r="J639" s="38" t="s">
        <v>16</v>
      </c>
      <c r="K639" s="38" t="s">
        <v>2986</v>
      </c>
      <c r="L639" s="38" t="s">
        <v>55</v>
      </c>
      <c r="M639" s="37"/>
      <c r="N639" s="39" t="n">
        <v>38520</v>
      </c>
      <c r="O639" s="41" t="s">
        <v>23</v>
      </c>
      <c r="P639" s="41" t="s">
        <v>105</v>
      </c>
      <c r="Q639" s="42"/>
      <c r="R639" s="41"/>
      <c r="S639" s="42"/>
      <c r="T639" s="41"/>
    </row>
    <row r="640" customFormat="false" ht="13.5" hidden="false" customHeight="true" outlineLevel="0" collapsed="false">
      <c r="A640" s="37" t="n">
        <v>637</v>
      </c>
      <c r="B640" s="37" t="n">
        <v>2637</v>
      </c>
      <c r="C640" s="38" t="s">
        <v>2987</v>
      </c>
      <c r="D640" s="37" t="s">
        <v>100</v>
      </c>
      <c r="E640" s="39" t="n">
        <v>24176</v>
      </c>
      <c r="F640" s="37" t="n">
        <f aca="true">IFERROR(DATEDIF(E640,TODAY(),"Y"),"")</f>
        <v>60</v>
      </c>
      <c r="G640" s="40" t="s">
        <v>2988</v>
      </c>
      <c r="H640" s="40" t="s">
        <v>2989</v>
      </c>
      <c r="I640" s="38" t="s">
        <v>2990</v>
      </c>
      <c r="J640" s="38" t="s">
        <v>15</v>
      </c>
      <c r="K640" s="38" t="s">
        <v>2991</v>
      </c>
      <c r="L640" s="38" t="s">
        <v>47</v>
      </c>
      <c r="M640" s="37"/>
      <c r="N640" s="39" t="n">
        <v>38520</v>
      </c>
      <c r="O640" s="41" t="s">
        <v>23</v>
      </c>
      <c r="P640" s="41" t="s">
        <v>105</v>
      </c>
      <c r="Q640" s="42"/>
      <c r="R640" s="41"/>
      <c r="S640" s="42"/>
      <c r="T640" s="41"/>
    </row>
    <row r="641" customFormat="false" ht="13.5" hidden="false" customHeight="true" outlineLevel="0" collapsed="false">
      <c r="A641" s="37" t="n">
        <v>638</v>
      </c>
      <c r="B641" s="37" t="n">
        <v>2640</v>
      </c>
      <c r="C641" s="38" t="s">
        <v>2992</v>
      </c>
      <c r="D641" s="37" t="s">
        <v>100</v>
      </c>
      <c r="E641" s="39" t="n">
        <v>21653</v>
      </c>
      <c r="F641" s="37" t="n">
        <f aca="true">IFERROR(DATEDIF(E641,TODAY(),"Y"),"")</f>
        <v>67</v>
      </c>
      <c r="G641" s="40" t="s">
        <v>2993</v>
      </c>
      <c r="H641" s="40" t="s">
        <v>2994</v>
      </c>
      <c r="I641" s="38" t="s">
        <v>2995</v>
      </c>
      <c r="J641" s="38" t="s">
        <v>15</v>
      </c>
      <c r="K641" s="38" t="s">
        <v>2996</v>
      </c>
      <c r="L641" s="38" t="s">
        <v>50</v>
      </c>
      <c r="M641" s="37"/>
      <c r="N641" s="39" t="n">
        <v>38520</v>
      </c>
      <c r="O641" s="41" t="s">
        <v>23</v>
      </c>
      <c r="P641" s="41" t="s">
        <v>105</v>
      </c>
      <c r="Q641" s="42"/>
      <c r="R641" s="41"/>
      <c r="S641" s="42"/>
      <c r="T641" s="41"/>
    </row>
    <row r="642" customFormat="false" ht="13.5" hidden="false" customHeight="true" outlineLevel="0" collapsed="false">
      <c r="A642" s="37" t="n">
        <v>639</v>
      </c>
      <c r="B642" s="37" t="n">
        <v>2641</v>
      </c>
      <c r="C642" s="38" t="s">
        <v>2997</v>
      </c>
      <c r="D642" s="37" t="s">
        <v>100</v>
      </c>
      <c r="E642" s="39" t="n">
        <v>17899</v>
      </c>
      <c r="F642" s="37" t="n">
        <f aca="true">IFERROR(DATEDIF(E642,TODAY(),"Y"),"")</f>
        <v>77</v>
      </c>
      <c r="G642" s="40" t="s">
        <v>2998</v>
      </c>
      <c r="H642" s="40" t="s">
        <v>2999</v>
      </c>
      <c r="I642" s="38" t="s">
        <v>3000</v>
      </c>
      <c r="J642" s="38" t="s">
        <v>16</v>
      </c>
      <c r="K642" s="38" t="s">
        <v>3001</v>
      </c>
      <c r="L642" s="38" t="s">
        <v>46</v>
      </c>
      <c r="M642" s="37"/>
      <c r="N642" s="39" t="n">
        <v>38520</v>
      </c>
      <c r="O642" s="41" t="s">
        <v>23</v>
      </c>
      <c r="P642" s="41" t="s">
        <v>105</v>
      </c>
      <c r="Q642" s="42"/>
      <c r="R642" s="41"/>
      <c r="S642" s="42"/>
      <c r="T642" s="41"/>
    </row>
    <row r="643" customFormat="false" ht="13.5" hidden="false" customHeight="true" outlineLevel="0" collapsed="false">
      <c r="A643" s="37" t="n">
        <v>640</v>
      </c>
      <c r="B643" s="37" t="n">
        <v>2645</v>
      </c>
      <c r="C643" s="38" t="s">
        <v>3002</v>
      </c>
      <c r="D643" s="37" t="s">
        <v>100</v>
      </c>
      <c r="E643" s="39" t="n">
        <v>21226</v>
      </c>
      <c r="F643" s="37" t="n">
        <f aca="true">IFERROR(DATEDIF(E643,TODAY(),"Y"),"")</f>
        <v>68</v>
      </c>
      <c r="G643" s="40" t="s">
        <v>3003</v>
      </c>
      <c r="H643" s="40" t="s">
        <v>3004</v>
      </c>
      <c r="I643" s="38" t="s">
        <v>3005</v>
      </c>
      <c r="J643" s="38" t="s">
        <v>15</v>
      </c>
      <c r="K643" s="38" t="s">
        <v>3006</v>
      </c>
      <c r="L643" s="38" t="s">
        <v>55</v>
      </c>
      <c r="M643" s="37"/>
      <c r="N643" s="39" t="n">
        <v>38520</v>
      </c>
      <c r="O643" s="41" t="s">
        <v>23</v>
      </c>
      <c r="P643" s="41" t="s">
        <v>105</v>
      </c>
      <c r="Q643" s="42"/>
      <c r="R643" s="41"/>
      <c r="S643" s="42"/>
      <c r="T643" s="41"/>
    </row>
    <row r="644" customFormat="false" ht="13.5" hidden="false" customHeight="true" outlineLevel="0" collapsed="false">
      <c r="A644" s="37" t="n">
        <v>641</v>
      </c>
      <c r="B644" s="37" t="n">
        <v>2647</v>
      </c>
      <c r="C644" s="38" t="s">
        <v>3007</v>
      </c>
      <c r="D644" s="37" t="s">
        <v>100</v>
      </c>
      <c r="E644" s="39" t="n">
        <v>23002</v>
      </c>
      <c r="F644" s="37" t="n">
        <f aca="true">IFERROR(DATEDIF(E644,TODAY(),"Y"),"")</f>
        <v>63</v>
      </c>
      <c r="G644" s="40" t="s">
        <v>3008</v>
      </c>
      <c r="H644" s="40" t="s">
        <v>3009</v>
      </c>
      <c r="I644" s="38"/>
      <c r="J644" s="38" t="s">
        <v>18</v>
      </c>
      <c r="K644" s="38" t="s">
        <v>3010</v>
      </c>
      <c r="L644" s="38" t="s">
        <v>47</v>
      </c>
      <c r="M644" s="37"/>
      <c r="N644" s="39" t="n">
        <v>38520</v>
      </c>
      <c r="O644" s="41" t="s">
        <v>23</v>
      </c>
      <c r="P644" s="41" t="s">
        <v>105</v>
      </c>
      <c r="Q644" s="42"/>
      <c r="R644" s="41"/>
      <c r="S644" s="42"/>
      <c r="T644" s="41"/>
    </row>
    <row r="645" customFormat="false" ht="13.5" hidden="false" customHeight="true" outlineLevel="0" collapsed="false">
      <c r="A645" s="37" t="n">
        <v>642</v>
      </c>
      <c r="B645" s="37" t="n">
        <v>2648</v>
      </c>
      <c r="C645" s="38" t="s">
        <v>3011</v>
      </c>
      <c r="D645" s="37" t="s">
        <v>100</v>
      </c>
      <c r="E645" s="39" t="n">
        <v>23048</v>
      </c>
      <c r="F645" s="37" t="n">
        <f aca="true">IFERROR(DATEDIF(E645,TODAY(),"Y"),"")</f>
        <v>63</v>
      </c>
      <c r="G645" s="40" t="s">
        <v>3012</v>
      </c>
      <c r="H645" s="40"/>
      <c r="I645" s="38" t="s">
        <v>3013</v>
      </c>
      <c r="J645" s="38" t="s">
        <v>15</v>
      </c>
      <c r="K645" s="38" t="s">
        <v>3014</v>
      </c>
      <c r="L645" s="38" t="s">
        <v>46</v>
      </c>
      <c r="M645" s="37"/>
      <c r="N645" s="39" t="n">
        <v>38520</v>
      </c>
      <c r="O645" s="41" t="s">
        <v>23</v>
      </c>
      <c r="P645" s="41" t="s">
        <v>105</v>
      </c>
      <c r="Q645" s="42"/>
      <c r="R645" s="41"/>
      <c r="S645" s="42"/>
      <c r="T645" s="41"/>
    </row>
    <row r="646" customFormat="false" ht="13.5" hidden="false" customHeight="true" outlineLevel="0" collapsed="false">
      <c r="A646" s="37" t="n">
        <v>643</v>
      </c>
      <c r="B646" s="37" t="n">
        <v>2649</v>
      </c>
      <c r="C646" s="38" t="s">
        <v>3015</v>
      </c>
      <c r="D646" s="37" t="s">
        <v>100</v>
      </c>
      <c r="E646" s="39" t="n">
        <v>24614</v>
      </c>
      <c r="F646" s="37" t="n">
        <f aca="true">IFERROR(DATEDIF(E646,TODAY(),"Y"),"")</f>
        <v>59</v>
      </c>
      <c r="G646" s="40" t="s">
        <v>3016</v>
      </c>
      <c r="H646" s="40"/>
      <c r="I646" s="38" t="s">
        <v>3017</v>
      </c>
      <c r="J646" s="38" t="s">
        <v>15</v>
      </c>
      <c r="K646" s="38" t="s">
        <v>3018</v>
      </c>
      <c r="L646" s="38" t="s">
        <v>55</v>
      </c>
      <c r="M646" s="37"/>
      <c r="N646" s="39" t="n">
        <v>38520</v>
      </c>
      <c r="O646" s="41" t="s">
        <v>23</v>
      </c>
      <c r="P646" s="41" t="s">
        <v>105</v>
      </c>
      <c r="Q646" s="42"/>
      <c r="R646" s="41"/>
      <c r="S646" s="42"/>
      <c r="T646" s="41"/>
    </row>
    <row r="647" customFormat="false" ht="13.5" hidden="false" customHeight="true" outlineLevel="0" collapsed="false">
      <c r="A647" s="37" t="n">
        <v>644</v>
      </c>
      <c r="B647" s="37" t="n">
        <v>2650</v>
      </c>
      <c r="C647" s="38" t="s">
        <v>3019</v>
      </c>
      <c r="D647" s="37" t="s">
        <v>100</v>
      </c>
      <c r="E647" s="39" t="n">
        <v>24188</v>
      </c>
      <c r="F647" s="37" t="n">
        <f aca="true">IFERROR(DATEDIF(E647,TODAY(),"Y"),"")</f>
        <v>60</v>
      </c>
      <c r="G647" s="40" t="s">
        <v>3020</v>
      </c>
      <c r="H647" s="40" t="s">
        <v>3021</v>
      </c>
      <c r="I647" s="38" t="s">
        <v>3022</v>
      </c>
      <c r="J647" s="38" t="s">
        <v>15</v>
      </c>
      <c r="K647" s="38" t="s">
        <v>3023</v>
      </c>
      <c r="L647" s="38" t="s">
        <v>47</v>
      </c>
      <c r="M647" s="37" t="s">
        <v>231</v>
      </c>
      <c r="N647" s="39" t="n">
        <v>38520</v>
      </c>
      <c r="O647" s="41" t="s">
        <v>23</v>
      </c>
      <c r="P647" s="41" t="s">
        <v>105</v>
      </c>
      <c r="Q647" s="42"/>
      <c r="R647" s="41"/>
      <c r="S647" s="42"/>
      <c r="T647" s="41"/>
    </row>
    <row r="648" customFormat="false" ht="13.5" hidden="false" customHeight="true" outlineLevel="0" collapsed="false">
      <c r="A648" s="37" t="n">
        <v>645</v>
      </c>
      <c r="B648" s="37" t="n">
        <v>2658</v>
      </c>
      <c r="C648" s="38" t="s">
        <v>3024</v>
      </c>
      <c r="D648" s="37" t="s">
        <v>100</v>
      </c>
      <c r="E648" s="39" t="n">
        <v>27982</v>
      </c>
      <c r="F648" s="37" t="n">
        <f aca="true">IFERROR(DATEDIF(E648,TODAY(),"Y"),"")</f>
        <v>50</v>
      </c>
      <c r="G648" s="40" t="s">
        <v>3025</v>
      </c>
      <c r="H648" s="40" t="s">
        <v>3026</v>
      </c>
      <c r="I648" s="38"/>
      <c r="J648" s="38" t="s">
        <v>15</v>
      </c>
      <c r="K648" s="38" t="s">
        <v>3027</v>
      </c>
      <c r="L648" s="38" t="s">
        <v>47</v>
      </c>
      <c r="M648" s="37"/>
      <c r="N648" s="39" t="n">
        <v>38520</v>
      </c>
      <c r="O648" s="41" t="s">
        <v>23</v>
      </c>
      <c r="P648" s="41" t="s">
        <v>105</v>
      </c>
      <c r="Q648" s="42"/>
      <c r="R648" s="41"/>
      <c r="S648" s="42"/>
      <c r="T648" s="41"/>
    </row>
    <row r="649" customFormat="false" ht="13.5" hidden="false" customHeight="true" outlineLevel="0" collapsed="false">
      <c r="A649" s="37" t="n">
        <v>646</v>
      </c>
      <c r="B649" s="37" t="n">
        <v>2660</v>
      </c>
      <c r="C649" s="38" t="s">
        <v>3028</v>
      </c>
      <c r="D649" s="37" t="s">
        <v>100</v>
      </c>
      <c r="E649" s="39" t="n">
        <v>23136</v>
      </c>
      <c r="F649" s="37" t="n">
        <f aca="true">IFERROR(DATEDIF(E649,TODAY(),"Y"),"")</f>
        <v>63</v>
      </c>
      <c r="G649" s="40" t="s">
        <v>3029</v>
      </c>
      <c r="H649" s="40"/>
      <c r="I649" s="38"/>
      <c r="J649" s="38" t="s">
        <v>22</v>
      </c>
      <c r="K649" s="38" t="s">
        <v>3030</v>
      </c>
      <c r="L649" s="38" t="s">
        <v>55</v>
      </c>
      <c r="M649" s="37"/>
      <c r="N649" s="39" t="n">
        <v>38520</v>
      </c>
      <c r="O649" s="41" t="s">
        <v>23</v>
      </c>
      <c r="P649" s="41" t="s">
        <v>105</v>
      </c>
      <c r="Q649" s="42"/>
      <c r="R649" s="41"/>
      <c r="S649" s="42"/>
      <c r="T649" s="41"/>
    </row>
    <row r="650" customFormat="false" ht="13.5" hidden="false" customHeight="true" outlineLevel="0" collapsed="false">
      <c r="A650" s="37" t="n">
        <v>647</v>
      </c>
      <c r="B650" s="37" t="n">
        <v>2663</v>
      </c>
      <c r="C650" s="38" t="s">
        <v>3031</v>
      </c>
      <c r="D650" s="37" t="s">
        <v>100</v>
      </c>
      <c r="E650" s="39" t="n">
        <v>23691</v>
      </c>
      <c r="F650" s="37" t="n">
        <f aca="true">IFERROR(DATEDIF(E650,TODAY(),"Y"),"")</f>
        <v>61</v>
      </c>
      <c r="G650" s="40" t="s">
        <v>3032</v>
      </c>
      <c r="H650" s="40" t="s">
        <v>3033</v>
      </c>
      <c r="I650" s="38" t="s">
        <v>3034</v>
      </c>
      <c r="J650" s="38" t="s">
        <v>18</v>
      </c>
      <c r="K650" s="38" t="s">
        <v>3035</v>
      </c>
      <c r="L650" s="38" t="s">
        <v>55</v>
      </c>
      <c r="M650" s="37" t="s">
        <v>120</v>
      </c>
      <c r="N650" s="39" t="n">
        <v>38520</v>
      </c>
      <c r="O650" s="41" t="s">
        <v>23</v>
      </c>
      <c r="P650" s="41" t="s">
        <v>105</v>
      </c>
      <c r="Q650" s="42"/>
      <c r="R650" s="41"/>
      <c r="S650" s="42"/>
      <c r="T650" s="41"/>
    </row>
    <row r="651" customFormat="false" ht="13.5" hidden="false" customHeight="true" outlineLevel="0" collapsed="false">
      <c r="A651" s="37" t="n">
        <v>648</v>
      </c>
      <c r="B651" s="37" t="n">
        <v>2665</v>
      </c>
      <c r="C651" s="38" t="s">
        <v>3036</v>
      </c>
      <c r="D651" s="37" t="s">
        <v>100</v>
      </c>
      <c r="E651" s="39" t="n">
        <v>25628</v>
      </c>
      <c r="F651" s="37" t="n">
        <f aca="true">IFERROR(DATEDIF(E651,TODAY(),"Y"),"")</f>
        <v>56</v>
      </c>
      <c r="G651" s="40" t="s">
        <v>3037</v>
      </c>
      <c r="H651" s="40"/>
      <c r="I651" s="38" t="s">
        <v>3038</v>
      </c>
      <c r="J651" s="38" t="s">
        <v>22</v>
      </c>
      <c r="K651" s="38" t="s">
        <v>3039</v>
      </c>
      <c r="L651" s="38" t="s">
        <v>51</v>
      </c>
      <c r="M651" s="37"/>
      <c r="N651" s="39" t="n">
        <v>38520</v>
      </c>
      <c r="O651" s="41" t="s">
        <v>23</v>
      </c>
      <c r="P651" s="41" t="s">
        <v>105</v>
      </c>
      <c r="Q651" s="42"/>
      <c r="R651" s="41"/>
      <c r="S651" s="42"/>
      <c r="T651" s="41"/>
    </row>
    <row r="652" customFormat="false" ht="13.5" hidden="false" customHeight="true" outlineLevel="0" collapsed="false">
      <c r="A652" s="37" t="n">
        <v>649</v>
      </c>
      <c r="B652" s="37" t="n">
        <v>2666</v>
      </c>
      <c r="C652" s="38" t="s">
        <v>3040</v>
      </c>
      <c r="D652" s="37" t="s">
        <v>100</v>
      </c>
      <c r="E652" s="39" t="n">
        <v>23456</v>
      </c>
      <c r="F652" s="37" t="n">
        <f aca="true">IFERROR(DATEDIF(E652,TODAY(),"Y"),"")</f>
        <v>62</v>
      </c>
      <c r="G652" s="40" t="s">
        <v>3041</v>
      </c>
      <c r="H652" s="40" t="s">
        <v>3042</v>
      </c>
      <c r="I652" s="38" t="s">
        <v>3043</v>
      </c>
      <c r="J652" s="38"/>
      <c r="K652" s="38" t="s">
        <v>3044</v>
      </c>
      <c r="L652" s="38" t="s">
        <v>46</v>
      </c>
      <c r="M652" s="37" t="s">
        <v>104</v>
      </c>
      <c r="N652" s="39" t="n">
        <v>38520</v>
      </c>
      <c r="O652" s="41" t="s">
        <v>23</v>
      </c>
      <c r="P652" s="41" t="s">
        <v>105</v>
      </c>
      <c r="Q652" s="42"/>
      <c r="R652" s="41"/>
      <c r="S652" s="42"/>
      <c r="T652" s="41"/>
    </row>
    <row r="653" customFormat="false" ht="13.5" hidden="false" customHeight="true" outlineLevel="0" collapsed="false">
      <c r="A653" s="37" t="n">
        <v>650</v>
      </c>
      <c r="B653" s="37" t="n">
        <v>2668</v>
      </c>
      <c r="C653" s="38" t="s">
        <v>3045</v>
      </c>
      <c r="D653" s="37" t="s">
        <v>100</v>
      </c>
      <c r="E653" s="39" t="n">
        <v>22817</v>
      </c>
      <c r="F653" s="37" t="n">
        <f aca="true">IFERROR(DATEDIF(E653,TODAY(),"Y"),"")</f>
        <v>64</v>
      </c>
      <c r="G653" s="40" t="s">
        <v>3046</v>
      </c>
      <c r="H653" s="40"/>
      <c r="I653" s="38"/>
      <c r="J653" s="38" t="s">
        <v>15</v>
      </c>
      <c r="K653" s="38" t="s">
        <v>3047</v>
      </c>
      <c r="L653" s="38" t="s">
        <v>46</v>
      </c>
      <c r="M653" s="37"/>
      <c r="N653" s="39" t="n">
        <v>38520</v>
      </c>
      <c r="O653" s="41" t="s">
        <v>23</v>
      </c>
      <c r="P653" s="41" t="s">
        <v>105</v>
      </c>
      <c r="Q653" s="42"/>
      <c r="R653" s="41"/>
      <c r="S653" s="42"/>
      <c r="T653" s="41"/>
    </row>
    <row r="654" customFormat="false" ht="13.5" hidden="false" customHeight="true" outlineLevel="0" collapsed="false">
      <c r="A654" s="37" t="n">
        <v>651</v>
      </c>
      <c r="B654" s="37" t="n">
        <v>2670</v>
      </c>
      <c r="C654" s="38" t="s">
        <v>3048</v>
      </c>
      <c r="D654" s="37" t="s">
        <v>100</v>
      </c>
      <c r="E654" s="39" t="n">
        <v>24257</v>
      </c>
      <c r="F654" s="37" t="n">
        <f aca="true">IFERROR(DATEDIF(E654,TODAY(),"Y"),"")</f>
        <v>60</v>
      </c>
      <c r="G654" s="40" t="s">
        <v>3049</v>
      </c>
      <c r="H654" s="40"/>
      <c r="I654" s="38" t="s">
        <v>3050</v>
      </c>
      <c r="J654" s="38" t="s">
        <v>15</v>
      </c>
      <c r="K654" s="38" t="s">
        <v>3051</v>
      </c>
      <c r="L654" s="38" t="s">
        <v>44</v>
      </c>
      <c r="M654" s="37"/>
      <c r="N654" s="39" t="n">
        <v>38520</v>
      </c>
      <c r="O654" s="41" t="s">
        <v>23</v>
      </c>
      <c r="P654" s="41" t="s">
        <v>105</v>
      </c>
      <c r="Q654" s="42"/>
      <c r="R654" s="41"/>
      <c r="S654" s="42"/>
      <c r="T654" s="41"/>
    </row>
    <row r="655" customFormat="false" ht="13.5" hidden="false" customHeight="true" outlineLevel="0" collapsed="false">
      <c r="A655" s="37" t="n">
        <v>652</v>
      </c>
      <c r="B655" s="37" t="n">
        <v>2672</v>
      </c>
      <c r="C655" s="38" t="s">
        <v>1779</v>
      </c>
      <c r="D655" s="37" t="s">
        <v>100</v>
      </c>
      <c r="E655" s="39" t="n">
        <v>22128</v>
      </c>
      <c r="F655" s="37" t="n">
        <f aca="true">IFERROR(DATEDIF(E655,TODAY(),"Y"),"")</f>
        <v>66</v>
      </c>
      <c r="G655" s="40" t="s">
        <v>3052</v>
      </c>
      <c r="H655" s="40" t="s">
        <v>3053</v>
      </c>
      <c r="I655" s="38" t="s">
        <v>3054</v>
      </c>
      <c r="J655" s="38" t="s">
        <v>15</v>
      </c>
      <c r="K655" s="38" t="s">
        <v>3055</v>
      </c>
      <c r="L655" s="38" t="s">
        <v>53</v>
      </c>
      <c r="M655" s="37"/>
      <c r="N655" s="39" t="n">
        <v>38520</v>
      </c>
      <c r="O655" s="41" t="s">
        <v>23</v>
      </c>
      <c r="P655" s="41" t="s">
        <v>105</v>
      </c>
      <c r="Q655" s="42"/>
      <c r="R655" s="41"/>
      <c r="S655" s="42"/>
      <c r="T655" s="41"/>
    </row>
    <row r="656" customFormat="false" ht="13.5" hidden="false" customHeight="true" outlineLevel="0" collapsed="false">
      <c r="A656" s="37" t="n">
        <v>653</v>
      </c>
      <c r="B656" s="37" t="n">
        <v>2673</v>
      </c>
      <c r="C656" s="38" t="s">
        <v>3056</v>
      </c>
      <c r="D656" s="37" t="s">
        <v>100</v>
      </c>
      <c r="E656" s="39" t="n">
        <v>22017</v>
      </c>
      <c r="F656" s="37" t="n">
        <f aca="true">IFERROR(DATEDIF(E656,TODAY(),"Y"),"")</f>
        <v>66</v>
      </c>
      <c r="G656" s="40" t="s">
        <v>3057</v>
      </c>
      <c r="H656" s="40" t="s">
        <v>3058</v>
      </c>
      <c r="I656" s="38"/>
      <c r="J656" s="38" t="s">
        <v>15</v>
      </c>
      <c r="K656" s="38" t="s">
        <v>3059</v>
      </c>
      <c r="L656" s="38" t="s">
        <v>47</v>
      </c>
      <c r="M656" s="37"/>
      <c r="N656" s="39" t="n">
        <v>38520</v>
      </c>
      <c r="O656" s="41" t="s">
        <v>23</v>
      </c>
      <c r="P656" s="41" t="s">
        <v>105</v>
      </c>
      <c r="Q656" s="42"/>
      <c r="R656" s="41"/>
      <c r="S656" s="42"/>
      <c r="T656" s="41"/>
    </row>
    <row r="657" customFormat="false" ht="13.5" hidden="false" customHeight="true" outlineLevel="0" collapsed="false">
      <c r="A657" s="37" t="n">
        <v>654</v>
      </c>
      <c r="B657" s="37" t="n">
        <v>2674</v>
      </c>
      <c r="C657" s="38" t="s">
        <v>3060</v>
      </c>
      <c r="D657" s="37" t="s">
        <v>100</v>
      </c>
      <c r="E657" s="39" t="n">
        <v>24546</v>
      </c>
      <c r="F657" s="37" t="n">
        <f aca="true">IFERROR(DATEDIF(E657,TODAY(),"Y"),"")</f>
        <v>59</v>
      </c>
      <c r="G657" s="40" t="s">
        <v>3061</v>
      </c>
      <c r="H657" s="40" t="s">
        <v>3062</v>
      </c>
      <c r="I657" s="38"/>
      <c r="J657" s="38" t="s">
        <v>15</v>
      </c>
      <c r="K657" s="38" t="s">
        <v>3063</v>
      </c>
      <c r="L657" s="38" t="s">
        <v>47</v>
      </c>
      <c r="M657" s="37"/>
      <c r="N657" s="39" t="n">
        <v>38520</v>
      </c>
      <c r="O657" s="41" t="s">
        <v>23</v>
      </c>
      <c r="P657" s="41" t="s">
        <v>105</v>
      </c>
      <c r="Q657" s="42"/>
      <c r="R657" s="41"/>
      <c r="S657" s="42"/>
      <c r="T657" s="41"/>
    </row>
    <row r="658" customFormat="false" ht="13.5" hidden="false" customHeight="true" outlineLevel="0" collapsed="false">
      <c r="A658" s="37" t="n">
        <v>655</v>
      </c>
      <c r="B658" s="37" t="n">
        <v>2676</v>
      </c>
      <c r="C658" s="38" t="s">
        <v>3064</v>
      </c>
      <c r="D658" s="37" t="s">
        <v>100</v>
      </c>
      <c r="E658" s="39" t="n">
        <v>28907</v>
      </c>
      <c r="F658" s="37" t="n">
        <f aca="true">IFERROR(DATEDIF(E658,TODAY(),"Y"),"")</f>
        <v>47</v>
      </c>
      <c r="G658" s="40" t="s">
        <v>3065</v>
      </c>
      <c r="H658" s="40" t="s">
        <v>3066</v>
      </c>
      <c r="I658" s="38" t="s">
        <v>3067</v>
      </c>
      <c r="J658" s="38" t="s">
        <v>16</v>
      </c>
      <c r="K658" s="38" t="s">
        <v>3068</v>
      </c>
      <c r="L658" s="38" t="s">
        <v>47</v>
      </c>
      <c r="M658" s="37"/>
      <c r="N658" s="39" t="n">
        <v>38520</v>
      </c>
      <c r="O658" s="41" t="s">
        <v>23</v>
      </c>
      <c r="P658" s="41" t="s">
        <v>105</v>
      </c>
      <c r="Q658" s="42"/>
      <c r="R658" s="41"/>
      <c r="S658" s="42"/>
      <c r="T658" s="41"/>
    </row>
    <row r="659" customFormat="false" ht="13.5" hidden="false" customHeight="true" outlineLevel="0" collapsed="false">
      <c r="A659" s="37" t="n">
        <v>656</v>
      </c>
      <c r="B659" s="37" t="n">
        <v>2679</v>
      </c>
      <c r="C659" s="38" t="s">
        <v>3069</v>
      </c>
      <c r="D659" s="37" t="s">
        <v>100</v>
      </c>
      <c r="E659" s="39" t="n">
        <v>22430</v>
      </c>
      <c r="F659" s="37" t="n">
        <f aca="true">IFERROR(DATEDIF(E659,TODAY(),"Y"),"")</f>
        <v>65</v>
      </c>
      <c r="G659" s="40" t="s">
        <v>3070</v>
      </c>
      <c r="H659" s="40"/>
      <c r="I659" s="38"/>
      <c r="J659" s="38" t="s">
        <v>15</v>
      </c>
      <c r="K659" s="38" t="s">
        <v>3071</v>
      </c>
      <c r="L659" s="38" t="s">
        <v>43</v>
      </c>
      <c r="M659" s="37"/>
      <c r="N659" s="39" t="n">
        <v>38520</v>
      </c>
      <c r="O659" s="41" t="s">
        <v>23</v>
      </c>
      <c r="P659" s="41" t="s">
        <v>105</v>
      </c>
      <c r="Q659" s="42"/>
      <c r="R659" s="41"/>
      <c r="S659" s="42"/>
      <c r="T659" s="41"/>
    </row>
    <row r="660" customFormat="false" ht="13.5" hidden="false" customHeight="true" outlineLevel="0" collapsed="false">
      <c r="A660" s="37" t="n">
        <v>657</v>
      </c>
      <c r="B660" s="37" t="n">
        <v>2684</v>
      </c>
      <c r="C660" s="38" t="s">
        <v>3072</v>
      </c>
      <c r="D660" s="37" t="s">
        <v>100</v>
      </c>
      <c r="E660" s="39" t="n">
        <v>25635</v>
      </c>
      <c r="F660" s="37" t="n">
        <f aca="true">IFERROR(DATEDIF(E660,TODAY(),"Y"),"")</f>
        <v>56</v>
      </c>
      <c r="G660" s="40" t="s">
        <v>3073</v>
      </c>
      <c r="H660" s="40" t="s">
        <v>3074</v>
      </c>
      <c r="I660" s="38" t="s">
        <v>3075</v>
      </c>
      <c r="J660" s="38" t="s">
        <v>15</v>
      </c>
      <c r="K660" s="38" t="s">
        <v>3076</v>
      </c>
      <c r="L660" s="38" t="s">
        <v>47</v>
      </c>
      <c r="M660" s="37"/>
      <c r="N660" s="39" t="n">
        <v>38520</v>
      </c>
      <c r="O660" s="41" t="s">
        <v>23</v>
      </c>
      <c r="P660" s="41" t="s">
        <v>105</v>
      </c>
      <c r="Q660" s="42"/>
      <c r="R660" s="41"/>
      <c r="S660" s="42"/>
      <c r="T660" s="41"/>
    </row>
    <row r="661" customFormat="false" ht="13.5" hidden="false" customHeight="true" outlineLevel="0" collapsed="false">
      <c r="A661" s="37" t="n">
        <v>658</v>
      </c>
      <c r="B661" s="37" t="n">
        <v>2696</v>
      </c>
      <c r="C661" s="38" t="s">
        <v>3077</v>
      </c>
      <c r="D661" s="37" t="s">
        <v>100</v>
      </c>
      <c r="E661" s="39" t="n">
        <v>24547</v>
      </c>
      <c r="F661" s="37" t="n">
        <f aca="true">IFERROR(DATEDIF(E661,TODAY(),"Y"),"")</f>
        <v>59</v>
      </c>
      <c r="G661" s="40" t="s">
        <v>3078</v>
      </c>
      <c r="H661" s="40"/>
      <c r="I661" s="38" t="s">
        <v>3079</v>
      </c>
      <c r="J661" s="38" t="s">
        <v>15</v>
      </c>
      <c r="K661" s="38" t="s">
        <v>3080</v>
      </c>
      <c r="L661" s="38" t="s">
        <v>55</v>
      </c>
      <c r="M661" s="37"/>
      <c r="N661" s="39" t="n">
        <v>38520</v>
      </c>
      <c r="O661" s="41" t="s">
        <v>23</v>
      </c>
      <c r="P661" s="41" t="s">
        <v>105</v>
      </c>
      <c r="Q661" s="42"/>
      <c r="R661" s="41"/>
      <c r="S661" s="42"/>
      <c r="T661" s="41"/>
    </row>
    <row r="662" customFormat="false" ht="13.5" hidden="false" customHeight="true" outlineLevel="0" collapsed="false">
      <c r="A662" s="37" t="n">
        <v>659</v>
      </c>
      <c r="B662" s="37" t="n">
        <v>2697</v>
      </c>
      <c r="C662" s="38" t="s">
        <v>3081</v>
      </c>
      <c r="D662" s="37" t="s">
        <v>100</v>
      </c>
      <c r="E662" s="39" t="n">
        <v>24492</v>
      </c>
      <c r="F662" s="37" t="n">
        <f aca="true">IFERROR(DATEDIF(E662,TODAY(),"Y"),"")</f>
        <v>59</v>
      </c>
      <c r="G662" s="40" t="s">
        <v>3082</v>
      </c>
      <c r="H662" s="40"/>
      <c r="I662" s="38" t="s">
        <v>3083</v>
      </c>
      <c r="J662" s="38"/>
      <c r="K662" s="38" t="s">
        <v>3084</v>
      </c>
      <c r="L662" s="38" t="s">
        <v>51</v>
      </c>
      <c r="M662" s="37"/>
      <c r="N662" s="39" t="n">
        <v>38520</v>
      </c>
      <c r="O662" s="41" t="s">
        <v>23</v>
      </c>
      <c r="P662" s="41" t="s">
        <v>105</v>
      </c>
      <c r="Q662" s="42"/>
      <c r="R662" s="41"/>
      <c r="S662" s="42"/>
      <c r="T662" s="41"/>
    </row>
    <row r="663" customFormat="false" ht="13.5" hidden="false" customHeight="true" outlineLevel="0" collapsed="false">
      <c r="A663" s="37" t="n">
        <v>660</v>
      </c>
      <c r="B663" s="37" t="n">
        <v>2698</v>
      </c>
      <c r="C663" s="38" t="s">
        <v>3085</v>
      </c>
      <c r="D663" s="37" t="s">
        <v>100</v>
      </c>
      <c r="E663" s="39" t="n">
        <v>22969</v>
      </c>
      <c r="F663" s="37" t="n">
        <f aca="true">IFERROR(DATEDIF(E663,TODAY(),"Y"),"")</f>
        <v>63</v>
      </c>
      <c r="G663" s="40" t="s">
        <v>3086</v>
      </c>
      <c r="H663" s="40" t="s">
        <v>3087</v>
      </c>
      <c r="I663" s="38" t="s">
        <v>3088</v>
      </c>
      <c r="J663" s="38" t="s">
        <v>15</v>
      </c>
      <c r="K663" s="38" t="s">
        <v>3089</v>
      </c>
      <c r="L663" s="43" t="s">
        <v>58</v>
      </c>
      <c r="M663" s="37" t="s">
        <v>120</v>
      </c>
      <c r="N663" s="39" t="n">
        <v>38520</v>
      </c>
      <c r="O663" s="41" t="s">
        <v>23</v>
      </c>
      <c r="P663" s="41" t="s">
        <v>105</v>
      </c>
      <c r="Q663" s="42"/>
      <c r="R663" s="41"/>
      <c r="S663" s="42"/>
      <c r="T663" s="41"/>
    </row>
    <row r="664" customFormat="false" ht="13.5" hidden="false" customHeight="true" outlineLevel="0" collapsed="false">
      <c r="A664" s="37" t="n">
        <v>661</v>
      </c>
      <c r="B664" s="37" t="n">
        <v>2699</v>
      </c>
      <c r="C664" s="38" t="s">
        <v>3090</v>
      </c>
      <c r="D664" s="37" t="s">
        <v>100</v>
      </c>
      <c r="E664" s="39" t="n">
        <v>22097</v>
      </c>
      <c r="F664" s="37" t="n">
        <f aca="true">IFERROR(DATEDIF(E664,TODAY(),"Y"),"")</f>
        <v>66</v>
      </c>
      <c r="G664" s="40" t="s">
        <v>3091</v>
      </c>
      <c r="H664" s="40" t="s">
        <v>3092</v>
      </c>
      <c r="I664" s="38" t="s">
        <v>3093</v>
      </c>
      <c r="J664" s="38" t="s">
        <v>15</v>
      </c>
      <c r="K664" s="38" t="s">
        <v>3094</v>
      </c>
      <c r="L664" s="38" t="s">
        <v>55</v>
      </c>
      <c r="M664" s="37"/>
      <c r="N664" s="39" t="n">
        <v>38520</v>
      </c>
      <c r="O664" s="41" t="s">
        <v>23</v>
      </c>
      <c r="P664" s="41" t="s">
        <v>105</v>
      </c>
      <c r="Q664" s="42"/>
      <c r="R664" s="41"/>
      <c r="S664" s="42"/>
      <c r="T664" s="41"/>
    </row>
    <row r="665" customFormat="false" ht="13.5" hidden="false" customHeight="true" outlineLevel="0" collapsed="false">
      <c r="A665" s="37" t="n">
        <v>662</v>
      </c>
      <c r="B665" s="37" t="n">
        <v>2700</v>
      </c>
      <c r="C665" s="38" t="s">
        <v>3095</v>
      </c>
      <c r="D665" s="37" t="s">
        <v>100</v>
      </c>
      <c r="E665" s="39" t="n">
        <v>27081</v>
      </c>
      <c r="F665" s="37" t="n">
        <f aca="true">IFERROR(DATEDIF(E665,TODAY(),"Y"),"")</f>
        <v>52</v>
      </c>
      <c r="G665" s="40" t="s">
        <v>3096</v>
      </c>
      <c r="H665" s="40"/>
      <c r="I665" s="38"/>
      <c r="J665" s="38" t="s">
        <v>15</v>
      </c>
      <c r="K665" s="38" t="s">
        <v>3097</v>
      </c>
      <c r="L665" s="38" t="s">
        <v>55</v>
      </c>
      <c r="M665" s="37"/>
      <c r="N665" s="39" t="n">
        <v>38520</v>
      </c>
      <c r="O665" s="41" t="s">
        <v>23</v>
      </c>
      <c r="P665" s="41" t="s">
        <v>105</v>
      </c>
      <c r="Q665" s="42"/>
      <c r="R665" s="41"/>
      <c r="S665" s="42"/>
      <c r="T665" s="41"/>
    </row>
    <row r="666" customFormat="false" ht="13.5" hidden="false" customHeight="true" outlineLevel="0" collapsed="false">
      <c r="A666" s="37" t="n">
        <v>663</v>
      </c>
      <c r="B666" s="37" t="n">
        <v>2705</v>
      </c>
      <c r="C666" s="38" t="s">
        <v>3098</v>
      </c>
      <c r="D666" s="37" t="s">
        <v>100</v>
      </c>
      <c r="E666" s="39" t="n">
        <v>23884</v>
      </c>
      <c r="F666" s="37" t="n">
        <f aca="true">IFERROR(DATEDIF(E666,TODAY(),"Y"),"")</f>
        <v>61</v>
      </c>
      <c r="G666" s="40" t="s">
        <v>3099</v>
      </c>
      <c r="H666" s="40"/>
      <c r="I666" s="38" t="s">
        <v>3100</v>
      </c>
      <c r="J666" s="38" t="s">
        <v>15</v>
      </c>
      <c r="K666" s="38" t="s">
        <v>3101</v>
      </c>
      <c r="L666" s="38" t="s">
        <v>46</v>
      </c>
      <c r="M666" s="37" t="s">
        <v>177</v>
      </c>
      <c r="N666" s="39" t="n">
        <v>38520</v>
      </c>
      <c r="O666" s="41" t="s">
        <v>23</v>
      </c>
      <c r="P666" s="41" t="s">
        <v>105</v>
      </c>
      <c r="Q666" s="42"/>
      <c r="R666" s="41"/>
      <c r="S666" s="42"/>
      <c r="T666" s="41"/>
    </row>
    <row r="667" customFormat="false" ht="13.5" hidden="false" customHeight="true" outlineLevel="0" collapsed="false">
      <c r="A667" s="37" t="n">
        <v>664</v>
      </c>
      <c r="B667" s="37" t="n">
        <v>2706</v>
      </c>
      <c r="C667" s="38" t="s">
        <v>3102</v>
      </c>
      <c r="D667" s="37" t="s">
        <v>100</v>
      </c>
      <c r="E667" s="39" t="n">
        <v>22286</v>
      </c>
      <c r="F667" s="37" t="n">
        <f aca="true">IFERROR(DATEDIF(E667,TODAY(),"Y"),"")</f>
        <v>65</v>
      </c>
      <c r="G667" s="40" t="s">
        <v>3103</v>
      </c>
      <c r="H667" s="40"/>
      <c r="I667" s="38" t="s">
        <v>3104</v>
      </c>
      <c r="J667" s="38" t="s">
        <v>16</v>
      </c>
      <c r="K667" s="38" t="s">
        <v>3105</v>
      </c>
      <c r="L667" s="38" t="s">
        <v>46</v>
      </c>
      <c r="M667" s="37"/>
      <c r="N667" s="39" t="n">
        <v>38520</v>
      </c>
      <c r="O667" s="41" t="s">
        <v>23</v>
      </c>
      <c r="P667" s="41" t="s">
        <v>105</v>
      </c>
      <c r="Q667" s="42"/>
      <c r="R667" s="41"/>
      <c r="S667" s="42"/>
      <c r="T667" s="41"/>
    </row>
    <row r="668" customFormat="false" ht="13.5" hidden="false" customHeight="true" outlineLevel="0" collapsed="false">
      <c r="A668" s="37" t="n">
        <v>665</v>
      </c>
      <c r="B668" s="37" t="n">
        <v>2707</v>
      </c>
      <c r="C668" s="38" t="s">
        <v>3106</v>
      </c>
      <c r="D668" s="37" t="s">
        <v>100</v>
      </c>
      <c r="E668" s="39" t="n">
        <v>25948</v>
      </c>
      <c r="F668" s="37" t="n">
        <f aca="true">IFERROR(DATEDIF(E668,TODAY(),"Y"),"")</f>
        <v>55</v>
      </c>
      <c r="G668" s="40" t="s">
        <v>3107</v>
      </c>
      <c r="H668" s="40" t="s">
        <v>3108</v>
      </c>
      <c r="I668" s="38" t="s">
        <v>3109</v>
      </c>
      <c r="J668" s="38" t="s">
        <v>18</v>
      </c>
      <c r="K668" s="38" t="s">
        <v>3110</v>
      </c>
      <c r="L668" s="38" t="s">
        <v>52</v>
      </c>
      <c r="M668" s="37" t="s">
        <v>104</v>
      </c>
      <c r="N668" s="39" t="n">
        <v>38520</v>
      </c>
      <c r="O668" s="41" t="s">
        <v>23</v>
      </c>
      <c r="P668" s="41" t="s">
        <v>105</v>
      </c>
      <c r="Q668" s="42"/>
      <c r="R668" s="41"/>
      <c r="S668" s="42"/>
      <c r="T668" s="41"/>
    </row>
    <row r="669" customFormat="false" ht="13.5" hidden="false" customHeight="true" outlineLevel="0" collapsed="false">
      <c r="A669" s="37" t="n">
        <v>666</v>
      </c>
      <c r="B669" s="37" t="n">
        <v>2710</v>
      </c>
      <c r="C669" s="38" t="s">
        <v>3111</v>
      </c>
      <c r="D669" s="37" t="s">
        <v>100</v>
      </c>
      <c r="E669" s="39" t="n">
        <v>21143</v>
      </c>
      <c r="F669" s="37" t="n">
        <f aca="true">IFERROR(DATEDIF(E669,TODAY(),"Y"),"")</f>
        <v>68</v>
      </c>
      <c r="G669" s="40" t="s">
        <v>3112</v>
      </c>
      <c r="H669" s="40" t="s">
        <v>3113</v>
      </c>
      <c r="I669" s="38" t="s">
        <v>3114</v>
      </c>
      <c r="J669" s="38" t="s">
        <v>15</v>
      </c>
      <c r="K669" s="38" t="s">
        <v>3115</v>
      </c>
      <c r="L669" s="38" t="s">
        <v>48</v>
      </c>
      <c r="M669" s="37" t="s">
        <v>104</v>
      </c>
      <c r="N669" s="39" t="n">
        <v>38520</v>
      </c>
      <c r="O669" s="41" t="s">
        <v>23</v>
      </c>
      <c r="P669" s="41" t="s">
        <v>105</v>
      </c>
      <c r="Q669" s="42"/>
      <c r="R669" s="41"/>
      <c r="S669" s="42"/>
      <c r="T669" s="41"/>
    </row>
    <row r="670" customFormat="false" ht="13.5" hidden="false" customHeight="true" outlineLevel="0" collapsed="false">
      <c r="A670" s="37" t="n">
        <v>667</v>
      </c>
      <c r="B670" s="37" t="n">
        <v>2713</v>
      </c>
      <c r="C670" s="38" t="s">
        <v>3116</v>
      </c>
      <c r="D670" s="37" t="s">
        <v>100</v>
      </c>
      <c r="E670" s="39" t="n">
        <v>25333</v>
      </c>
      <c r="F670" s="37" t="n">
        <f aca="true">IFERROR(DATEDIF(E670,TODAY(),"Y"),"")</f>
        <v>57</v>
      </c>
      <c r="G670" s="40" t="s">
        <v>3117</v>
      </c>
      <c r="H670" s="40" t="s">
        <v>3118</v>
      </c>
      <c r="I670" s="38" t="s">
        <v>3119</v>
      </c>
      <c r="J670" s="38" t="s">
        <v>15</v>
      </c>
      <c r="K670" s="38" t="s">
        <v>3120</v>
      </c>
      <c r="L670" s="38" t="s">
        <v>49</v>
      </c>
      <c r="M670" s="37"/>
      <c r="N670" s="39" t="n">
        <v>38520</v>
      </c>
      <c r="O670" s="41" t="s">
        <v>23</v>
      </c>
      <c r="P670" s="41" t="s">
        <v>105</v>
      </c>
      <c r="Q670" s="42"/>
      <c r="R670" s="41"/>
      <c r="S670" s="42"/>
      <c r="T670" s="41"/>
    </row>
    <row r="671" customFormat="false" ht="13.5" hidden="false" customHeight="true" outlineLevel="0" collapsed="false">
      <c r="A671" s="37" t="n">
        <v>668</v>
      </c>
      <c r="B671" s="37" t="n">
        <v>2714</v>
      </c>
      <c r="C671" s="38" t="s">
        <v>3121</v>
      </c>
      <c r="D671" s="37" t="s">
        <v>100</v>
      </c>
      <c r="E671" s="39" t="n">
        <v>29856</v>
      </c>
      <c r="F671" s="37" t="n">
        <f aca="true">IFERROR(DATEDIF(E671,TODAY(),"Y"),"")</f>
        <v>44</v>
      </c>
      <c r="G671" s="40" t="s">
        <v>3122</v>
      </c>
      <c r="H671" s="40" t="s">
        <v>3123</v>
      </c>
      <c r="I671" s="38" t="s">
        <v>3124</v>
      </c>
      <c r="J671" s="38" t="s">
        <v>15</v>
      </c>
      <c r="K671" s="38" t="s">
        <v>3125</v>
      </c>
      <c r="L671" s="38" t="s">
        <v>46</v>
      </c>
      <c r="M671" s="37"/>
      <c r="N671" s="39" t="n">
        <v>38520</v>
      </c>
      <c r="O671" s="41" t="s">
        <v>23</v>
      </c>
      <c r="P671" s="41" t="s">
        <v>105</v>
      </c>
      <c r="Q671" s="42"/>
      <c r="R671" s="41"/>
      <c r="S671" s="42"/>
      <c r="T671" s="41"/>
    </row>
    <row r="672" customFormat="false" ht="13.5" hidden="false" customHeight="true" outlineLevel="0" collapsed="false">
      <c r="A672" s="37" t="n">
        <v>669</v>
      </c>
      <c r="B672" s="37" t="n">
        <v>2715</v>
      </c>
      <c r="C672" s="38" t="s">
        <v>3126</v>
      </c>
      <c r="D672" s="37" t="s">
        <v>100</v>
      </c>
      <c r="E672" s="39" t="n">
        <v>30469</v>
      </c>
      <c r="F672" s="37" t="n">
        <f aca="true">IFERROR(DATEDIF(E672,TODAY(),"Y"),"")</f>
        <v>43</v>
      </c>
      <c r="G672" s="40" t="s">
        <v>3127</v>
      </c>
      <c r="H672" s="40" t="s">
        <v>3128</v>
      </c>
      <c r="I672" s="38" t="s">
        <v>3129</v>
      </c>
      <c r="J672" s="38" t="s">
        <v>15</v>
      </c>
      <c r="K672" s="38" t="s">
        <v>3130</v>
      </c>
      <c r="L672" s="38" t="s">
        <v>47</v>
      </c>
      <c r="M672" s="37"/>
      <c r="N672" s="39" t="n">
        <v>38520</v>
      </c>
      <c r="O672" s="41" t="s">
        <v>23</v>
      </c>
      <c r="P672" s="41" t="s">
        <v>105</v>
      </c>
      <c r="Q672" s="42"/>
      <c r="R672" s="41"/>
      <c r="S672" s="42"/>
      <c r="T672" s="41"/>
    </row>
    <row r="673" customFormat="false" ht="13.5" hidden="false" customHeight="true" outlineLevel="0" collapsed="false">
      <c r="A673" s="37" t="n">
        <v>670</v>
      </c>
      <c r="B673" s="37" t="n">
        <v>2719</v>
      </c>
      <c r="C673" s="38" t="s">
        <v>3131</v>
      </c>
      <c r="D673" s="37" t="s">
        <v>100</v>
      </c>
      <c r="E673" s="39" t="n">
        <v>19694</v>
      </c>
      <c r="F673" s="37" t="n">
        <f aca="true">IFERROR(DATEDIF(E673,TODAY(),"Y"),"")</f>
        <v>72</v>
      </c>
      <c r="G673" s="40" t="s">
        <v>3132</v>
      </c>
      <c r="H673" s="40"/>
      <c r="I673" s="38"/>
      <c r="J673" s="38" t="s">
        <v>16</v>
      </c>
      <c r="K673" s="38" t="s">
        <v>3133</v>
      </c>
      <c r="L673" s="38" t="s">
        <v>44</v>
      </c>
      <c r="M673" s="37"/>
      <c r="N673" s="39" t="n">
        <v>38520</v>
      </c>
      <c r="O673" s="41" t="s">
        <v>23</v>
      </c>
      <c r="P673" s="41" t="s">
        <v>105</v>
      </c>
      <c r="Q673" s="42"/>
      <c r="R673" s="41"/>
      <c r="S673" s="42"/>
      <c r="T673" s="41"/>
    </row>
    <row r="674" customFormat="false" ht="13.5" hidden="false" customHeight="true" outlineLevel="0" collapsed="false">
      <c r="A674" s="37" t="n">
        <v>671</v>
      </c>
      <c r="B674" s="37" t="n">
        <v>2720</v>
      </c>
      <c r="C674" s="38" t="s">
        <v>3134</v>
      </c>
      <c r="D674" s="37" t="s">
        <v>100</v>
      </c>
      <c r="E674" s="39" t="n">
        <v>24178</v>
      </c>
      <c r="F674" s="37" t="n">
        <f aca="true">IFERROR(DATEDIF(E674,TODAY(),"Y"),"")</f>
        <v>60</v>
      </c>
      <c r="G674" s="40" t="s">
        <v>3135</v>
      </c>
      <c r="H674" s="40" t="s">
        <v>3136</v>
      </c>
      <c r="I674" s="38" t="s">
        <v>3137</v>
      </c>
      <c r="J674" s="38" t="s">
        <v>15</v>
      </c>
      <c r="K674" s="38" t="s">
        <v>3138</v>
      </c>
      <c r="L674" s="38" t="s">
        <v>47</v>
      </c>
      <c r="M674" s="37"/>
      <c r="N674" s="39" t="n">
        <v>38520</v>
      </c>
      <c r="O674" s="41" t="s">
        <v>23</v>
      </c>
      <c r="P674" s="41" t="s">
        <v>105</v>
      </c>
      <c r="Q674" s="42"/>
      <c r="R674" s="41"/>
      <c r="S674" s="42"/>
      <c r="T674" s="41"/>
    </row>
    <row r="675" customFormat="false" ht="13.5" hidden="false" customHeight="true" outlineLevel="0" collapsed="false">
      <c r="A675" s="37" t="n">
        <v>672</v>
      </c>
      <c r="B675" s="37" t="n">
        <v>2725</v>
      </c>
      <c r="C675" s="38" t="s">
        <v>3139</v>
      </c>
      <c r="D675" s="37" t="s">
        <v>100</v>
      </c>
      <c r="E675" s="39" t="n">
        <v>21509</v>
      </c>
      <c r="F675" s="37" t="n">
        <f aca="true">IFERROR(DATEDIF(E675,TODAY(),"Y"),"")</f>
        <v>67</v>
      </c>
      <c r="G675" s="40" t="s">
        <v>3140</v>
      </c>
      <c r="H675" s="40" t="s">
        <v>3141</v>
      </c>
      <c r="I675" s="38" t="s">
        <v>3142</v>
      </c>
      <c r="J675" s="38" t="s">
        <v>15</v>
      </c>
      <c r="K675" s="38" t="s">
        <v>3143</v>
      </c>
      <c r="L675" s="38" t="s">
        <v>51</v>
      </c>
      <c r="M675" s="37"/>
      <c r="N675" s="39" t="n">
        <v>38520</v>
      </c>
      <c r="O675" s="41" t="s">
        <v>23</v>
      </c>
      <c r="P675" s="41" t="s">
        <v>105</v>
      </c>
      <c r="Q675" s="42"/>
      <c r="R675" s="41"/>
      <c r="S675" s="42"/>
      <c r="T675" s="41"/>
    </row>
    <row r="676" customFormat="false" ht="13.5" hidden="false" customHeight="true" outlineLevel="0" collapsed="false">
      <c r="A676" s="37" t="n">
        <v>673</v>
      </c>
      <c r="B676" s="37" t="n">
        <v>2726</v>
      </c>
      <c r="C676" s="38" t="s">
        <v>3144</v>
      </c>
      <c r="D676" s="37" t="s">
        <v>100</v>
      </c>
      <c r="E676" s="39" t="n">
        <v>29398</v>
      </c>
      <c r="F676" s="37" t="n">
        <f aca="true">IFERROR(DATEDIF(E676,TODAY(),"Y"),"")</f>
        <v>46</v>
      </c>
      <c r="G676" s="40" t="s">
        <v>3145</v>
      </c>
      <c r="H676" s="40" t="s">
        <v>3146</v>
      </c>
      <c r="I676" s="38" t="s">
        <v>3147</v>
      </c>
      <c r="J676" s="38" t="s">
        <v>15</v>
      </c>
      <c r="K676" s="38" t="s">
        <v>3148</v>
      </c>
      <c r="L676" s="38" t="s">
        <v>55</v>
      </c>
      <c r="M676" s="37"/>
      <c r="N676" s="39" t="n">
        <v>38520</v>
      </c>
      <c r="O676" s="41" t="s">
        <v>23</v>
      </c>
      <c r="P676" s="41" t="s">
        <v>105</v>
      </c>
      <c r="Q676" s="42"/>
      <c r="R676" s="41"/>
      <c r="S676" s="42"/>
      <c r="T676" s="41"/>
    </row>
    <row r="677" customFormat="false" ht="13.5" hidden="false" customHeight="true" outlineLevel="0" collapsed="false">
      <c r="A677" s="37" t="n">
        <v>674</v>
      </c>
      <c r="B677" s="37" t="n">
        <v>2727</v>
      </c>
      <c r="C677" s="38" t="s">
        <v>3149</v>
      </c>
      <c r="D677" s="37" t="s">
        <v>100</v>
      </c>
      <c r="E677" s="39" t="n">
        <v>24477</v>
      </c>
      <c r="F677" s="37" t="n">
        <f aca="true">IFERROR(DATEDIF(E677,TODAY(),"Y"),"")</f>
        <v>59</v>
      </c>
      <c r="G677" s="40" t="s">
        <v>3150</v>
      </c>
      <c r="H677" s="40" t="s">
        <v>3151</v>
      </c>
      <c r="I677" s="38" t="s">
        <v>3152</v>
      </c>
      <c r="J677" s="38" t="s">
        <v>18</v>
      </c>
      <c r="K677" s="38" t="s">
        <v>3153</v>
      </c>
      <c r="L677" s="38" t="s">
        <v>51</v>
      </c>
      <c r="M677" s="37"/>
      <c r="N677" s="39" t="n">
        <v>38520</v>
      </c>
      <c r="O677" s="41" t="s">
        <v>23</v>
      </c>
      <c r="P677" s="41" t="s">
        <v>105</v>
      </c>
      <c r="Q677" s="42"/>
      <c r="R677" s="41"/>
      <c r="S677" s="42"/>
      <c r="T677" s="41"/>
    </row>
    <row r="678" customFormat="false" ht="13.5" hidden="false" customHeight="true" outlineLevel="0" collapsed="false">
      <c r="A678" s="37" t="n">
        <v>675</v>
      </c>
      <c r="B678" s="37" t="n">
        <v>2730</v>
      </c>
      <c r="C678" s="38" t="s">
        <v>3154</v>
      </c>
      <c r="D678" s="37" t="s">
        <v>100</v>
      </c>
      <c r="E678" s="39" t="n">
        <v>25934</v>
      </c>
      <c r="F678" s="37" t="n">
        <f aca="true">IFERROR(DATEDIF(E678,TODAY(),"Y"),"")</f>
        <v>55</v>
      </c>
      <c r="G678" s="40" t="s">
        <v>3155</v>
      </c>
      <c r="H678" s="40" t="s">
        <v>3156</v>
      </c>
      <c r="I678" s="38" t="s">
        <v>3157</v>
      </c>
      <c r="J678" s="38" t="s">
        <v>15</v>
      </c>
      <c r="K678" s="38" t="s">
        <v>3158</v>
      </c>
      <c r="L678" s="38" t="s">
        <v>47</v>
      </c>
      <c r="M678" s="37"/>
      <c r="N678" s="39" t="n">
        <v>38520</v>
      </c>
      <c r="O678" s="41" t="s">
        <v>23</v>
      </c>
      <c r="P678" s="41" t="s">
        <v>105</v>
      </c>
      <c r="Q678" s="42"/>
      <c r="R678" s="41"/>
      <c r="S678" s="42"/>
      <c r="T678" s="41"/>
    </row>
    <row r="679" customFormat="false" ht="13.5" hidden="false" customHeight="true" outlineLevel="0" collapsed="false">
      <c r="A679" s="37" t="n">
        <v>676</v>
      </c>
      <c r="B679" s="37" t="n">
        <v>2731</v>
      </c>
      <c r="C679" s="38" t="s">
        <v>3159</v>
      </c>
      <c r="D679" s="37" t="s">
        <v>100</v>
      </c>
      <c r="E679" s="39" t="n">
        <v>23854</v>
      </c>
      <c r="F679" s="37" t="n">
        <f aca="true">IFERROR(DATEDIF(E679,TODAY(),"Y"),"")</f>
        <v>61</v>
      </c>
      <c r="G679" s="40" t="s">
        <v>3160</v>
      </c>
      <c r="H679" s="40" t="s">
        <v>3161</v>
      </c>
      <c r="I679" s="38"/>
      <c r="J679" s="38" t="s">
        <v>15</v>
      </c>
      <c r="K679" s="38" t="s">
        <v>3162</v>
      </c>
      <c r="L679" s="38" t="s">
        <v>47</v>
      </c>
      <c r="M679" s="37" t="s">
        <v>104</v>
      </c>
      <c r="N679" s="39" t="n">
        <v>38520</v>
      </c>
      <c r="O679" s="41" t="s">
        <v>23</v>
      </c>
      <c r="P679" s="41" t="s">
        <v>105</v>
      </c>
      <c r="Q679" s="42"/>
      <c r="R679" s="41"/>
      <c r="S679" s="42"/>
      <c r="T679" s="41"/>
    </row>
    <row r="680" customFormat="false" ht="13.5" hidden="false" customHeight="true" outlineLevel="0" collapsed="false">
      <c r="A680" s="37" t="n">
        <v>677</v>
      </c>
      <c r="B680" s="37" t="n">
        <v>2741</v>
      </c>
      <c r="C680" s="38" t="s">
        <v>3163</v>
      </c>
      <c r="D680" s="37" t="s">
        <v>100</v>
      </c>
      <c r="E680" s="39" t="n">
        <v>24087</v>
      </c>
      <c r="F680" s="37" t="n">
        <f aca="true">IFERROR(DATEDIF(E680,TODAY(),"Y"),"")</f>
        <v>60</v>
      </c>
      <c r="G680" s="40" t="s">
        <v>3164</v>
      </c>
      <c r="H680" s="40"/>
      <c r="I680" s="38" t="s">
        <v>3165</v>
      </c>
      <c r="J680" s="38" t="s">
        <v>15</v>
      </c>
      <c r="K680" s="38" t="s">
        <v>3166</v>
      </c>
      <c r="L680" s="38" t="s">
        <v>47</v>
      </c>
      <c r="M680" s="37"/>
      <c r="N680" s="39" t="n">
        <v>38520</v>
      </c>
      <c r="O680" s="41" t="s">
        <v>23</v>
      </c>
      <c r="P680" s="41" t="s">
        <v>105</v>
      </c>
      <c r="Q680" s="42"/>
      <c r="R680" s="41"/>
      <c r="S680" s="42"/>
      <c r="T680" s="41"/>
    </row>
    <row r="681" customFormat="false" ht="13.5" hidden="false" customHeight="true" outlineLevel="0" collapsed="false">
      <c r="A681" s="37" t="n">
        <v>678</v>
      </c>
      <c r="B681" s="37" t="n">
        <v>2746</v>
      </c>
      <c r="C681" s="38" t="s">
        <v>3167</v>
      </c>
      <c r="D681" s="37" t="s">
        <v>100</v>
      </c>
      <c r="E681" s="39" t="n">
        <v>24572</v>
      </c>
      <c r="F681" s="37" t="n">
        <f aca="true">IFERROR(DATEDIF(E681,TODAY(),"Y"),"")</f>
        <v>59</v>
      </c>
      <c r="G681" s="40" t="s">
        <v>3168</v>
      </c>
      <c r="H681" s="40" t="s">
        <v>3169</v>
      </c>
      <c r="I681" s="38" t="s">
        <v>3170</v>
      </c>
      <c r="J681" s="38" t="s">
        <v>15</v>
      </c>
      <c r="K681" s="38" t="s">
        <v>3171</v>
      </c>
      <c r="L681" s="38" t="s">
        <v>50</v>
      </c>
      <c r="M681" s="37" t="s">
        <v>177</v>
      </c>
      <c r="N681" s="39" t="n">
        <v>38520</v>
      </c>
      <c r="O681" s="41" t="s">
        <v>23</v>
      </c>
      <c r="P681" s="41" t="s">
        <v>105</v>
      </c>
      <c r="Q681" s="42"/>
      <c r="R681" s="41"/>
      <c r="S681" s="42"/>
      <c r="T681" s="41"/>
    </row>
    <row r="682" customFormat="false" ht="13.5" hidden="false" customHeight="true" outlineLevel="0" collapsed="false">
      <c r="A682" s="37" t="n">
        <v>679</v>
      </c>
      <c r="B682" s="37" t="n">
        <v>2751</v>
      </c>
      <c r="C682" s="38" t="s">
        <v>3172</v>
      </c>
      <c r="D682" s="37" t="s">
        <v>100</v>
      </c>
      <c r="E682" s="39" t="n">
        <v>21668</v>
      </c>
      <c r="F682" s="37" t="n">
        <f aca="true">IFERROR(DATEDIF(E682,TODAY(),"Y"),"")</f>
        <v>67</v>
      </c>
      <c r="G682" s="40" t="s">
        <v>3173</v>
      </c>
      <c r="H682" s="40"/>
      <c r="I682" s="38" t="s">
        <v>3174</v>
      </c>
      <c r="J682" s="38" t="s">
        <v>15</v>
      </c>
      <c r="K682" s="38" t="s">
        <v>3175</v>
      </c>
      <c r="L682" s="38" t="s">
        <v>46</v>
      </c>
      <c r="M682" s="37"/>
      <c r="N682" s="39" t="n">
        <v>38520</v>
      </c>
      <c r="O682" s="41" t="s">
        <v>23</v>
      </c>
      <c r="P682" s="41" t="s">
        <v>105</v>
      </c>
      <c r="Q682" s="42"/>
      <c r="R682" s="41"/>
      <c r="S682" s="42"/>
      <c r="T682" s="41"/>
    </row>
    <row r="683" customFormat="false" ht="13.5" hidden="false" customHeight="true" outlineLevel="0" collapsed="false">
      <c r="A683" s="37" t="n">
        <v>680</v>
      </c>
      <c r="B683" s="37" t="n">
        <v>2754</v>
      </c>
      <c r="C683" s="38" t="s">
        <v>3176</v>
      </c>
      <c r="D683" s="37" t="s">
        <v>100</v>
      </c>
      <c r="E683" s="39" t="n">
        <v>27023</v>
      </c>
      <c r="F683" s="37" t="n">
        <f aca="true">IFERROR(DATEDIF(E683,TODAY(),"Y"),"")</f>
        <v>52</v>
      </c>
      <c r="G683" s="40" t="s">
        <v>3177</v>
      </c>
      <c r="H683" s="40" t="s">
        <v>3178</v>
      </c>
      <c r="I683" s="38"/>
      <c r="J683" s="38" t="s">
        <v>15</v>
      </c>
      <c r="K683" s="38" t="s">
        <v>3179</v>
      </c>
      <c r="L683" s="38" t="s">
        <v>47</v>
      </c>
      <c r="M683" s="37"/>
      <c r="N683" s="39" t="n">
        <v>38520</v>
      </c>
      <c r="O683" s="41" t="s">
        <v>23</v>
      </c>
      <c r="P683" s="41" t="s">
        <v>105</v>
      </c>
      <c r="Q683" s="42"/>
      <c r="R683" s="41"/>
      <c r="S683" s="42"/>
      <c r="T683" s="41"/>
    </row>
    <row r="684" customFormat="false" ht="13.5" hidden="false" customHeight="true" outlineLevel="0" collapsed="false">
      <c r="A684" s="37" t="n">
        <v>681</v>
      </c>
      <c r="B684" s="37" t="n">
        <v>2757</v>
      </c>
      <c r="C684" s="38" t="s">
        <v>3180</v>
      </c>
      <c r="D684" s="37" t="s">
        <v>100</v>
      </c>
      <c r="E684" s="39" t="n">
        <v>30149</v>
      </c>
      <c r="F684" s="37" t="n">
        <f aca="true">IFERROR(DATEDIF(E684,TODAY(),"Y"),"")</f>
        <v>44</v>
      </c>
      <c r="G684" s="40" t="s">
        <v>3181</v>
      </c>
      <c r="H684" s="40"/>
      <c r="I684" s="38" t="s">
        <v>3182</v>
      </c>
      <c r="J684" s="38" t="s">
        <v>16</v>
      </c>
      <c r="K684" s="38" t="s">
        <v>3183</v>
      </c>
      <c r="L684" s="38" t="s">
        <v>47</v>
      </c>
      <c r="M684" s="37" t="s">
        <v>120</v>
      </c>
      <c r="N684" s="39" t="n">
        <v>38520</v>
      </c>
      <c r="O684" s="41" t="s">
        <v>23</v>
      </c>
      <c r="P684" s="41" t="s">
        <v>105</v>
      </c>
      <c r="Q684" s="42"/>
      <c r="R684" s="41"/>
      <c r="S684" s="42"/>
      <c r="T684" s="41"/>
    </row>
    <row r="685" customFormat="false" ht="13.5" hidden="false" customHeight="true" outlineLevel="0" collapsed="false">
      <c r="A685" s="37" t="n">
        <v>682</v>
      </c>
      <c r="B685" s="37" t="n">
        <v>2760</v>
      </c>
      <c r="C685" s="38" t="s">
        <v>3184</v>
      </c>
      <c r="D685" s="37" t="s">
        <v>100</v>
      </c>
      <c r="E685" s="39" t="n">
        <v>23172</v>
      </c>
      <c r="F685" s="37" t="n">
        <f aca="true">IFERROR(DATEDIF(E685,TODAY(),"Y"),"")</f>
        <v>63</v>
      </c>
      <c r="G685" s="40" t="s">
        <v>3185</v>
      </c>
      <c r="H685" s="40" t="s">
        <v>3186</v>
      </c>
      <c r="I685" s="38" t="s">
        <v>3187</v>
      </c>
      <c r="J685" s="38" t="s">
        <v>15</v>
      </c>
      <c r="K685" s="38" t="s">
        <v>3188</v>
      </c>
      <c r="L685" s="38" t="s">
        <v>55</v>
      </c>
      <c r="M685" s="37"/>
      <c r="N685" s="39" t="n">
        <v>38520</v>
      </c>
      <c r="O685" s="41" t="s">
        <v>23</v>
      </c>
      <c r="P685" s="41" t="s">
        <v>105</v>
      </c>
      <c r="Q685" s="42"/>
      <c r="R685" s="41"/>
      <c r="S685" s="42"/>
      <c r="T685" s="41"/>
    </row>
    <row r="686" customFormat="false" ht="13.5" hidden="false" customHeight="true" outlineLevel="0" collapsed="false">
      <c r="A686" s="37" t="n">
        <v>683</v>
      </c>
      <c r="B686" s="37" t="n">
        <v>2762</v>
      </c>
      <c r="C686" s="38" t="s">
        <v>3189</v>
      </c>
      <c r="D686" s="37" t="s">
        <v>100</v>
      </c>
      <c r="E686" s="39" t="n">
        <v>24114</v>
      </c>
      <c r="F686" s="37" t="n">
        <f aca="true">IFERROR(DATEDIF(E686,TODAY(),"Y"),"")</f>
        <v>60</v>
      </c>
      <c r="G686" s="40" t="s">
        <v>3190</v>
      </c>
      <c r="H686" s="40"/>
      <c r="I686" s="38"/>
      <c r="J686" s="38" t="s">
        <v>16</v>
      </c>
      <c r="K686" s="38" t="s">
        <v>3191</v>
      </c>
      <c r="L686" s="43" t="s">
        <v>58</v>
      </c>
      <c r="M686" s="37"/>
      <c r="N686" s="39" t="n">
        <v>38520</v>
      </c>
      <c r="O686" s="41" t="s">
        <v>23</v>
      </c>
      <c r="P686" s="41" t="s">
        <v>105</v>
      </c>
      <c r="Q686" s="42"/>
      <c r="R686" s="41"/>
      <c r="S686" s="42"/>
      <c r="T686" s="41"/>
    </row>
    <row r="687" customFormat="false" ht="13.5" hidden="false" customHeight="true" outlineLevel="0" collapsed="false">
      <c r="A687" s="37" t="n">
        <v>684</v>
      </c>
      <c r="B687" s="37" t="n">
        <v>2765</v>
      </c>
      <c r="C687" s="38" t="s">
        <v>3192</v>
      </c>
      <c r="D687" s="37" t="s">
        <v>100</v>
      </c>
      <c r="E687" s="39" t="n">
        <v>25333</v>
      </c>
      <c r="F687" s="37" t="n">
        <f aca="true">IFERROR(DATEDIF(E687,TODAY(),"Y"),"")</f>
        <v>57</v>
      </c>
      <c r="G687" s="40" t="s">
        <v>3193</v>
      </c>
      <c r="H687" s="40"/>
      <c r="I687" s="38" t="s">
        <v>3194</v>
      </c>
      <c r="J687" s="38" t="s">
        <v>16</v>
      </c>
      <c r="K687" s="38" t="s">
        <v>3195</v>
      </c>
      <c r="L687" s="38" t="s">
        <v>47</v>
      </c>
      <c r="M687" s="37"/>
      <c r="N687" s="39" t="n">
        <v>38520</v>
      </c>
      <c r="O687" s="41" t="s">
        <v>23</v>
      </c>
      <c r="P687" s="41" t="s">
        <v>105</v>
      </c>
      <c r="Q687" s="42"/>
      <c r="R687" s="41"/>
      <c r="S687" s="42"/>
      <c r="T687" s="41"/>
    </row>
    <row r="688" customFormat="false" ht="13.5" hidden="false" customHeight="true" outlineLevel="0" collapsed="false">
      <c r="A688" s="37" t="n">
        <v>685</v>
      </c>
      <c r="B688" s="37" t="n">
        <v>2766</v>
      </c>
      <c r="C688" s="38" t="s">
        <v>3196</v>
      </c>
      <c r="D688" s="37" t="s">
        <v>100</v>
      </c>
      <c r="E688" s="39" t="n">
        <v>29284</v>
      </c>
      <c r="F688" s="37" t="n">
        <f aca="true">IFERROR(DATEDIF(E688,TODAY(),"Y"),"")</f>
        <v>46</v>
      </c>
      <c r="G688" s="40" t="s">
        <v>3197</v>
      </c>
      <c r="H688" s="40" t="s">
        <v>3198</v>
      </c>
      <c r="I688" s="38" t="s">
        <v>3199</v>
      </c>
      <c r="J688" s="38" t="s">
        <v>15</v>
      </c>
      <c r="K688" s="38" t="s">
        <v>3200</v>
      </c>
      <c r="L688" s="38" t="s">
        <v>55</v>
      </c>
      <c r="M688" s="37"/>
      <c r="N688" s="39" t="n">
        <v>38520</v>
      </c>
      <c r="O688" s="41" t="s">
        <v>23</v>
      </c>
      <c r="P688" s="41" t="s">
        <v>105</v>
      </c>
      <c r="Q688" s="42"/>
      <c r="R688" s="41"/>
      <c r="S688" s="42"/>
      <c r="T688" s="41"/>
    </row>
    <row r="689" customFormat="false" ht="13.5" hidden="false" customHeight="true" outlineLevel="0" collapsed="false">
      <c r="A689" s="37" t="n">
        <v>686</v>
      </c>
      <c r="B689" s="37" t="n">
        <v>2768</v>
      </c>
      <c r="C689" s="38" t="s">
        <v>3201</v>
      </c>
      <c r="D689" s="37" t="s">
        <v>100</v>
      </c>
      <c r="E689" s="39" t="n">
        <v>27103</v>
      </c>
      <c r="F689" s="37" t="n">
        <f aca="true">IFERROR(DATEDIF(E689,TODAY(),"Y"),"")</f>
        <v>52</v>
      </c>
      <c r="G689" s="40" t="s">
        <v>3202</v>
      </c>
      <c r="H689" s="40" t="s">
        <v>3203</v>
      </c>
      <c r="I689" s="38"/>
      <c r="J689" s="38" t="s">
        <v>18</v>
      </c>
      <c r="K689" s="38" t="s">
        <v>3204</v>
      </c>
      <c r="L689" s="38" t="s">
        <v>53</v>
      </c>
      <c r="M689" s="37"/>
      <c r="N689" s="39" t="n">
        <v>38520</v>
      </c>
      <c r="O689" s="41" t="s">
        <v>23</v>
      </c>
      <c r="P689" s="41" t="s">
        <v>105</v>
      </c>
      <c r="Q689" s="42"/>
      <c r="R689" s="41"/>
      <c r="S689" s="42"/>
      <c r="T689" s="41"/>
    </row>
    <row r="690" customFormat="false" ht="13.5" hidden="false" customHeight="true" outlineLevel="0" collapsed="false">
      <c r="A690" s="37" t="n">
        <v>687</v>
      </c>
      <c r="B690" s="37" t="n">
        <v>2770</v>
      </c>
      <c r="C690" s="38" t="s">
        <v>3205</v>
      </c>
      <c r="D690" s="37" t="s">
        <v>100</v>
      </c>
      <c r="E690" s="39" t="n">
        <v>20950</v>
      </c>
      <c r="F690" s="37" t="n">
        <f aca="true">IFERROR(DATEDIF(E690,TODAY(),"Y"),"")</f>
        <v>69</v>
      </c>
      <c r="G690" s="40" t="s">
        <v>3206</v>
      </c>
      <c r="H690" s="40" t="s">
        <v>3207</v>
      </c>
      <c r="I690" s="38" t="s">
        <v>3208</v>
      </c>
      <c r="J690" s="38" t="s">
        <v>18</v>
      </c>
      <c r="K690" s="38" t="s">
        <v>3209</v>
      </c>
      <c r="L690" s="38" t="s">
        <v>54</v>
      </c>
      <c r="M690" s="37"/>
      <c r="N690" s="39" t="n">
        <v>38520</v>
      </c>
      <c r="O690" s="41" t="s">
        <v>23</v>
      </c>
      <c r="P690" s="41" t="s">
        <v>105</v>
      </c>
      <c r="Q690" s="42"/>
      <c r="R690" s="41"/>
      <c r="S690" s="42"/>
      <c r="T690" s="41"/>
    </row>
    <row r="691" customFormat="false" ht="13.5" hidden="false" customHeight="true" outlineLevel="0" collapsed="false">
      <c r="A691" s="37" t="n">
        <v>688</v>
      </c>
      <c r="B691" s="37" t="n">
        <v>2773</v>
      </c>
      <c r="C691" s="38" t="s">
        <v>3210</v>
      </c>
      <c r="D691" s="37" t="s">
        <v>100</v>
      </c>
      <c r="E691" s="39" t="n">
        <v>19647</v>
      </c>
      <c r="F691" s="37" t="n">
        <f aca="true">IFERROR(DATEDIF(E691,TODAY(),"Y"),"")</f>
        <v>72</v>
      </c>
      <c r="G691" s="40" t="s">
        <v>3211</v>
      </c>
      <c r="H691" s="40" t="s">
        <v>3212</v>
      </c>
      <c r="I691" s="38" t="s">
        <v>3213</v>
      </c>
      <c r="J691" s="38" t="s">
        <v>16</v>
      </c>
      <c r="K691" s="38" t="s">
        <v>3214</v>
      </c>
      <c r="L691" s="38" t="s">
        <v>44</v>
      </c>
      <c r="M691" s="37" t="s">
        <v>177</v>
      </c>
      <c r="N691" s="39" t="n">
        <v>38520</v>
      </c>
      <c r="O691" s="41" t="s">
        <v>23</v>
      </c>
      <c r="P691" s="41" t="s">
        <v>105</v>
      </c>
      <c r="Q691" s="42"/>
      <c r="R691" s="41"/>
      <c r="S691" s="42"/>
      <c r="T691" s="41"/>
    </row>
    <row r="692" customFormat="false" ht="13.5" hidden="false" customHeight="true" outlineLevel="0" collapsed="false">
      <c r="A692" s="37" t="n">
        <v>689</v>
      </c>
      <c r="B692" s="37" t="n">
        <v>2774</v>
      </c>
      <c r="C692" s="38" t="s">
        <v>3215</v>
      </c>
      <c r="D692" s="37" t="s">
        <v>100</v>
      </c>
      <c r="E692" s="39" t="n">
        <v>16777</v>
      </c>
      <c r="F692" s="37" t="n">
        <f aca="true">IFERROR(DATEDIF(E692,TODAY(),"Y"),"")</f>
        <v>80</v>
      </c>
      <c r="G692" s="40" t="s">
        <v>3216</v>
      </c>
      <c r="H692" s="40"/>
      <c r="I692" s="38" t="s">
        <v>3217</v>
      </c>
      <c r="J692" s="38" t="s">
        <v>16</v>
      </c>
      <c r="K692" s="38" t="s">
        <v>3218</v>
      </c>
      <c r="L692" s="43" t="s">
        <v>58</v>
      </c>
      <c r="M692" s="37" t="s">
        <v>177</v>
      </c>
      <c r="N692" s="39" t="n">
        <v>38520</v>
      </c>
      <c r="O692" s="41" t="s">
        <v>23</v>
      </c>
      <c r="P692" s="41" t="s">
        <v>105</v>
      </c>
      <c r="Q692" s="42"/>
      <c r="R692" s="41"/>
      <c r="S692" s="42"/>
      <c r="T692" s="41"/>
    </row>
    <row r="693" customFormat="false" ht="13.5" hidden="false" customHeight="true" outlineLevel="0" collapsed="false">
      <c r="A693" s="37" t="n">
        <v>690</v>
      </c>
      <c r="B693" s="37" t="n">
        <v>2776</v>
      </c>
      <c r="C693" s="38" t="s">
        <v>3219</v>
      </c>
      <c r="D693" s="37" t="s">
        <v>100</v>
      </c>
      <c r="E693" s="39" t="n">
        <v>22048</v>
      </c>
      <c r="F693" s="37" t="n">
        <f aca="true">IFERROR(DATEDIF(E693,TODAY(),"Y"),"")</f>
        <v>66</v>
      </c>
      <c r="G693" s="40" t="s">
        <v>3220</v>
      </c>
      <c r="H693" s="40" t="s">
        <v>3221</v>
      </c>
      <c r="I693" s="38" t="s">
        <v>3222</v>
      </c>
      <c r="J693" s="38" t="s">
        <v>15</v>
      </c>
      <c r="K693" s="38" t="s">
        <v>3223</v>
      </c>
      <c r="L693" s="38" t="s">
        <v>55</v>
      </c>
      <c r="M693" s="37"/>
      <c r="N693" s="39" t="n">
        <v>38520</v>
      </c>
      <c r="O693" s="41" t="s">
        <v>23</v>
      </c>
      <c r="P693" s="41" t="s">
        <v>105</v>
      </c>
      <c r="Q693" s="42"/>
      <c r="R693" s="41"/>
      <c r="S693" s="42"/>
      <c r="T693" s="41"/>
    </row>
    <row r="694" customFormat="false" ht="13.5" hidden="false" customHeight="true" outlineLevel="0" collapsed="false">
      <c r="A694" s="37" t="n">
        <v>691</v>
      </c>
      <c r="B694" s="37" t="n">
        <v>2777</v>
      </c>
      <c r="C694" s="38" t="s">
        <v>3224</v>
      </c>
      <c r="D694" s="37" t="s">
        <v>100</v>
      </c>
      <c r="E694" s="39" t="n">
        <v>22720</v>
      </c>
      <c r="F694" s="37" t="n">
        <f aca="true">IFERROR(DATEDIF(E694,TODAY(),"Y"),"")</f>
        <v>64</v>
      </c>
      <c r="G694" s="40" t="s">
        <v>3225</v>
      </c>
      <c r="H694" s="40" t="s">
        <v>3226</v>
      </c>
      <c r="I694" s="38" t="s">
        <v>3227</v>
      </c>
      <c r="J694" s="38" t="s">
        <v>15</v>
      </c>
      <c r="K694" s="38" t="s">
        <v>3228</v>
      </c>
      <c r="L694" s="38" t="s">
        <v>54</v>
      </c>
      <c r="M694" s="37"/>
      <c r="N694" s="39" t="n">
        <v>38520</v>
      </c>
      <c r="O694" s="41" t="s">
        <v>23</v>
      </c>
      <c r="P694" s="41" t="s">
        <v>105</v>
      </c>
      <c r="Q694" s="42"/>
      <c r="R694" s="41"/>
      <c r="S694" s="42"/>
      <c r="T694" s="41"/>
    </row>
    <row r="695" customFormat="false" ht="13.5" hidden="false" customHeight="true" outlineLevel="0" collapsed="false">
      <c r="A695" s="37" t="n">
        <v>692</v>
      </c>
      <c r="B695" s="37" t="n">
        <v>2779</v>
      </c>
      <c r="C695" s="38" t="s">
        <v>3229</v>
      </c>
      <c r="D695" s="37" t="s">
        <v>100</v>
      </c>
      <c r="E695" s="39" t="n">
        <v>25210</v>
      </c>
      <c r="F695" s="37" t="n">
        <f aca="true">IFERROR(DATEDIF(E695,TODAY(),"Y"),"")</f>
        <v>57</v>
      </c>
      <c r="G695" s="40" t="s">
        <v>3230</v>
      </c>
      <c r="H695" s="40" t="s">
        <v>3231</v>
      </c>
      <c r="I695" s="38" t="s">
        <v>3232</v>
      </c>
      <c r="J695" s="38" t="s">
        <v>15</v>
      </c>
      <c r="K695" s="38" t="s">
        <v>3233</v>
      </c>
      <c r="L695" s="38" t="s">
        <v>47</v>
      </c>
      <c r="M695" s="37"/>
      <c r="N695" s="39" t="n">
        <v>38520</v>
      </c>
      <c r="O695" s="41" t="s">
        <v>23</v>
      </c>
      <c r="P695" s="41" t="s">
        <v>105</v>
      </c>
      <c r="Q695" s="42"/>
      <c r="R695" s="41"/>
      <c r="S695" s="42"/>
      <c r="T695" s="41"/>
    </row>
    <row r="696" customFormat="false" ht="13.5" hidden="false" customHeight="true" outlineLevel="0" collapsed="false">
      <c r="A696" s="37" t="n">
        <v>693</v>
      </c>
      <c r="B696" s="37" t="n">
        <v>2783</v>
      </c>
      <c r="C696" s="38" t="s">
        <v>3234</v>
      </c>
      <c r="D696" s="37" t="s">
        <v>100</v>
      </c>
      <c r="E696" s="39" t="n">
        <v>21736</v>
      </c>
      <c r="F696" s="37" t="n">
        <f aca="true">IFERROR(DATEDIF(E696,TODAY(),"Y"),"")</f>
        <v>67</v>
      </c>
      <c r="G696" s="40" t="s">
        <v>3235</v>
      </c>
      <c r="H696" s="40"/>
      <c r="I696" s="38" t="s">
        <v>3236</v>
      </c>
      <c r="J696" s="38" t="s">
        <v>15</v>
      </c>
      <c r="K696" s="38" t="s">
        <v>3237</v>
      </c>
      <c r="L696" s="38" t="s">
        <v>47</v>
      </c>
      <c r="M696" s="37"/>
      <c r="N696" s="39" t="n">
        <v>38600</v>
      </c>
      <c r="O696" s="41" t="s">
        <v>23</v>
      </c>
      <c r="P696" s="41" t="s">
        <v>105</v>
      </c>
      <c r="Q696" s="42"/>
      <c r="R696" s="41"/>
      <c r="S696" s="42"/>
      <c r="T696" s="41"/>
    </row>
    <row r="697" customFormat="false" ht="13.5" hidden="false" customHeight="true" outlineLevel="0" collapsed="false">
      <c r="A697" s="37" t="n">
        <v>694</v>
      </c>
      <c r="B697" s="37" t="n">
        <v>2784</v>
      </c>
      <c r="C697" s="38" t="s">
        <v>3238</v>
      </c>
      <c r="D697" s="37" t="s">
        <v>100</v>
      </c>
      <c r="E697" s="39" t="n">
        <v>23894</v>
      </c>
      <c r="F697" s="37" t="n">
        <f aca="true">IFERROR(DATEDIF(E697,TODAY(),"Y"),"")</f>
        <v>61</v>
      </c>
      <c r="G697" s="40" t="s">
        <v>3239</v>
      </c>
      <c r="H697" s="40"/>
      <c r="I697" s="38" t="s">
        <v>3240</v>
      </c>
      <c r="J697" s="38" t="s">
        <v>18</v>
      </c>
      <c r="K697" s="38" t="s">
        <v>3241</v>
      </c>
      <c r="L697" s="38" t="s">
        <v>51</v>
      </c>
      <c r="M697" s="37"/>
      <c r="N697" s="39" t="n">
        <v>38620</v>
      </c>
      <c r="O697" s="41" t="s">
        <v>23</v>
      </c>
      <c r="P697" s="41" t="s">
        <v>105</v>
      </c>
      <c r="Q697" s="42"/>
      <c r="R697" s="41"/>
      <c r="S697" s="42"/>
      <c r="T697" s="41"/>
    </row>
    <row r="698" customFormat="false" ht="13.5" hidden="false" customHeight="true" outlineLevel="0" collapsed="false">
      <c r="A698" s="37" t="n">
        <v>695</v>
      </c>
      <c r="B698" s="37" t="n">
        <v>2786</v>
      </c>
      <c r="C698" s="38" t="s">
        <v>3242</v>
      </c>
      <c r="D698" s="37" t="s">
        <v>100</v>
      </c>
      <c r="E698" s="39" t="n">
        <v>22778</v>
      </c>
      <c r="F698" s="37" t="n">
        <f aca="true">IFERROR(DATEDIF(E698,TODAY(),"Y"),"")</f>
        <v>64</v>
      </c>
      <c r="G698" s="40" t="s">
        <v>3243</v>
      </c>
      <c r="H698" s="40" t="s">
        <v>3244</v>
      </c>
      <c r="I698" s="38" t="s">
        <v>3245</v>
      </c>
      <c r="J698" s="38" t="s">
        <v>16</v>
      </c>
      <c r="K698" s="38" t="s">
        <v>3246</v>
      </c>
      <c r="L698" s="38" t="s">
        <v>51</v>
      </c>
      <c r="M698" s="37"/>
      <c r="N698" s="39" t="n">
        <v>38520</v>
      </c>
      <c r="O698" s="41" t="s">
        <v>23</v>
      </c>
      <c r="P698" s="41" t="s">
        <v>105</v>
      </c>
      <c r="Q698" s="42"/>
      <c r="R698" s="41"/>
      <c r="S698" s="42"/>
      <c r="T698" s="41"/>
    </row>
    <row r="699" customFormat="false" ht="13.5" hidden="false" customHeight="true" outlineLevel="0" collapsed="false">
      <c r="A699" s="37" t="n">
        <v>696</v>
      </c>
      <c r="B699" s="37" t="n">
        <v>2788</v>
      </c>
      <c r="C699" s="38" t="s">
        <v>3247</v>
      </c>
      <c r="D699" s="37" t="s">
        <v>100</v>
      </c>
      <c r="E699" s="39" t="n">
        <v>18280</v>
      </c>
      <c r="F699" s="37" t="n">
        <f aca="true">IFERROR(DATEDIF(E699,TODAY(),"Y"),"")</f>
        <v>76</v>
      </c>
      <c r="G699" s="40" t="s">
        <v>3248</v>
      </c>
      <c r="H699" s="40" t="s">
        <v>3249</v>
      </c>
      <c r="I699" s="38" t="s">
        <v>3250</v>
      </c>
      <c r="J699" s="38" t="s">
        <v>15</v>
      </c>
      <c r="K699" s="38" t="s">
        <v>3251</v>
      </c>
      <c r="L699" s="38" t="s">
        <v>48</v>
      </c>
      <c r="M699" s="37" t="s">
        <v>231</v>
      </c>
      <c r="N699" s="39" t="n">
        <v>29221</v>
      </c>
      <c r="O699" s="41" t="s">
        <v>23</v>
      </c>
      <c r="P699" s="41" t="s">
        <v>105</v>
      </c>
      <c r="Q699" s="42"/>
      <c r="R699" s="41"/>
      <c r="S699" s="42"/>
      <c r="T699" s="41"/>
    </row>
    <row r="700" customFormat="false" ht="13.5" hidden="false" customHeight="true" outlineLevel="0" collapsed="false">
      <c r="A700" s="37" t="n">
        <v>697</v>
      </c>
      <c r="B700" s="37" t="n">
        <v>2790</v>
      </c>
      <c r="C700" s="38" t="s">
        <v>3252</v>
      </c>
      <c r="D700" s="37" t="s">
        <v>100</v>
      </c>
      <c r="E700" s="39" t="n">
        <v>30410</v>
      </c>
      <c r="F700" s="37" t="n">
        <f aca="true">IFERROR(DATEDIF(E700,TODAY(),"Y"),"")</f>
        <v>43</v>
      </c>
      <c r="G700" s="40" t="s">
        <v>3253</v>
      </c>
      <c r="H700" s="40" t="s">
        <v>3254</v>
      </c>
      <c r="I700" s="38" t="s">
        <v>3255</v>
      </c>
      <c r="J700" s="38" t="s">
        <v>15</v>
      </c>
      <c r="K700" s="38" t="s">
        <v>3256</v>
      </c>
      <c r="L700" s="38" t="s">
        <v>47</v>
      </c>
      <c r="M700" s="37" t="s">
        <v>120</v>
      </c>
      <c r="N700" s="39" t="n">
        <v>38520</v>
      </c>
      <c r="O700" s="41" t="s">
        <v>23</v>
      </c>
      <c r="P700" s="41" t="s">
        <v>105</v>
      </c>
      <c r="Q700" s="42"/>
      <c r="R700" s="41"/>
      <c r="S700" s="42"/>
      <c r="T700" s="41"/>
    </row>
    <row r="701" customFormat="false" ht="13.5" hidden="false" customHeight="true" outlineLevel="0" collapsed="false">
      <c r="A701" s="37" t="n">
        <v>698</v>
      </c>
      <c r="B701" s="37" t="n">
        <v>2796</v>
      </c>
      <c r="C701" s="38" t="s">
        <v>3257</v>
      </c>
      <c r="D701" s="37" t="s">
        <v>100</v>
      </c>
      <c r="E701" s="39" t="n">
        <v>23852</v>
      </c>
      <c r="F701" s="37" t="n">
        <f aca="true">IFERROR(DATEDIF(E701,TODAY(),"Y"),"")</f>
        <v>61</v>
      </c>
      <c r="G701" s="40" t="s">
        <v>3258</v>
      </c>
      <c r="H701" s="40" t="s">
        <v>3259</v>
      </c>
      <c r="I701" s="38" t="s">
        <v>3260</v>
      </c>
      <c r="J701" s="38"/>
      <c r="K701" s="38" t="s">
        <v>3261</v>
      </c>
      <c r="L701" s="38" t="s">
        <v>55</v>
      </c>
      <c r="M701" s="37" t="s">
        <v>104</v>
      </c>
      <c r="N701" s="39" t="n">
        <v>38520</v>
      </c>
      <c r="O701" s="41" t="s">
        <v>23</v>
      </c>
      <c r="P701" s="41" t="s">
        <v>105</v>
      </c>
      <c r="Q701" s="42"/>
      <c r="R701" s="41"/>
      <c r="S701" s="42"/>
      <c r="T701" s="41"/>
    </row>
    <row r="702" customFormat="false" ht="13.5" hidden="false" customHeight="true" outlineLevel="0" collapsed="false">
      <c r="A702" s="37" t="n">
        <v>699</v>
      </c>
      <c r="B702" s="37" t="n">
        <v>2797</v>
      </c>
      <c r="C702" s="38" t="s">
        <v>3262</v>
      </c>
      <c r="D702" s="37" t="s">
        <v>100</v>
      </c>
      <c r="E702" s="39" t="n">
        <v>23522</v>
      </c>
      <c r="F702" s="37" t="n">
        <f aca="true">IFERROR(DATEDIF(E702,TODAY(),"Y"),"")</f>
        <v>62</v>
      </c>
      <c r="G702" s="40" t="s">
        <v>3263</v>
      </c>
      <c r="H702" s="40" t="s">
        <v>3264</v>
      </c>
      <c r="I702" s="38" t="s">
        <v>3265</v>
      </c>
      <c r="J702" s="38"/>
      <c r="K702" s="38" t="s">
        <v>3266</v>
      </c>
      <c r="L702" s="38" t="s">
        <v>50</v>
      </c>
      <c r="M702" s="37" t="s">
        <v>104</v>
      </c>
      <c r="N702" s="39" t="n">
        <v>38520</v>
      </c>
      <c r="O702" s="41" t="s">
        <v>23</v>
      </c>
      <c r="P702" s="41" t="s">
        <v>105</v>
      </c>
      <c r="Q702" s="42"/>
      <c r="R702" s="41"/>
      <c r="S702" s="42"/>
      <c r="T702" s="41"/>
    </row>
    <row r="703" customFormat="false" ht="13.5" hidden="false" customHeight="true" outlineLevel="0" collapsed="false">
      <c r="A703" s="37" t="n">
        <v>700</v>
      </c>
      <c r="B703" s="37" t="n">
        <v>2799</v>
      </c>
      <c r="C703" s="38" t="s">
        <v>3267</v>
      </c>
      <c r="D703" s="37" t="s">
        <v>100</v>
      </c>
      <c r="E703" s="39" t="n">
        <v>29856</v>
      </c>
      <c r="F703" s="37" t="n">
        <f aca="true">IFERROR(DATEDIF(E703,TODAY(),"Y"),"")</f>
        <v>44</v>
      </c>
      <c r="G703" s="40" t="s">
        <v>3268</v>
      </c>
      <c r="H703" s="40" t="s">
        <v>3269</v>
      </c>
      <c r="I703" s="38" t="s">
        <v>3270</v>
      </c>
      <c r="J703" s="38"/>
      <c r="K703" s="38" t="s">
        <v>3271</v>
      </c>
      <c r="L703" s="38" t="s">
        <v>55</v>
      </c>
      <c r="M703" s="37"/>
      <c r="N703" s="39" t="n">
        <v>38520</v>
      </c>
      <c r="O703" s="41" t="s">
        <v>23</v>
      </c>
      <c r="P703" s="41" t="s">
        <v>105</v>
      </c>
      <c r="Q703" s="42"/>
      <c r="R703" s="41"/>
      <c r="S703" s="42"/>
      <c r="T703" s="41"/>
    </row>
    <row r="704" customFormat="false" ht="13.5" hidden="false" customHeight="true" outlineLevel="0" collapsed="false">
      <c r="A704" s="37" t="n">
        <v>701</v>
      </c>
      <c r="B704" s="37" t="n">
        <v>2810</v>
      </c>
      <c r="C704" s="38" t="s">
        <v>3272</v>
      </c>
      <c r="D704" s="37" t="s">
        <v>100</v>
      </c>
      <c r="E704" s="39" t="n">
        <v>30818</v>
      </c>
      <c r="F704" s="37" t="n">
        <f aca="true">IFERROR(DATEDIF(E704,TODAY(),"Y"),"")</f>
        <v>42</v>
      </c>
      <c r="G704" s="40" t="s">
        <v>3273</v>
      </c>
      <c r="H704" s="40" t="s">
        <v>3274</v>
      </c>
      <c r="I704" s="38" t="s">
        <v>3275</v>
      </c>
      <c r="J704" s="38" t="s">
        <v>15</v>
      </c>
      <c r="K704" s="38" t="s">
        <v>3276</v>
      </c>
      <c r="L704" s="38" t="s">
        <v>54</v>
      </c>
      <c r="M704" s="37" t="s">
        <v>177</v>
      </c>
      <c r="N704" s="39" t="n">
        <v>38520</v>
      </c>
      <c r="O704" s="41" t="s">
        <v>23</v>
      </c>
      <c r="P704" s="41" t="s">
        <v>105</v>
      </c>
      <c r="Q704" s="42"/>
      <c r="R704" s="41"/>
      <c r="S704" s="42"/>
      <c r="T704" s="41"/>
    </row>
    <row r="705" customFormat="false" ht="13.5" hidden="false" customHeight="true" outlineLevel="0" collapsed="false">
      <c r="A705" s="37" t="n">
        <v>702</v>
      </c>
      <c r="B705" s="37" t="n">
        <v>2813</v>
      </c>
      <c r="C705" s="38" t="s">
        <v>3277</v>
      </c>
      <c r="D705" s="37" t="s">
        <v>100</v>
      </c>
      <c r="E705" s="39" t="n">
        <v>24988</v>
      </c>
      <c r="F705" s="37" t="n">
        <f aca="true">IFERROR(DATEDIF(E705,TODAY(),"Y"),"")</f>
        <v>58</v>
      </c>
      <c r="G705" s="40" t="s">
        <v>3278</v>
      </c>
      <c r="H705" s="40"/>
      <c r="I705" s="38" t="s">
        <v>3279</v>
      </c>
      <c r="J705" s="38" t="s">
        <v>16</v>
      </c>
      <c r="K705" s="38" t="s">
        <v>3280</v>
      </c>
      <c r="L705" s="43" t="s">
        <v>58</v>
      </c>
      <c r="M705" s="37"/>
      <c r="N705" s="39" t="n">
        <v>38520</v>
      </c>
      <c r="O705" s="41" t="s">
        <v>23</v>
      </c>
      <c r="P705" s="41" t="s">
        <v>105</v>
      </c>
      <c r="Q705" s="42"/>
      <c r="R705" s="41"/>
      <c r="S705" s="42"/>
      <c r="T705" s="41"/>
    </row>
    <row r="706" customFormat="false" ht="13.5" hidden="false" customHeight="true" outlineLevel="0" collapsed="false">
      <c r="A706" s="37" t="n">
        <v>703</v>
      </c>
      <c r="B706" s="37" t="n">
        <v>2814</v>
      </c>
      <c r="C706" s="38" t="s">
        <v>3281</v>
      </c>
      <c r="D706" s="37" t="s">
        <v>100</v>
      </c>
      <c r="E706" s="39" t="n">
        <v>21651</v>
      </c>
      <c r="F706" s="37" t="n">
        <f aca="true">IFERROR(DATEDIF(E706,TODAY(),"Y"),"")</f>
        <v>67</v>
      </c>
      <c r="G706" s="40" t="s">
        <v>3282</v>
      </c>
      <c r="H706" s="40"/>
      <c r="I706" s="38" t="s">
        <v>3283</v>
      </c>
      <c r="J706" s="38" t="s">
        <v>15</v>
      </c>
      <c r="K706" s="38" t="s">
        <v>3284</v>
      </c>
      <c r="L706" s="38" t="s">
        <v>53</v>
      </c>
      <c r="M706" s="37"/>
      <c r="N706" s="39" t="n">
        <v>38520</v>
      </c>
      <c r="O706" s="41" t="s">
        <v>23</v>
      </c>
      <c r="P706" s="41" t="s">
        <v>105</v>
      </c>
      <c r="Q706" s="42"/>
      <c r="R706" s="41"/>
      <c r="S706" s="42"/>
      <c r="T706" s="41"/>
    </row>
    <row r="707" customFormat="false" ht="13.5" hidden="false" customHeight="true" outlineLevel="0" collapsed="false">
      <c r="A707" s="37" t="n">
        <v>704</v>
      </c>
      <c r="B707" s="37" t="n">
        <v>2816</v>
      </c>
      <c r="C707" s="38" t="s">
        <v>3285</v>
      </c>
      <c r="D707" s="37" t="s">
        <v>100</v>
      </c>
      <c r="E707" s="39" t="n">
        <v>25609</v>
      </c>
      <c r="F707" s="37" t="n">
        <f aca="true">IFERROR(DATEDIF(E707,TODAY(),"Y"),"")</f>
        <v>56</v>
      </c>
      <c r="G707" s="40" t="s">
        <v>3286</v>
      </c>
      <c r="H707" s="40" t="s">
        <v>762</v>
      </c>
      <c r="I707" s="38" t="s">
        <v>3287</v>
      </c>
      <c r="J707" s="38"/>
      <c r="K707" s="38" t="s">
        <v>3288</v>
      </c>
      <c r="L707" s="38" t="s">
        <v>47</v>
      </c>
      <c r="M707" s="37"/>
      <c r="N707" s="39" t="n">
        <v>38520</v>
      </c>
      <c r="O707" s="41" t="s">
        <v>23</v>
      </c>
      <c r="P707" s="41" t="s">
        <v>105</v>
      </c>
      <c r="Q707" s="42"/>
      <c r="R707" s="41"/>
      <c r="S707" s="42"/>
      <c r="T707" s="41"/>
    </row>
    <row r="708" customFormat="false" ht="13.5" hidden="false" customHeight="true" outlineLevel="0" collapsed="false">
      <c r="A708" s="37" t="n">
        <v>705</v>
      </c>
      <c r="B708" s="37" t="n">
        <v>2819</v>
      </c>
      <c r="C708" s="38" t="s">
        <v>3289</v>
      </c>
      <c r="D708" s="37" t="s">
        <v>100</v>
      </c>
      <c r="E708" s="39" t="n">
        <v>30441</v>
      </c>
      <c r="F708" s="37" t="n">
        <f aca="true">IFERROR(DATEDIF(E708,TODAY(),"Y"),"")</f>
        <v>43</v>
      </c>
      <c r="G708" s="40" t="s">
        <v>3290</v>
      </c>
      <c r="H708" s="40" t="s">
        <v>3291</v>
      </c>
      <c r="I708" s="38" t="s">
        <v>3292</v>
      </c>
      <c r="J708" s="38" t="s">
        <v>16</v>
      </c>
      <c r="K708" s="38" t="s">
        <v>3293</v>
      </c>
      <c r="L708" s="38" t="s">
        <v>47</v>
      </c>
      <c r="M708" s="37"/>
      <c r="N708" s="39" t="n">
        <v>38520</v>
      </c>
      <c r="O708" s="41" t="s">
        <v>23</v>
      </c>
      <c r="P708" s="41" t="s">
        <v>105</v>
      </c>
      <c r="Q708" s="42"/>
      <c r="R708" s="41"/>
      <c r="S708" s="42"/>
      <c r="T708" s="41"/>
    </row>
    <row r="709" customFormat="false" ht="13.5" hidden="false" customHeight="true" outlineLevel="0" collapsed="false">
      <c r="A709" s="37" t="n">
        <v>706</v>
      </c>
      <c r="B709" s="37" t="n">
        <v>2822</v>
      </c>
      <c r="C709" s="38" t="s">
        <v>3294</v>
      </c>
      <c r="D709" s="37" t="s">
        <v>100</v>
      </c>
      <c r="E709" s="39" t="n">
        <v>22314</v>
      </c>
      <c r="F709" s="37" t="n">
        <f aca="true">IFERROR(DATEDIF(E709,TODAY(),"Y"),"")</f>
        <v>65</v>
      </c>
      <c r="G709" s="40" t="s">
        <v>3295</v>
      </c>
      <c r="H709" s="40" t="s">
        <v>3296</v>
      </c>
      <c r="I709" s="38"/>
      <c r="J709" s="38" t="s">
        <v>18</v>
      </c>
      <c r="K709" s="38" t="s">
        <v>3297</v>
      </c>
      <c r="L709" s="43" t="s">
        <v>58</v>
      </c>
      <c r="M709" s="37" t="s">
        <v>120</v>
      </c>
      <c r="N709" s="39" t="n">
        <v>29221</v>
      </c>
      <c r="O709" s="41" t="s">
        <v>23</v>
      </c>
      <c r="P709" s="41" t="s">
        <v>105</v>
      </c>
      <c r="Q709" s="42"/>
      <c r="R709" s="41"/>
      <c r="S709" s="42"/>
      <c r="T709" s="41"/>
    </row>
    <row r="710" customFormat="false" ht="13.5" hidden="false" customHeight="true" outlineLevel="0" collapsed="false">
      <c r="A710" s="37" t="n">
        <v>707</v>
      </c>
      <c r="B710" s="37" t="n">
        <v>2823</v>
      </c>
      <c r="C710" s="38" t="s">
        <v>3298</v>
      </c>
      <c r="D710" s="37" t="s">
        <v>100</v>
      </c>
      <c r="E710" s="39" t="n">
        <v>22051</v>
      </c>
      <c r="F710" s="37" t="n">
        <f aca="true">IFERROR(DATEDIF(E710,TODAY(),"Y"),"")</f>
        <v>66</v>
      </c>
      <c r="G710" s="40" t="s">
        <v>3299</v>
      </c>
      <c r="H710" s="40" t="s">
        <v>3300</v>
      </c>
      <c r="I710" s="38" t="s">
        <v>3301</v>
      </c>
      <c r="J710" s="38"/>
      <c r="K710" s="38" t="s">
        <v>3302</v>
      </c>
      <c r="L710" s="38" t="s">
        <v>48</v>
      </c>
      <c r="M710" s="37"/>
      <c r="N710" s="39" t="n">
        <v>38520</v>
      </c>
      <c r="O710" s="41" t="s">
        <v>23</v>
      </c>
      <c r="P710" s="41" t="s">
        <v>105</v>
      </c>
      <c r="Q710" s="42"/>
      <c r="R710" s="41"/>
      <c r="S710" s="42"/>
      <c r="T710" s="41"/>
    </row>
    <row r="711" customFormat="false" ht="13.5" hidden="false" customHeight="true" outlineLevel="0" collapsed="false">
      <c r="A711" s="37" t="n">
        <v>708</v>
      </c>
      <c r="B711" s="37" t="n">
        <v>2827</v>
      </c>
      <c r="C711" s="38" t="s">
        <v>3303</v>
      </c>
      <c r="D711" s="37" t="s">
        <v>100</v>
      </c>
      <c r="E711" s="39" t="n">
        <v>24969</v>
      </c>
      <c r="F711" s="37" t="n">
        <f aca="true">IFERROR(DATEDIF(E711,TODAY(),"Y"),"")</f>
        <v>58</v>
      </c>
      <c r="G711" s="40" t="s">
        <v>3304</v>
      </c>
      <c r="H711" s="40" t="s">
        <v>3305</v>
      </c>
      <c r="I711" s="38" t="s">
        <v>3306</v>
      </c>
      <c r="J711" s="38"/>
      <c r="K711" s="38" t="s">
        <v>3307</v>
      </c>
      <c r="L711" s="38" t="s">
        <v>48</v>
      </c>
      <c r="M711" s="37"/>
      <c r="N711" s="39" t="n">
        <v>38520</v>
      </c>
      <c r="O711" s="41" t="s">
        <v>23</v>
      </c>
      <c r="P711" s="41" t="s">
        <v>105</v>
      </c>
      <c r="Q711" s="42"/>
      <c r="R711" s="41"/>
      <c r="S711" s="42"/>
      <c r="T711" s="41"/>
    </row>
    <row r="712" customFormat="false" ht="13.5" hidden="false" customHeight="true" outlineLevel="0" collapsed="false">
      <c r="A712" s="37" t="n">
        <v>709</v>
      </c>
      <c r="B712" s="37" t="n">
        <v>2829</v>
      </c>
      <c r="C712" s="38" t="s">
        <v>3308</v>
      </c>
      <c r="D712" s="37" t="s">
        <v>100</v>
      </c>
      <c r="E712" s="39" t="n">
        <v>23527</v>
      </c>
      <c r="F712" s="37" t="n">
        <f aca="true">IFERROR(DATEDIF(E712,TODAY(),"Y"),"")</f>
        <v>62</v>
      </c>
      <c r="G712" s="40" t="s">
        <v>3309</v>
      </c>
      <c r="H712" s="40" t="s">
        <v>3310</v>
      </c>
      <c r="I712" s="38" t="s">
        <v>3311</v>
      </c>
      <c r="J712" s="38" t="s">
        <v>15</v>
      </c>
      <c r="K712" s="38" t="s">
        <v>3312</v>
      </c>
      <c r="L712" s="43" t="s">
        <v>58</v>
      </c>
      <c r="M712" s="37" t="s">
        <v>120</v>
      </c>
      <c r="N712" s="39" t="n">
        <v>38520</v>
      </c>
      <c r="O712" s="41" t="s">
        <v>23</v>
      </c>
      <c r="P712" s="41" t="s">
        <v>105</v>
      </c>
      <c r="Q712" s="42"/>
      <c r="R712" s="41"/>
      <c r="S712" s="42"/>
      <c r="T712" s="41"/>
    </row>
    <row r="713" customFormat="false" ht="13.5" hidden="false" customHeight="true" outlineLevel="0" collapsed="false">
      <c r="A713" s="37" t="n">
        <v>710</v>
      </c>
      <c r="B713" s="37" t="n">
        <v>2837</v>
      </c>
      <c r="C713" s="38" t="s">
        <v>3313</v>
      </c>
      <c r="D713" s="37" t="s">
        <v>100</v>
      </c>
      <c r="E713" s="39" t="n">
        <v>20917</v>
      </c>
      <c r="F713" s="37" t="n">
        <f aca="true">IFERROR(DATEDIF(E713,TODAY(),"Y"),"")</f>
        <v>69</v>
      </c>
      <c r="G713" s="40" t="s">
        <v>3314</v>
      </c>
      <c r="H713" s="40"/>
      <c r="I713" s="38"/>
      <c r="J713" s="38"/>
      <c r="K713" s="38" t="s">
        <v>3315</v>
      </c>
      <c r="L713" s="38" t="s">
        <v>47</v>
      </c>
      <c r="M713" s="37"/>
      <c r="N713" s="39" t="n">
        <v>38520</v>
      </c>
      <c r="O713" s="41" t="s">
        <v>23</v>
      </c>
      <c r="P713" s="41" t="s">
        <v>105</v>
      </c>
      <c r="Q713" s="42"/>
      <c r="R713" s="41"/>
      <c r="S713" s="42"/>
      <c r="T713" s="41"/>
    </row>
    <row r="714" customFormat="false" ht="13.5" hidden="false" customHeight="true" outlineLevel="0" collapsed="false">
      <c r="A714" s="37" t="n">
        <v>711</v>
      </c>
      <c r="B714" s="37" t="n">
        <v>2838</v>
      </c>
      <c r="C714" s="38" t="s">
        <v>3316</v>
      </c>
      <c r="D714" s="37" t="s">
        <v>100</v>
      </c>
      <c r="E714" s="39" t="n">
        <v>25263</v>
      </c>
      <c r="F714" s="37" t="n">
        <f aca="true">IFERROR(DATEDIF(E714,TODAY(),"Y"),"")</f>
        <v>57</v>
      </c>
      <c r="G714" s="40" t="s">
        <v>3317</v>
      </c>
      <c r="H714" s="40"/>
      <c r="I714" s="38" t="s">
        <v>3318</v>
      </c>
      <c r="J714" s="38" t="s">
        <v>15</v>
      </c>
      <c r="K714" s="38" t="s">
        <v>3319</v>
      </c>
      <c r="L714" s="38" t="s">
        <v>44</v>
      </c>
      <c r="M714" s="37"/>
      <c r="N714" s="39" t="n">
        <v>38520</v>
      </c>
      <c r="O714" s="41" t="s">
        <v>23</v>
      </c>
      <c r="P714" s="41" t="s">
        <v>105</v>
      </c>
      <c r="Q714" s="42"/>
      <c r="R714" s="41"/>
      <c r="S714" s="42"/>
      <c r="T714" s="41"/>
    </row>
    <row r="715" customFormat="false" ht="13.5" hidden="false" customHeight="true" outlineLevel="0" collapsed="false">
      <c r="A715" s="37" t="n">
        <v>712</v>
      </c>
      <c r="B715" s="37" t="n">
        <v>2839</v>
      </c>
      <c r="C715" s="38" t="s">
        <v>3320</v>
      </c>
      <c r="D715" s="37" t="s">
        <v>100</v>
      </c>
      <c r="E715" s="39" t="n">
        <v>29232</v>
      </c>
      <c r="F715" s="37" t="n">
        <f aca="true">IFERROR(DATEDIF(E715,TODAY(),"Y"),"")</f>
        <v>46</v>
      </c>
      <c r="G715" s="40" t="s">
        <v>3321</v>
      </c>
      <c r="H715" s="40" t="s">
        <v>3322</v>
      </c>
      <c r="I715" s="38" t="s">
        <v>3323</v>
      </c>
      <c r="J715" s="38"/>
      <c r="K715" s="38" t="s">
        <v>3324</v>
      </c>
      <c r="L715" s="38" t="s">
        <v>47</v>
      </c>
      <c r="M715" s="37" t="s">
        <v>104</v>
      </c>
      <c r="N715" s="39" t="n">
        <v>38520</v>
      </c>
      <c r="O715" s="41" t="s">
        <v>23</v>
      </c>
      <c r="P715" s="41" t="s">
        <v>105</v>
      </c>
      <c r="Q715" s="42"/>
      <c r="R715" s="41"/>
      <c r="S715" s="42"/>
      <c r="T715" s="41"/>
    </row>
    <row r="716" customFormat="false" ht="13.5" hidden="false" customHeight="true" outlineLevel="0" collapsed="false">
      <c r="A716" s="37" t="n">
        <v>713</v>
      </c>
      <c r="B716" s="37" t="n">
        <v>2840</v>
      </c>
      <c r="C716" s="38" t="s">
        <v>3325</v>
      </c>
      <c r="D716" s="37" t="s">
        <v>100</v>
      </c>
      <c r="E716" s="39" t="n">
        <v>29506</v>
      </c>
      <c r="F716" s="37" t="n">
        <f aca="true">IFERROR(DATEDIF(E716,TODAY(),"Y"),"")</f>
        <v>45</v>
      </c>
      <c r="G716" s="40" t="s">
        <v>3326</v>
      </c>
      <c r="H716" s="40"/>
      <c r="I716" s="38" t="s">
        <v>3327</v>
      </c>
      <c r="J716" s="38"/>
      <c r="K716" s="38" t="s">
        <v>3328</v>
      </c>
      <c r="L716" s="38" t="s">
        <v>47</v>
      </c>
      <c r="M716" s="37" t="s">
        <v>120</v>
      </c>
      <c r="N716" s="39" t="n">
        <v>38520</v>
      </c>
      <c r="O716" s="41" t="s">
        <v>23</v>
      </c>
      <c r="P716" s="41" t="s">
        <v>105</v>
      </c>
      <c r="Q716" s="42"/>
      <c r="R716" s="41"/>
      <c r="S716" s="42"/>
      <c r="T716" s="41"/>
    </row>
    <row r="717" customFormat="false" ht="13.5" hidden="false" customHeight="true" outlineLevel="0" collapsed="false">
      <c r="A717" s="37" t="n">
        <v>714</v>
      </c>
      <c r="B717" s="37" t="n">
        <v>2843</v>
      </c>
      <c r="C717" s="38" t="s">
        <v>3329</v>
      </c>
      <c r="D717" s="37" t="s">
        <v>100</v>
      </c>
      <c r="E717" s="39" t="n">
        <v>29737</v>
      </c>
      <c r="F717" s="37" t="n">
        <f aca="true">IFERROR(DATEDIF(E717,TODAY(),"Y"),"")</f>
        <v>45</v>
      </c>
      <c r="G717" s="40" t="s">
        <v>3330</v>
      </c>
      <c r="H717" s="40" t="s">
        <v>3331</v>
      </c>
      <c r="I717" s="38" t="s">
        <v>3332</v>
      </c>
      <c r="J717" s="38"/>
      <c r="K717" s="38" t="s">
        <v>3333</v>
      </c>
      <c r="L717" s="38" t="s">
        <v>55</v>
      </c>
      <c r="M717" s="37"/>
      <c r="N717" s="39" t="n">
        <v>38520</v>
      </c>
      <c r="O717" s="41" t="s">
        <v>23</v>
      </c>
      <c r="P717" s="41" t="s">
        <v>105</v>
      </c>
      <c r="Q717" s="42"/>
      <c r="R717" s="41"/>
      <c r="S717" s="42"/>
      <c r="T717" s="41"/>
    </row>
    <row r="718" customFormat="false" ht="13.5" hidden="false" customHeight="true" outlineLevel="0" collapsed="false">
      <c r="A718" s="37" t="n">
        <v>715</v>
      </c>
      <c r="B718" s="37" t="n">
        <v>2844</v>
      </c>
      <c r="C718" s="38" t="s">
        <v>3334</v>
      </c>
      <c r="D718" s="37" t="s">
        <v>100</v>
      </c>
      <c r="E718" s="39" t="n">
        <v>21103</v>
      </c>
      <c r="F718" s="37" t="n">
        <f aca="true">IFERROR(DATEDIF(E718,TODAY(),"Y"),"")</f>
        <v>68</v>
      </c>
      <c r="G718" s="40" t="s">
        <v>3335</v>
      </c>
      <c r="H718" s="40"/>
      <c r="I718" s="38"/>
      <c r="J718" s="38" t="s">
        <v>16</v>
      </c>
      <c r="K718" s="38" t="s">
        <v>3336</v>
      </c>
      <c r="L718" s="38" t="s">
        <v>55</v>
      </c>
      <c r="M718" s="37"/>
      <c r="N718" s="39" t="n">
        <v>29221</v>
      </c>
      <c r="O718" s="41" t="s">
        <v>23</v>
      </c>
      <c r="P718" s="41" t="s">
        <v>105</v>
      </c>
      <c r="Q718" s="42"/>
      <c r="R718" s="41"/>
      <c r="S718" s="42"/>
      <c r="T718" s="41"/>
    </row>
    <row r="719" customFormat="false" ht="13.5" hidden="false" customHeight="true" outlineLevel="0" collapsed="false">
      <c r="A719" s="37" t="n">
        <v>716</v>
      </c>
      <c r="B719" s="37" t="n">
        <v>2845</v>
      </c>
      <c r="C719" s="38" t="s">
        <v>3337</v>
      </c>
      <c r="D719" s="37" t="s">
        <v>100</v>
      </c>
      <c r="E719" s="39" t="n">
        <v>21691</v>
      </c>
      <c r="F719" s="37" t="n">
        <f aca="true">IFERROR(DATEDIF(E719,TODAY(),"Y"),"")</f>
        <v>67</v>
      </c>
      <c r="G719" s="40" t="s">
        <v>3338</v>
      </c>
      <c r="H719" s="40"/>
      <c r="I719" s="38" t="s">
        <v>3339</v>
      </c>
      <c r="J719" s="38" t="s">
        <v>15</v>
      </c>
      <c r="K719" s="38" t="s">
        <v>3340</v>
      </c>
      <c r="L719" s="43" t="s">
        <v>58</v>
      </c>
      <c r="M719" s="37"/>
      <c r="N719" s="39" t="n">
        <v>29221</v>
      </c>
      <c r="O719" s="41" t="s">
        <v>23</v>
      </c>
      <c r="P719" s="41" t="s">
        <v>105</v>
      </c>
      <c r="Q719" s="42"/>
      <c r="R719" s="41"/>
      <c r="S719" s="42"/>
      <c r="T719" s="41"/>
    </row>
    <row r="720" customFormat="false" ht="13.5" hidden="false" customHeight="true" outlineLevel="0" collapsed="false">
      <c r="A720" s="37" t="n">
        <v>717</v>
      </c>
      <c r="B720" s="37" t="n">
        <v>2846</v>
      </c>
      <c r="C720" s="38" t="s">
        <v>3341</v>
      </c>
      <c r="D720" s="37" t="s">
        <v>100</v>
      </c>
      <c r="E720" s="39" t="n">
        <v>27108</v>
      </c>
      <c r="F720" s="37" t="n">
        <f aca="true">IFERROR(DATEDIF(E720,TODAY(),"Y"),"")</f>
        <v>52</v>
      </c>
      <c r="G720" s="40" t="s">
        <v>3342</v>
      </c>
      <c r="H720" s="40" t="s">
        <v>3343</v>
      </c>
      <c r="I720" s="38" t="s">
        <v>3344</v>
      </c>
      <c r="J720" s="38" t="s">
        <v>22</v>
      </c>
      <c r="K720" s="38" t="s">
        <v>3345</v>
      </c>
      <c r="L720" s="38" t="s">
        <v>47</v>
      </c>
      <c r="M720" s="37" t="s">
        <v>177</v>
      </c>
      <c r="N720" s="39" t="n">
        <v>38520</v>
      </c>
      <c r="O720" s="41" t="s">
        <v>23</v>
      </c>
      <c r="P720" s="41" t="s">
        <v>105</v>
      </c>
      <c r="Q720" s="42"/>
      <c r="R720" s="41"/>
      <c r="S720" s="42"/>
      <c r="T720" s="41"/>
    </row>
    <row r="721" customFormat="false" ht="13.5" hidden="false" customHeight="true" outlineLevel="0" collapsed="false">
      <c r="A721" s="37" t="n">
        <v>718</v>
      </c>
      <c r="B721" s="37" t="n">
        <v>2847</v>
      </c>
      <c r="C721" s="38" t="s">
        <v>3346</v>
      </c>
      <c r="D721" s="37" t="s">
        <v>100</v>
      </c>
      <c r="E721" s="39" t="n">
        <v>24579</v>
      </c>
      <c r="F721" s="37" t="n">
        <f aca="true">IFERROR(DATEDIF(E721,TODAY(),"Y"),"")</f>
        <v>59</v>
      </c>
      <c r="G721" s="40" t="s">
        <v>3347</v>
      </c>
      <c r="H721" s="40"/>
      <c r="I721" s="38" t="s">
        <v>3348</v>
      </c>
      <c r="J721" s="38"/>
      <c r="K721" s="38" t="s">
        <v>3349</v>
      </c>
      <c r="L721" s="38" t="s">
        <v>46</v>
      </c>
      <c r="M721" s="37" t="s">
        <v>120</v>
      </c>
      <c r="N721" s="39" t="n">
        <v>40372</v>
      </c>
      <c r="O721" s="41" t="s">
        <v>23</v>
      </c>
      <c r="P721" s="41" t="s">
        <v>105</v>
      </c>
      <c r="Q721" s="42"/>
      <c r="R721" s="41"/>
      <c r="S721" s="42"/>
      <c r="T721" s="41"/>
    </row>
    <row r="722" customFormat="false" ht="13.5" hidden="false" customHeight="true" outlineLevel="0" collapsed="false">
      <c r="A722" s="37" t="n">
        <v>719</v>
      </c>
      <c r="B722" s="37" t="n">
        <v>2848</v>
      </c>
      <c r="C722" s="38" t="s">
        <v>3350</v>
      </c>
      <c r="D722" s="37" t="s">
        <v>100</v>
      </c>
      <c r="E722" s="39" t="n">
        <v>25549</v>
      </c>
      <c r="F722" s="37" t="n">
        <f aca="true">IFERROR(DATEDIF(E722,TODAY(),"Y"),"")</f>
        <v>56</v>
      </c>
      <c r="G722" s="40" t="s">
        <v>3351</v>
      </c>
      <c r="H722" s="40"/>
      <c r="I722" s="38" t="s">
        <v>3352</v>
      </c>
      <c r="J722" s="38" t="s">
        <v>16</v>
      </c>
      <c r="K722" s="38" t="s">
        <v>3353</v>
      </c>
      <c r="L722" s="38" t="s">
        <v>46</v>
      </c>
      <c r="M722" s="37" t="s">
        <v>231</v>
      </c>
      <c r="N722" s="39" t="n">
        <v>40372</v>
      </c>
      <c r="O722" s="41" t="s">
        <v>23</v>
      </c>
      <c r="P722" s="41" t="s">
        <v>105</v>
      </c>
      <c r="Q722" s="42"/>
      <c r="R722" s="41"/>
      <c r="S722" s="42"/>
      <c r="T722" s="41"/>
    </row>
    <row r="723" customFormat="false" ht="13.5" hidden="false" customHeight="true" outlineLevel="0" collapsed="false">
      <c r="A723" s="37" t="n">
        <v>720</v>
      </c>
      <c r="B723" s="37" t="n">
        <v>2849</v>
      </c>
      <c r="C723" s="38" t="s">
        <v>3354</v>
      </c>
      <c r="D723" s="37" t="s">
        <v>100</v>
      </c>
      <c r="E723" s="39" t="n">
        <v>22406</v>
      </c>
      <c r="F723" s="37" t="n">
        <f aca="true">IFERROR(DATEDIF(E723,TODAY(),"Y"),"")</f>
        <v>65</v>
      </c>
      <c r="G723" s="40" t="s">
        <v>3355</v>
      </c>
      <c r="H723" s="40"/>
      <c r="I723" s="38" t="s">
        <v>3356</v>
      </c>
      <c r="J723" s="38" t="s">
        <v>16</v>
      </c>
      <c r="K723" s="38" t="s">
        <v>3357</v>
      </c>
      <c r="L723" s="38" t="s">
        <v>53</v>
      </c>
      <c r="M723" s="37" t="s">
        <v>104</v>
      </c>
      <c r="N723" s="39" t="n">
        <v>40372</v>
      </c>
      <c r="O723" s="41" t="s">
        <v>23</v>
      </c>
      <c r="P723" s="41" t="s">
        <v>105</v>
      </c>
      <c r="Q723" s="42"/>
      <c r="R723" s="41"/>
      <c r="S723" s="42"/>
      <c r="T723" s="41"/>
    </row>
    <row r="724" customFormat="false" ht="13.5" hidden="false" customHeight="true" outlineLevel="0" collapsed="false">
      <c r="A724" s="37" t="n">
        <v>721</v>
      </c>
      <c r="B724" s="37" t="n">
        <v>2850</v>
      </c>
      <c r="C724" s="38" t="s">
        <v>3358</v>
      </c>
      <c r="D724" s="37" t="s">
        <v>100</v>
      </c>
      <c r="E724" s="39" t="n">
        <v>24293</v>
      </c>
      <c r="F724" s="37" t="n">
        <f aca="true">IFERROR(DATEDIF(E724,TODAY(),"Y"),"")</f>
        <v>60</v>
      </c>
      <c r="G724" s="40" t="s">
        <v>3359</v>
      </c>
      <c r="H724" s="40" t="s">
        <v>3360</v>
      </c>
      <c r="I724" s="38" t="s">
        <v>3361</v>
      </c>
      <c r="J724" s="38" t="s">
        <v>16</v>
      </c>
      <c r="K724" s="38" t="s">
        <v>3362</v>
      </c>
      <c r="L724" s="43" t="s">
        <v>58</v>
      </c>
      <c r="M724" s="37" t="s">
        <v>104</v>
      </c>
      <c r="N724" s="39" t="n">
        <v>40374</v>
      </c>
      <c r="O724" s="41" t="s">
        <v>23</v>
      </c>
      <c r="P724" s="41" t="s">
        <v>105</v>
      </c>
      <c r="Q724" s="42"/>
      <c r="R724" s="41"/>
      <c r="S724" s="42"/>
      <c r="T724" s="41"/>
    </row>
    <row r="725" customFormat="false" ht="13.5" hidden="false" customHeight="true" outlineLevel="0" collapsed="false">
      <c r="A725" s="37" t="n">
        <v>722</v>
      </c>
      <c r="B725" s="37" t="n">
        <v>2853</v>
      </c>
      <c r="C725" s="38" t="s">
        <v>3363</v>
      </c>
      <c r="D725" s="37" t="s">
        <v>100</v>
      </c>
      <c r="E725" s="39" t="n">
        <v>29289</v>
      </c>
      <c r="F725" s="37" t="n">
        <f aca="true">IFERROR(DATEDIF(E725,TODAY(),"Y"),"")</f>
        <v>46</v>
      </c>
      <c r="G725" s="40" t="s">
        <v>3364</v>
      </c>
      <c r="H725" s="40" t="s">
        <v>3365</v>
      </c>
      <c r="I725" s="38" t="s">
        <v>3366</v>
      </c>
      <c r="J725" s="38" t="s">
        <v>16</v>
      </c>
      <c r="K725" s="38" t="s">
        <v>3367</v>
      </c>
      <c r="L725" s="38" t="s">
        <v>57</v>
      </c>
      <c r="M725" s="37" t="s">
        <v>177</v>
      </c>
      <c r="N725" s="39" t="n">
        <v>40377</v>
      </c>
      <c r="O725" s="41" t="s">
        <v>23</v>
      </c>
      <c r="P725" s="41" t="s">
        <v>105</v>
      </c>
      <c r="Q725" s="42"/>
      <c r="R725" s="41"/>
      <c r="S725" s="42"/>
      <c r="T725" s="41"/>
    </row>
    <row r="726" customFormat="false" ht="13.5" hidden="false" customHeight="true" outlineLevel="0" collapsed="false">
      <c r="A726" s="37" t="n">
        <v>723</v>
      </c>
      <c r="B726" s="37" t="n">
        <v>2855</v>
      </c>
      <c r="C726" s="38" t="s">
        <v>3368</v>
      </c>
      <c r="D726" s="37" t="s">
        <v>100</v>
      </c>
      <c r="E726" s="39" t="n">
        <v>22715</v>
      </c>
      <c r="F726" s="37" t="n">
        <f aca="true">IFERROR(DATEDIF(E726,TODAY(),"Y"),"")</f>
        <v>64</v>
      </c>
      <c r="G726" s="40" t="s">
        <v>3369</v>
      </c>
      <c r="H726" s="40" t="s">
        <v>1280</v>
      </c>
      <c r="I726" s="38" t="s">
        <v>3370</v>
      </c>
      <c r="J726" s="38" t="s">
        <v>16</v>
      </c>
      <c r="K726" s="38" t="s">
        <v>3371</v>
      </c>
      <c r="L726" s="38" t="s">
        <v>55</v>
      </c>
      <c r="M726" s="37" t="s">
        <v>120</v>
      </c>
      <c r="N726" s="39" t="n">
        <v>40372</v>
      </c>
      <c r="O726" s="41" t="s">
        <v>23</v>
      </c>
      <c r="P726" s="41" t="s">
        <v>105</v>
      </c>
      <c r="Q726" s="42"/>
      <c r="R726" s="41"/>
      <c r="S726" s="42"/>
      <c r="T726" s="41"/>
    </row>
    <row r="727" customFormat="false" ht="13.5" hidden="false" customHeight="true" outlineLevel="0" collapsed="false">
      <c r="A727" s="37" t="n">
        <v>724</v>
      </c>
      <c r="B727" s="37" t="n">
        <v>2856</v>
      </c>
      <c r="C727" s="38" t="s">
        <v>3372</v>
      </c>
      <c r="D727" s="37" t="s">
        <v>100</v>
      </c>
      <c r="E727" s="39" t="n">
        <v>21635</v>
      </c>
      <c r="F727" s="37" t="n">
        <f aca="true">IFERROR(DATEDIF(E727,TODAY(),"Y"),"")</f>
        <v>67</v>
      </c>
      <c r="G727" s="40" t="s">
        <v>3373</v>
      </c>
      <c r="H727" s="40" t="s">
        <v>3374</v>
      </c>
      <c r="I727" s="38" t="s">
        <v>3375</v>
      </c>
      <c r="J727" s="38" t="s">
        <v>15</v>
      </c>
      <c r="K727" s="38" t="s">
        <v>3376</v>
      </c>
      <c r="L727" s="38" t="s">
        <v>54</v>
      </c>
      <c r="M727" s="37" t="s">
        <v>177</v>
      </c>
      <c r="N727" s="39" t="n">
        <v>40372</v>
      </c>
      <c r="O727" s="41" t="s">
        <v>23</v>
      </c>
      <c r="P727" s="41" t="s">
        <v>105</v>
      </c>
      <c r="Q727" s="42"/>
      <c r="R727" s="41"/>
      <c r="S727" s="42"/>
      <c r="T727" s="41"/>
    </row>
    <row r="728" customFormat="false" ht="13.5" hidden="false" customHeight="true" outlineLevel="0" collapsed="false">
      <c r="A728" s="37" t="n">
        <v>725</v>
      </c>
      <c r="B728" s="37" t="n">
        <v>2857</v>
      </c>
      <c r="C728" s="38" t="s">
        <v>3377</v>
      </c>
      <c r="D728" s="37" t="s">
        <v>100</v>
      </c>
      <c r="E728" s="39" t="n">
        <v>24182</v>
      </c>
      <c r="F728" s="37" t="n">
        <f aca="true">IFERROR(DATEDIF(E728,TODAY(),"Y"),"")</f>
        <v>60</v>
      </c>
      <c r="G728" s="40" t="s">
        <v>3378</v>
      </c>
      <c r="H728" s="40" t="s">
        <v>3379</v>
      </c>
      <c r="I728" s="38" t="s">
        <v>3380</v>
      </c>
      <c r="J728" s="38" t="s">
        <v>15</v>
      </c>
      <c r="K728" s="38" t="s">
        <v>3381</v>
      </c>
      <c r="L728" s="43" t="s">
        <v>58</v>
      </c>
      <c r="M728" s="37" t="s">
        <v>231</v>
      </c>
      <c r="N728" s="39" t="n">
        <v>40372</v>
      </c>
      <c r="O728" s="41" t="s">
        <v>23</v>
      </c>
      <c r="P728" s="41" t="s">
        <v>105</v>
      </c>
      <c r="Q728" s="42"/>
      <c r="R728" s="41"/>
      <c r="S728" s="42"/>
      <c r="T728" s="41"/>
    </row>
    <row r="729" customFormat="false" ht="13.5" hidden="false" customHeight="true" outlineLevel="0" collapsed="false">
      <c r="A729" s="37" t="n">
        <v>726</v>
      </c>
      <c r="B729" s="37" t="n">
        <v>2858</v>
      </c>
      <c r="C729" s="38" t="s">
        <v>3382</v>
      </c>
      <c r="D729" s="37" t="s">
        <v>100</v>
      </c>
      <c r="E729" s="39" t="n">
        <v>28630</v>
      </c>
      <c r="F729" s="37" t="n">
        <f aca="true">IFERROR(DATEDIF(E729,TODAY(),"Y"),"")</f>
        <v>48</v>
      </c>
      <c r="G729" s="40" t="s">
        <v>3383</v>
      </c>
      <c r="H729" s="40"/>
      <c r="I729" s="38" t="s">
        <v>3384</v>
      </c>
      <c r="J729" s="38" t="s">
        <v>15</v>
      </c>
      <c r="K729" s="38" t="s">
        <v>3385</v>
      </c>
      <c r="L729" s="38" t="s">
        <v>47</v>
      </c>
      <c r="M729" s="37"/>
      <c r="N729" s="39" t="n">
        <v>40372</v>
      </c>
      <c r="O729" s="41" t="s">
        <v>23</v>
      </c>
      <c r="P729" s="41" t="s">
        <v>105</v>
      </c>
      <c r="Q729" s="42"/>
      <c r="R729" s="41"/>
      <c r="S729" s="42"/>
      <c r="T729" s="41"/>
    </row>
    <row r="730" customFormat="false" ht="13.5" hidden="false" customHeight="true" outlineLevel="0" collapsed="false">
      <c r="A730" s="37" t="n">
        <v>727</v>
      </c>
      <c r="B730" s="37" t="n">
        <v>2859</v>
      </c>
      <c r="C730" s="38" t="s">
        <v>3386</v>
      </c>
      <c r="D730" s="37" t="s">
        <v>100</v>
      </c>
      <c r="E730" s="39" t="n">
        <v>21339</v>
      </c>
      <c r="F730" s="37" t="n">
        <f aca="true">IFERROR(DATEDIF(E730,TODAY(),"Y"),"")</f>
        <v>68</v>
      </c>
      <c r="G730" s="40" t="s">
        <v>3387</v>
      </c>
      <c r="H730" s="40"/>
      <c r="I730" s="38" t="s">
        <v>3388</v>
      </c>
      <c r="J730" s="38" t="s">
        <v>15</v>
      </c>
      <c r="K730" s="38" t="s">
        <v>3389</v>
      </c>
      <c r="L730" s="38" t="s">
        <v>43</v>
      </c>
      <c r="M730" s="37" t="s">
        <v>120</v>
      </c>
      <c r="N730" s="39" t="n">
        <v>40372</v>
      </c>
      <c r="O730" s="41" t="s">
        <v>23</v>
      </c>
      <c r="P730" s="41" t="s">
        <v>105</v>
      </c>
      <c r="Q730" s="42"/>
      <c r="R730" s="41"/>
      <c r="S730" s="42"/>
      <c r="T730" s="41"/>
    </row>
    <row r="731" customFormat="false" ht="13.5" hidden="false" customHeight="true" outlineLevel="0" collapsed="false">
      <c r="A731" s="37" t="n">
        <v>728</v>
      </c>
      <c r="B731" s="37" t="n">
        <v>2860</v>
      </c>
      <c r="C731" s="38" t="s">
        <v>3390</v>
      </c>
      <c r="D731" s="37" t="s">
        <v>100</v>
      </c>
      <c r="E731" s="39" t="n">
        <v>24964</v>
      </c>
      <c r="F731" s="37" t="n">
        <f aca="true">IFERROR(DATEDIF(E731,TODAY(),"Y"),"")</f>
        <v>58</v>
      </c>
      <c r="G731" s="40" t="s">
        <v>3391</v>
      </c>
      <c r="H731" s="40" t="s">
        <v>3392</v>
      </c>
      <c r="I731" s="38" t="s">
        <v>3393</v>
      </c>
      <c r="J731" s="38" t="s">
        <v>15</v>
      </c>
      <c r="K731" s="38" t="s">
        <v>3394</v>
      </c>
      <c r="L731" s="38" t="s">
        <v>51</v>
      </c>
      <c r="M731" s="37" t="s">
        <v>104</v>
      </c>
      <c r="N731" s="39" t="n">
        <v>40377</v>
      </c>
      <c r="O731" s="41" t="s">
        <v>23</v>
      </c>
      <c r="P731" s="41" t="s">
        <v>105</v>
      </c>
      <c r="Q731" s="42"/>
      <c r="R731" s="41"/>
      <c r="S731" s="42"/>
      <c r="T731" s="41"/>
    </row>
    <row r="732" customFormat="false" ht="13.5" hidden="false" customHeight="true" outlineLevel="0" collapsed="false">
      <c r="A732" s="37" t="n">
        <v>729</v>
      </c>
      <c r="B732" s="37" t="n">
        <v>2861</v>
      </c>
      <c r="C732" s="38" t="s">
        <v>3395</v>
      </c>
      <c r="D732" s="37" t="s">
        <v>100</v>
      </c>
      <c r="E732" s="39" t="n">
        <v>27150</v>
      </c>
      <c r="F732" s="37" t="n">
        <f aca="true">IFERROR(DATEDIF(E732,TODAY(),"Y"),"")</f>
        <v>52</v>
      </c>
      <c r="G732" s="40" t="s">
        <v>3396</v>
      </c>
      <c r="H732" s="40" t="s">
        <v>3397</v>
      </c>
      <c r="I732" s="38" t="s">
        <v>3398</v>
      </c>
      <c r="J732" s="38" t="s">
        <v>16</v>
      </c>
      <c r="K732" s="38" t="s">
        <v>3399</v>
      </c>
      <c r="L732" s="38" t="s">
        <v>48</v>
      </c>
      <c r="M732" s="37" t="s">
        <v>104</v>
      </c>
      <c r="N732" s="39" t="n">
        <v>40394</v>
      </c>
      <c r="O732" s="41" t="s">
        <v>23</v>
      </c>
      <c r="P732" s="41" t="s">
        <v>105</v>
      </c>
      <c r="Q732" s="42"/>
      <c r="R732" s="41"/>
      <c r="S732" s="42"/>
      <c r="T732" s="41"/>
    </row>
    <row r="733" customFormat="false" ht="13.5" hidden="false" customHeight="true" outlineLevel="0" collapsed="false">
      <c r="A733" s="37" t="n">
        <v>730</v>
      </c>
      <c r="B733" s="37" t="n">
        <v>2862</v>
      </c>
      <c r="C733" s="38" t="s">
        <v>3400</v>
      </c>
      <c r="D733" s="37" t="s">
        <v>100</v>
      </c>
      <c r="E733" s="39" t="n">
        <v>23156</v>
      </c>
      <c r="F733" s="37" t="n">
        <f aca="true">IFERROR(DATEDIF(E733,TODAY(),"Y"),"")</f>
        <v>63</v>
      </c>
      <c r="G733" s="40" t="s">
        <v>3401</v>
      </c>
      <c r="H733" s="40" t="s">
        <v>3402</v>
      </c>
      <c r="I733" s="38" t="s">
        <v>3403</v>
      </c>
      <c r="J733" s="38" t="s">
        <v>18</v>
      </c>
      <c r="K733" s="38" t="s">
        <v>3404</v>
      </c>
      <c r="L733" s="38" t="s">
        <v>50</v>
      </c>
      <c r="M733" s="37" t="s">
        <v>177</v>
      </c>
      <c r="N733" s="39" t="n">
        <v>40397</v>
      </c>
      <c r="O733" s="41" t="s">
        <v>23</v>
      </c>
      <c r="P733" s="41" t="s">
        <v>105</v>
      </c>
      <c r="Q733" s="42"/>
      <c r="R733" s="41"/>
      <c r="S733" s="42"/>
      <c r="T733" s="41"/>
    </row>
    <row r="734" customFormat="false" ht="13.5" hidden="false" customHeight="true" outlineLevel="0" collapsed="false">
      <c r="A734" s="37" t="n">
        <v>731</v>
      </c>
      <c r="B734" s="37" t="n">
        <v>2863</v>
      </c>
      <c r="C734" s="38" t="s">
        <v>3405</v>
      </c>
      <c r="D734" s="37" t="s">
        <v>100</v>
      </c>
      <c r="E734" s="39" t="n">
        <v>31960</v>
      </c>
      <c r="F734" s="37" t="n">
        <f aca="true">IFERROR(DATEDIF(E734,TODAY(),"Y"),"")</f>
        <v>39</v>
      </c>
      <c r="G734" s="40" t="s">
        <v>3406</v>
      </c>
      <c r="H734" s="40" t="s">
        <v>3407</v>
      </c>
      <c r="I734" s="38" t="s">
        <v>3408</v>
      </c>
      <c r="J734" s="38" t="s">
        <v>15</v>
      </c>
      <c r="K734" s="38" t="s">
        <v>3409</v>
      </c>
      <c r="L734" s="38" t="s">
        <v>53</v>
      </c>
      <c r="M734" s="37" t="s">
        <v>177</v>
      </c>
      <c r="N734" s="39" t="n">
        <v>40399</v>
      </c>
      <c r="O734" s="41" t="s">
        <v>23</v>
      </c>
      <c r="P734" s="41" t="s">
        <v>105</v>
      </c>
      <c r="Q734" s="42"/>
      <c r="R734" s="41"/>
      <c r="S734" s="42"/>
      <c r="T734" s="41"/>
    </row>
    <row r="735" customFormat="false" ht="13.5" hidden="false" customHeight="true" outlineLevel="0" collapsed="false">
      <c r="A735" s="37" t="n">
        <v>732</v>
      </c>
      <c r="B735" s="37" t="n">
        <v>2864</v>
      </c>
      <c r="C735" s="38" t="s">
        <v>3410</v>
      </c>
      <c r="D735" s="37" t="s">
        <v>100</v>
      </c>
      <c r="E735" s="39" t="n">
        <v>21957</v>
      </c>
      <c r="F735" s="37" t="n">
        <f aca="true">IFERROR(DATEDIF(E735,TODAY(),"Y"),"")</f>
        <v>66</v>
      </c>
      <c r="G735" s="40" t="s">
        <v>3411</v>
      </c>
      <c r="H735" s="40" t="s">
        <v>3412</v>
      </c>
      <c r="I735" s="38" t="s">
        <v>3413</v>
      </c>
      <c r="J735" s="38" t="s">
        <v>15</v>
      </c>
      <c r="K735" s="38" t="s">
        <v>3414</v>
      </c>
      <c r="L735" s="38" t="s">
        <v>43</v>
      </c>
      <c r="M735" s="37" t="s">
        <v>120</v>
      </c>
      <c r="N735" s="39" t="n">
        <v>40394</v>
      </c>
      <c r="O735" s="41" t="s">
        <v>23</v>
      </c>
      <c r="P735" s="41" t="s">
        <v>105</v>
      </c>
      <c r="Q735" s="42"/>
      <c r="R735" s="41"/>
      <c r="S735" s="42"/>
      <c r="T735" s="41"/>
    </row>
    <row r="736" customFormat="false" ht="13.5" hidden="false" customHeight="true" outlineLevel="0" collapsed="false">
      <c r="A736" s="37" t="n">
        <v>733</v>
      </c>
      <c r="B736" s="37" t="n">
        <v>2868</v>
      </c>
      <c r="C736" s="38" t="s">
        <v>3415</v>
      </c>
      <c r="D736" s="37" t="s">
        <v>100</v>
      </c>
      <c r="E736" s="39" t="n">
        <v>25150</v>
      </c>
      <c r="F736" s="37" t="n">
        <f aca="true">IFERROR(DATEDIF(E736,TODAY(),"Y"),"")</f>
        <v>57</v>
      </c>
      <c r="G736" s="40" t="s">
        <v>3416</v>
      </c>
      <c r="H736" s="40" t="s">
        <v>3417</v>
      </c>
      <c r="I736" s="38" t="s">
        <v>3418</v>
      </c>
      <c r="J736" s="38" t="s">
        <v>16</v>
      </c>
      <c r="K736" s="38" t="s">
        <v>3419</v>
      </c>
      <c r="L736" s="43" t="s">
        <v>58</v>
      </c>
      <c r="M736" s="37" t="s">
        <v>177</v>
      </c>
      <c r="N736" s="39" t="n">
        <v>40400</v>
      </c>
      <c r="O736" s="41" t="s">
        <v>23</v>
      </c>
      <c r="P736" s="41" t="s">
        <v>105</v>
      </c>
      <c r="Q736" s="42"/>
      <c r="R736" s="41"/>
      <c r="S736" s="42"/>
      <c r="T736" s="41"/>
    </row>
    <row r="737" customFormat="false" ht="13.5" hidden="false" customHeight="true" outlineLevel="0" collapsed="false">
      <c r="A737" s="37" t="n">
        <v>734</v>
      </c>
      <c r="B737" s="37" t="n">
        <v>2871</v>
      </c>
      <c r="C737" s="38" t="s">
        <v>3420</v>
      </c>
      <c r="D737" s="37" t="s">
        <v>100</v>
      </c>
      <c r="E737" s="39" t="n">
        <v>31180</v>
      </c>
      <c r="F737" s="37" t="n">
        <f aca="true">IFERROR(DATEDIF(E737,TODAY(),"Y"),"")</f>
        <v>41</v>
      </c>
      <c r="G737" s="40" t="s">
        <v>3421</v>
      </c>
      <c r="H737" s="40" t="s">
        <v>1271</v>
      </c>
      <c r="I737" s="38" t="s">
        <v>3422</v>
      </c>
      <c r="J737" s="38" t="s">
        <v>15</v>
      </c>
      <c r="K737" s="38" t="s">
        <v>3423</v>
      </c>
      <c r="L737" s="38" t="s">
        <v>46</v>
      </c>
      <c r="M737" s="37" t="s">
        <v>177</v>
      </c>
      <c r="N737" s="39" t="n">
        <v>40418</v>
      </c>
      <c r="O737" s="41" t="s">
        <v>23</v>
      </c>
      <c r="P737" s="41" t="s">
        <v>105</v>
      </c>
      <c r="Q737" s="42"/>
      <c r="R737" s="41"/>
      <c r="S737" s="42"/>
      <c r="T737" s="41"/>
    </row>
    <row r="738" customFormat="false" ht="13.5" hidden="false" customHeight="true" outlineLevel="0" collapsed="false">
      <c r="A738" s="37" t="n">
        <v>735</v>
      </c>
      <c r="B738" s="37" t="n">
        <v>2874</v>
      </c>
      <c r="C738" s="38" t="s">
        <v>3424</v>
      </c>
      <c r="D738" s="37" t="s">
        <v>100</v>
      </c>
      <c r="E738" s="39" t="n">
        <v>30317</v>
      </c>
      <c r="F738" s="37" t="n">
        <f aca="true">IFERROR(DATEDIF(E738,TODAY(),"Y"),"")</f>
        <v>43</v>
      </c>
      <c r="G738" s="40" t="s">
        <v>3425</v>
      </c>
      <c r="H738" s="40"/>
      <c r="I738" s="38" t="s">
        <v>3426</v>
      </c>
      <c r="J738" s="38" t="s">
        <v>15</v>
      </c>
      <c r="K738" s="38" t="s">
        <v>3427</v>
      </c>
      <c r="L738" s="38" t="s">
        <v>55</v>
      </c>
      <c r="M738" s="37"/>
      <c r="N738" s="39" t="n">
        <v>40420</v>
      </c>
      <c r="O738" s="41" t="s">
        <v>23</v>
      </c>
      <c r="P738" s="41" t="s">
        <v>105</v>
      </c>
      <c r="Q738" s="42"/>
      <c r="R738" s="41"/>
      <c r="S738" s="42"/>
      <c r="T738" s="41"/>
    </row>
    <row r="739" customFormat="false" ht="13.5" hidden="false" customHeight="true" outlineLevel="0" collapsed="false">
      <c r="A739" s="37" t="n">
        <v>736</v>
      </c>
      <c r="B739" s="37" t="n">
        <v>2877</v>
      </c>
      <c r="C739" s="38" t="s">
        <v>3428</v>
      </c>
      <c r="D739" s="37" t="s">
        <v>100</v>
      </c>
      <c r="E739" s="39" t="n">
        <v>30773</v>
      </c>
      <c r="F739" s="37" t="n">
        <f aca="true">IFERROR(DATEDIF(E739,TODAY(),"Y"),"")</f>
        <v>42</v>
      </c>
      <c r="G739" s="40" t="s">
        <v>3429</v>
      </c>
      <c r="H739" s="40" t="s">
        <v>3430</v>
      </c>
      <c r="I739" s="38" t="s">
        <v>3431</v>
      </c>
      <c r="J739" s="38" t="s">
        <v>16</v>
      </c>
      <c r="K739" s="38" t="s">
        <v>3432</v>
      </c>
      <c r="L739" s="38" t="s">
        <v>47</v>
      </c>
      <c r="M739" s="37"/>
      <c r="N739" s="39" t="n">
        <v>40426</v>
      </c>
      <c r="O739" s="41" t="s">
        <v>23</v>
      </c>
      <c r="P739" s="41" t="s">
        <v>105</v>
      </c>
      <c r="Q739" s="42"/>
      <c r="R739" s="41"/>
      <c r="S739" s="42"/>
      <c r="T739" s="41"/>
    </row>
    <row r="740" customFormat="false" ht="13.5" hidden="false" customHeight="true" outlineLevel="0" collapsed="false">
      <c r="A740" s="37" t="n">
        <v>737</v>
      </c>
      <c r="B740" s="37" t="n">
        <v>2878</v>
      </c>
      <c r="C740" s="38" t="s">
        <v>3433</v>
      </c>
      <c r="D740" s="37" t="s">
        <v>100</v>
      </c>
      <c r="E740" s="39" t="n">
        <v>25040</v>
      </c>
      <c r="F740" s="37" t="n">
        <f aca="true">IFERROR(DATEDIF(E740,TODAY(),"Y"),"")</f>
        <v>58</v>
      </c>
      <c r="G740" s="40" t="s">
        <v>3434</v>
      </c>
      <c r="H740" s="40" t="s">
        <v>3435</v>
      </c>
      <c r="I740" s="38" t="s">
        <v>3436</v>
      </c>
      <c r="J740" s="38" t="s">
        <v>15</v>
      </c>
      <c r="K740" s="38" t="s">
        <v>3437</v>
      </c>
      <c r="L740" s="38" t="s">
        <v>47</v>
      </c>
      <c r="M740" s="37"/>
      <c r="N740" s="39" t="n">
        <v>40451</v>
      </c>
      <c r="O740" s="41" t="s">
        <v>23</v>
      </c>
      <c r="P740" s="41" t="s">
        <v>105</v>
      </c>
      <c r="Q740" s="42"/>
      <c r="R740" s="41"/>
      <c r="S740" s="42"/>
      <c r="T740" s="41"/>
    </row>
    <row r="741" customFormat="false" ht="13.5" hidden="false" customHeight="true" outlineLevel="0" collapsed="false">
      <c r="A741" s="37" t="n">
        <v>738</v>
      </c>
      <c r="B741" s="37" t="n">
        <v>2879</v>
      </c>
      <c r="C741" s="38" t="s">
        <v>3438</v>
      </c>
      <c r="D741" s="37" t="s">
        <v>100</v>
      </c>
      <c r="E741" s="39" t="n">
        <v>31259</v>
      </c>
      <c r="F741" s="37" t="n">
        <f aca="true">IFERROR(DATEDIF(E741,TODAY(),"Y"),"")</f>
        <v>41</v>
      </c>
      <c r="G741" s="40" t="s">
        <v>3439</v>
      </c>
      <c r="H741" s="40" t="s">
        <v>3440</v>
      </c>
      <c r="I741" s="38" t="s">
        <v>3441</v>
      </c>
      <c r="J741" s="38"/>
      <c r="K741" s="38" t="s">
        <v>3442</v>
      </c>
      <c r="L741" s="38" t="s">
        <v>55</v>
      </c>
      <c r="M741" s="37" t="s">
        <v>104</v>
      </c>
      <c r="N741" s="39" t="n">
        <v>40453</v>
      </c>
      <c r="O741" s="41" t="s">
        <v>23</v>
      </c>
      <c r="P741" s="41" t="s">
        <v>105</v>
      </c>
      <c r="Q741" s="42"/>
      <c r="R741" s="41"/>
      <c r="S741" s="42"/>
      <c r="T741" s="41"/>
    </row>
    <row r="742" customFormat="false" ht="13.5" hidden="false" customHeight="true" outlineLevel="0" collapsed="false">
      <c r="A742" s="37" t="n">
        <v>739</v>
      </c>
      <c r="B742" s="37" t="n">
        <v>2880</v>
      </c>
      <c r="C742" s="38" t="s">
        <v>3443</v>
      </c>
      <c r="D742" s="37" t="s">
        <v>100</v>
      </c>
      <c r="E742" s="39" t="n">
        <v>22621</v>
      </c>
      <c r="F742" s="37" t="n">
        <f aca="true">IFERROR(DATEDIF(E742,TODAY(),"Y"),"")</f>
        <v>64</v>
      </c>
      <c r="G742" s="40" t="s">
        <v>3444</v>
      </c>
      <c r="H742" s="40" t="s">
        <v>3445</v>
      </c>
      <c r="I742" s="38" t="s">
        <v>3446</v>
      </c>
      <c r="J742" s="38" t="s">
        <v>16</v>
      </c>
      <c r="K742" s="38" t="s">
        <v>3447</v>
      </c>
      <c r="L742" s="38" t="s">
        <v>47</v>
      </c>
      <c r="M742" s="37" t="s">
        <v>120</v>
      </c>
      <c r="N742" s="39" t="n">
        <v>40468</v>
      </c>
      <c r="O742" s="41" t="s">
        <v>23</v>
      </c>
      <c r="P742" s="41" t="s">
        <v>105</v>
      </c>
      <c r="Q742" s="42"/>
      <c r="R742" s="41"/>
      <c r="S742" s="42"/>
      <c r="T742" s="41"/>
    </row>
    <row r="743" customFormat="false" ht="13.5" hidden="false" customHeight="true" outlineLevel="0" collapsed="false">
      <c r="A743" s="37" t="n">
        <v>740</v>
      </c>
      <c r="B743" s="37" t="n">
        <v>2881</v>
      </c>
      <c r="C743" s="38" t="s">
        <v>3448</v>
      </c>
      <c r="D743" s="37" t="s">
        <v>100</v>
      </c>
      <c r="E743" s="39" t="n">
        <v>19515</v>
      </c>
      <c r="F743" s="37" t="n">
        <f aca="true">IFERROR(DATEDIF(E743,TODAY(),"Y"),"")</f>
        <v>73</v>
      </c>
      <c r="G743" s="40" t="s">
        <v>3449</v>
      </c>
      <c r="H743" s="40" t="s">
        <v>3450</v>
      </c>
      <c r="I743" s="38" t="s">
        <v>3451</v>
      </c>
      <c r="J743" s="38" t="s">
        <v>15</v>
      </c>
      <c r="K743" s="38" t="s">
        <v>3452</v>
      </c>
      <c r="L743" s="38" t="s">
        <v>55</v>
      </c>
      <c r="M743" s="37"/>
      <c r="N743" s="39" t="n">
        <v>40476</v>
      </c>
      <c r="O743" s="41" t="s">
        <v>23</v>
      </c>
      <c r="P743" s="41" t="s">
        <v>105</v>
      </c>
      <c r="Q743" s="42"/>
      <c r="R743" s="41"/>
      <c r="S743" s="42"/>
      <c r="T743" s="41"/>
    </row>
    <row r="744" customFormat="false" ht="13.5" hidden="false" customHeight="true" outlineLevel="0" collapsed="false">
      <c r="A744" s="37" t="n">
        <v>741</v>
      </c>
      <c r="B744" s="37" t="n">
        <v>2882</v>
      </c>
      <c r="C744" s="38" t="s">
        <v>3453</v>
      </c>
      <c r="D744" s="37" t="s">
        <v>100</v>
      </c>
      <c r="E744" s="39" t="n">
        <v>22633</v>
      </c>
      <c r="F744" s="37" t="n">
        <f aca="true">IFERROR(DATEDIF(E744,TODAY(),"Y"),"")</f>
        <v>64</v>
      </c>
      <c r="G744" s="40" t="s">
        <v>3454</v>
      </c>
      <c r="H744" s="40" t="s">
        <v>3455</v>
      </c>
      <c r="I744" s="38" t="s">
        <v>3456</v>
      </c>
      <c r="J744" s="38" t="s">
        <v>16</v>
      </c>
      <c r="K744" s="38" t="s">
        <v>3457</v>
      </c>
      <c r="L744" s="38" t="s">
        <v>44</v>
      </c>
      <c r="M744" s="37"/>
      <c r="N744" s="39" t="n">
        <v>40476</v>
      </c>
      <c r="O744" s="41" t="s">
        <v>23</v>
      </c>
      <c r="P744" s="41" t="s">
        <v>105</v>
      </c>
      <c r="Q744" s="42"/>
      <c r="R744" s="41"/>
      <c r="S744" s="42"/>
      <c r="T744" s="41"/>
    </row>
    <row r="745" customFormat="false" ht="13.5" hidden="false" customHeight="true" outlineLevel="0" collapsed="false">
      <c r="A745" s="37" t="n">
        <v>742</v>
      </c>
      <c r="B745" s="37" t="n">
        <v>2884</v>
      </c>
      <c r="C745" s="38" t="s">
        <v>3458</v>
      </c>
      <c r="D745" s="37" t="s">
        <v>100</v>
      </c>
      <c r="E745" s="39" t="n">
        <v>23161</v>
      </c>
      <c r="F745" s="37" t="n">
        <f aca="true">IFERROR(DATEDIF(E745,TODAY(),"Y"),"")</f>
        <v>63</v>
      </c>
      <c r="G745" s="40" t="s">
        <v>3459</v>
      </c>
      <c r="H745" s="40"/>
      <c r="I745" s="38" t="s">
        <v>3460</v>
      </c>
      <c r="J745" s="38" t="s">
        <v>15</v>
      </c>
      <c r="K745" s="38" t="s">
        <v>3461</v>
      </c>
      <c r="L745" s="38" t="s">
        <v>54</v>
      </c>
      <c r="M745" s="37" t="s">
        <v>120</v>
      </c>
      <c r="N745" s="39" t="n">
        <v>40476</v>
      </c>
      <c r="O745" s="41" t="s">
        <v>23</v>
      </c>
      <c r="P745" s="41" t="s">
        <v>105</v>
      </c>
      <c r="Q745" s="42"/>
      <c r="R745" s="41"/>
      <c r="S745" s="42"/>
      <c r="T745" s="41"/>
    </row>
    <row r="746" customFormat="false" ht="13.5" hidden="false" customHeight="true" outlineLevel="0" collapsed="false">
      <c r="A746" s="37" t="n">
        <v>743</v>
      </c>
      <c r="B746" s="37" t="n">
        <v>2887</v>
      </c>
      <c r="C746" s="38" t="s">
        <v>3462</v>
      </c>
      <c r="D746" s="37" t="s">
        <v>100</v>
      </c>
      <c r="E746" s="39" t="n">
        <v>24990</v>
      </c>
      <c r="F746" s="37" t="n">
        <f aca="true">IFERROR(DATEDIF(E746,TODAY(),"Y"),"")</f>
        <v>58</v>
      </c>
      <c r="G746" s="40" t="s">
        <v>3463</v>
      </c>
      <c r="H746" s="40" t="s">
        <v>3464</v>
      </c>
      <c r="I746" s="38" t="s">
        <v>3465</v>
      </c>
      <c r="J746" s="38" t="s">
        <v>15</v>
      </c>
      <c r="K746" s="38" t="s">
        <v>3466</v>
      </c>
      <c r="L746" s="38" t="s">
        <v>55</v>
      </c>
      <c r="M746" s="37"/>
      <c r="N746" s="39" t="n">
        <v>40486</v>
      </c>
      <c r="O746" s="41" t="s">
        <v>23</v>
      </c>
      <c r="P746" s="41" t="s">
        <v>105</v>
      </c>
      <c r="Q746" s="42"/>
      <c r="R746" s="41"/>
      <c r="S746" s="42"/>
      <c r="T746" s="41"/>
    </row>
    <row r="747" customFormat="false" ht="13.5" hidden="false" customHeight="true" outlineLevel="0" collapsed="false">
      <c r="A747" s="37" t="n">
        <v>744</v>
      </c>
      <c r="B747" s="37" t="n">
        <v>2888</v>
      </c>
      <c r="C747" s="38" t="s">
        <v>3467</v>
      </c>
      <c r="D747" s="37" t="s">
        <v>100</v>
      </c>
      <c r="E747" s="39" t="n">
        <v>29002</v>
      </c>
      <c r="F747" s="37" t="n">
        <f aca="true">IFERROR(DATEDIF(E747,TODAY(),"Y"),"")</f>
        <v>47</v>
      </c>
      <c r="G747" s="40" t="s">
        <v>3468</v>
      </c>
      <c r="H747" s="40" t="s">
        <v>3469</v>
      </c>
      <c r="I747" s="38" t="s">
        <v>3470</v>
      </c>
      <c r="J747" s="38" t="s">
        <v>16</v>
      </c>
      <c r="K747" s="38" t="s">
        <v>3471</v>
      </c>
      <c r="L747" s="38" t="s">
        <v>46</v>
      </c>
      <c r="M747" s="37"/>
      <c r="N747" s="39" t="n">
        <v>40481</v>
      </c>
      <c r="O747" s="41" t="s">
        <v>23</v>
      </c>
      <c r="P747" s="41" t="s">
        <v>105</v>
      </c>
      <c r="Q747" s="42"/>
      <c r="R747" s="41"/>
      <c r="S747" s="42"/>
      <c r="T747" s="41"/>
    </row>
    <row r="748" customFormat="false" ht="13.5" hidden="false" customHeight="true" outlineLevel="0" collapsed="false">
      <c r="A748" s="37" t="n">
        <v>745</v>
      </c>
      <c r="B748" s="37" t="n">
        <v>2889</v>
      </c>
      <c r="C748" s="38" t="s">
        <v>3472</v>
      </c>
      <c r="D748" s="37" t="s">
        <v>100</v>
      </c>
      <c r="E748" s="39" t="n">
        <v>22696</v>
      </c>
      <c r="F748" s="37" t="n">
        <f aca="true">IFERROR(DATEDIF(E748,TODAY(),"Y"),"")</f>
        <v>64</v>
      </c>
      <c r="G748" s="40" t="s">
        <v>3473</v>
      </c>
      <c r="H748" s="40" t="s">
        <v>3474</v>
      </c>
      <c r="I748" s="38" t="s">
        <v>3475</v>
      </c>
      <c r="J748" s="38" t="s">
        <v>18</v>
      </c>
      <c r="K748" s="38" t="s">
        <v>3476</v>
      </c>
      <c r="L748" s="43" t="s">
        <v>58</v>
      </c>
      <c r="M748" s="37" t="s">
        <v>120</v>
      </c>
      <c r="N748" s="39" t="n">
        <v>40485</v>
      </c>
      <c r="O748" s="41" t="s">
        <v>23</v>
      </c>
      <c r="P748" s="41" t="s">
        <v>105</v>
      </c>
      <c r="Q748" s="42"/>
      <c r="R748" s="41"/>
      <c r="S748" s="42"/>
      <c r="T748" s="41"/>
    </row>
    <row r="749" customFormat="false" ht="13.5" hidden="false" customHeight="true" outlineLevel="0" collapsed="false">
      <c r="A749" s="37" t="n">
        <v>746</v>
      </c>
      <c r="B749" s="37" t="n">
        <v>2894</v>
      </c>
      <c r="C749" s="38" t="s">
        <v>3477</v>
      </c>
      <c r="D749" s="37" t="s">
        <v>100</v>
      </c>
      <c r="E749" s="39" t="n">
        <v>31094</v>
      </c>
      <c r="F749" s="37" t="n">
        <f aca="true">IFERROR(DATEDIF(E749,TODAY(),"Y"),"")</f>
        <v>41</v>
      </c>
      <c r="G749" s="40" t="s">
        <v>3478</v>
      </c>
      <c r="H749" s="40" t="s">
        <v>3479</v>
      </c>
      <c r="I749" s="38" t="s">
        <v>3480</v>
      </c>
      <c r="J749" s="38" t="s">
        <v>15</v>
      </c>
      <c r="K749" s="38" t="s">
        <v>3481</v>
      </c>
      <c r="L749" s="38" t="s">
        <v>55</v>
      </c>
      <c r="M749" s="37"/>
      <c r="N749" s="39" t="n">
        <v>40505</v>
      </c>
      <c r="O749" s="41" t="s">
        <v>23</v>
      </c>
      <c r="P749" s="41" t="s">
        <v>105</v>
      </c>
      <c r="Q749" s="42"/>
      <c r="R749" s="41"/>
      <c r="S749" s="42"/>
      <c r="T749" s="41"/>
    </row>
    <row r="750" customFormat="false" ht="13.5" hidden="false" customHeight="true" outlineLevel="0" collapsed="false">
      <c r="A750" s="37" t="n">
        <v>747</v>
      </c>
      <c r="B750" s="37" t="n">
        <v>2895</v>
      </c>
      <c r="C750" s="38" t="s">
        <v>3482</v>
      </c>
      <c r="D750" s="37" t="s">
        <v>100</v>
      </c>
      <c r="E750" s="39" t="n">
        <v>21702</v>
      </c>
      <c r="F750" s="37" t="n">
        <f aca="true">IFERROR(DATEDIF(E750,TODAY(),"Y"),"")</f>
        <v>67</v>
      </c>
      <c r="G750" s="40" t="s">
        <v>3483</v>
      </c>
      <c r="H750" s="40" t="s">
        <v>3484</v>
      </c>
      <c r="I750" s="38"/>
      <c r="J750" s="38" t="s">
        <v>15</v>
      </c>
      <c r="K750" s="38" t="s">
        <v>3485</v>
      </c>
      <c r="L750" s="38" t="s">
        <v>47</v>
      </c>
      <c r="M750" s="37"/>
      <c r="N750" s="39" t="n">
        <v>40502</v>
      </c>
      <c r="O750" s="41" t="s">
        <v>23</v>
      </c>
      <c r="P750" s="41" t="s">
        <v>105</v>
      </c>
      <c r="Q750" s="42"/>
      <c r="R750" s="41"/>
      <c r="S750" s="42"/>
      <c r="T750" s="41"/>
    </row>
    <row r="751" customFormat="false" ht="13.5" hidden="false" customHeight="true" outlineLevel="0" collapsed="false">
      <c r="A751" s="37" t="n">
        <v>748</v>
      </c>
      <c r="B751" s="37" t="n">
        <v>2896</v>
      </c>
      <c r="C751" s="38" t="s">
        <v>3486</v>
      </c>
      <c r="D751" s="37" t="s">
        <v>100</v>
      </c>
      <c r="E751" s="39" t="n">
        <v>26988</v>
      </c>
      <c r="F751" s="37" t="n">
        <f aca="true">IFERROR(DATEDIF(E751,TODAY(),"Y"),"")</f>
        <v>52</v>
      </c>
      <c r="G751" s="40" t="s">
        <v>3487</v>
      </c>
      <c r="H751" s="40" t="s">
        <v>3488</v>
      </c>
      <c r="I751" s="38" t="s">
        <v>3489</v>
      </c>
      <c r="J751" s="38" t="s">
        <v>15</v>
      </c>
      <c r="K751" s="38" t="s">
        <v>3490</v>
      </c>
      <c r="L751" s="38" t="s">
        <v>47</v>
      </c>
      <c r="M751" s="37" t="s">
        <v>120</v>
      </c>
      <c r="N751" s="39" t="n">
        <v>40530</v>
      </c>
      <c r="O751" s="41" t="s">
        <v>23</v>
      </c>
      <c r="P751" s="41" t="s">
        <v>105</v>
      </c>
      <c r="Q751" s="42"/>
      <c r="R751" s="41"/>
      <c r="S751" s="42"/>
      <c r="T751" s="41"/>
    </row>
    <row r="752" customFormat="false" ht="13.5" hidden="false" customHeight="true" outlineLevel="0" collapsed="false">
      <c r="A752" s="37" t="n">
        <v>749</v>
      </c>
      <c r="B752" s="37" t="n">
        <v>2897</v>
      </c>
      <c r="C752" s="38" t="s">
        <v>3491</v>
      </c>
      <c r="D752" s="37" t="s">
        <v>100</v>
      </c>
      <c r="E752" s="39" t="n">
        <v>25716</v>
      </c>
      <c r="F752" s="37" t="n">
        <f aca="true">IFERROR(DATEDIF(E752,TODAY(),"Y"),"")</f>
        <v>56</v>
      </c>
      <c r="G752" s="40" t="s">
        <v>3492</v>
      </c>
      <c r="H752" s="40" t="s">
        <v>3493</v>
      </c>
      <c r="I752" s="38" t="s">
        <v>3494</v>
      </c>
      <c r="J752" s="38" t="s">
        <v>16</v>
      </c>
      <c r="K752" s="38" t="s">
        <v>3495</v>
      </c>
      <c r="L752" s="38" t="s">
        <v>55</v>
      </c>
      <c r="M752" s="37"/>
      <c r="N752" s="39" t="n">
        <v>40533</v>
      </c>
      <c r="O752" s="41" t="s">
        <v>23</v>
      </c>
      <c r="P752" s="41" t="s">
        <v>105</v>
      </c>
      <c r="Q752" s="42"/>
      <c r="R752" s="41"/>
      <c r="S752" s="42"/>
      <c r="T752" s="41"/>
    </row>
    <row r="753" customFormat="false" ht="13.5" hidden="false" customHeight="true" outlineLevel="0" collapsed="false">
      <c r="A753" s="37" t="n">
        <v>750</v>
      </c>
      <c r="B753" s="37" t="n">
        <v>2898</v>
      </c>
      <c r="C753" s="38" t="s">
        <v>3496</v>
      </c>
      <c r="D753" s="37" t="s">
        <v>100</v>
      </c>
      <c r="E753" s="39" t="n">
        <v>23435</v>
      </c>
      <c r="F753" s="37" t="n">
        <f aca="true">IFERROR(DATEDIF(E753,TODAY(),"Y"),"")</f>
        <v>62</v>
      </c>
      <c r="G753" s="40" t="s">
        <v>3497</v>
      </c>
      <c r="H753" s="40"/>
      <c r="I753" s="38" t="s">
        <v>3498</v>
      </c>
      <c r="J753" s="38" t="s">
        <v>15</v>
      </c>
      <c r="K753" s="38" t="s">
        <v>3499</v>
      </c>
      <c r="L753" s="38" t="s">
        <v>53</v>
      </c>
      <c r="M753" s="37"/>
      <c r="N753" s="39" t="n">
        <v>40535</v>
      </c>
      <c r="O753" s="41" t="s">
        <v>23</v>
      </c>
      <c r="P753" s="41" t="s">
        <v>105</v>
      </c>
      <c r="Q753" s="42"/>
      <c r="R753" s="41"/>
      <c r="S753" s="42"/>
      <c r="T753" s="41"/>
    </row>
    <row r="754" customFormat="false" ht="13.5" hidden="false" customHeight="true" outlineLevel="0" collapsed="false">
      <c r="A754" s="37" t="n">
        <v>751</v>
      </c>
      <c r="B754" s="37" t="n">
        <v>2899</v>
      </c>
      <c r="C754" s="38" t="s">
        <v>3500</v>
      </c>
      <c r="D754" s="37" t="s">
        <v>100</v>
      </c>
      <c r="E754" s="39" t="n">
        <v>24615</v>
      </c>
      <c r="F754" s="37" t="n">
        <f aca="true">IFERROR(DATEDIF(E754,TODAY(),"Y"),"")</f>
        <v>59</v>
      </c>
      <c r="G754" s="40" t="s">
        <v>3501</v>
      </c>
      <c r="H754" s="40"/>
      <c r="I754" s="38" t="s">
        <v>3502</v>
      </c>
      <c r="J754" s="38" t="s">
        <v>15</v>
      </c>
      <c r="K754" s="38" t="s">
        <v>3503</v>
      </c>
      <c r="L754" s="38" t="s">
        <v>54</v>
      </c>
      <c r="M754" s="37"/>
      <c r="N754" s="39" t="n">
        <v>40535</v>
      </c>
      <c r="O754" s="41" t="s">
        <v>23</v>
      </c>
      <c r="P754" s="41" t="s">
        <v>105</v>
      </c>
      <c r="Q754" s="42"/>
      <c r="R754" s="41"/>
      <c r="S754" s="42"/>
      <c r="T754" s="41"/>
    </row>
    <row r="755" customFormat="false" ht="13.5" hidden="false" customHeight="true" outlineLevel="0" collapsed="false">
      <c r="A755" s="37" t="n">
        <v>752</v>
      </c>
      <c r="B755" s="37" t="n">
        <v>2901</v>
      </c>
      <c r="C755" s="38" t="s">
        <v>3504</v>
      </c>
      <c r="D755" s="37" t="s">
        <v>100</v>
      </c>
      <c r="E755" s="39" t="n">
        <v>23151</v>
      </c>
      <c r="F755" s="37" t="n">
        <f aca="true">IFERROR(DATEDIF(E755,TODAY(),"Y"),"")</f>
        <v>63</v>
      </c>
      <c r="G755" s="40" t="s">
        <v>3505</v>
      </c>
      <c r="H755" s="40" t="s">
        <v>3506</v>
      </c>
      <c r="I755" s="38" t="s">
        <v>3507</v>
      </c>
      <c r="J755" s="38" t="s">
        <v>15</v>
      </c>
      <c r="K755" s="38" t="s">
        <v>3508</v>
      </c>
      <c r="L755" s="38" t="s">
        <v>54</v>
      </c>
      <c r="M755" s="37" t="s">
        <v>120</v>
      </c>
      <c r="N755" s="39" t="n">
        <v>40542</v>
      </c>
      <c r="O755" s="41" t="s">
        <v>23</v>
      </c>
      <c r="P755" s="41" t="s">
        <v>105</v>
      </c>
      <c r="Q755" s="42"/>
      <c r="R755" s="41"/>
      <c r="S755" s="42"/>
      <c r="T755" s="41"/>
    </row>
    <row r="756" customFormat="false" ht="13.5" hidden="false" customHeight="true" outlineLevel="0" collapsed="false">
      <c r="A756" s="37" t="n">
        <v>753</v>
      </c>
      <c r="B756" s="37" t="n">
        <v>2902</v>
      </c>
      <c r="C756" s="38" t="s">
        <v>3509</v>
      </c>
      <c r="D756" s="37" t="s">
        <v>100</v>
      </c>
      <c r="E756" s="39" t="n">
        <v>25348</v>
      </c>
      <c r="F756" s="37" t="n">
        <f aca="true">IFERROR(DATEDIF(E756,TODAY(),"Y"),"")</f>
        <v>57</v>
      </c>
      <c r="G756" s="40" t="s">
        <v>3510</v>
      </c>
      <c r="H756" s="40" t="s">
        <v>3511</v>
      </c>
      <c r="I756" s="38" t="s">
        <v>3512</v>
      </c>
      <c r="J756" s="38" t="s">
        <v>15</v>
      </c>
      <c r="K756" s="38" t="s">
        <v>3513</v>
      </c>
      <c r="L756" s="38" t="s">
        <v>46</v>
      </c>
      <c r="M756" s="37" t="s">
        <v>177</v>
      </c>
      <c r="N756" s="39" t="n">
        <v>40542</v>
      </c>
      <c r="O756" s="41" t="s">
        <v>23</v>
      </c>
      <c r="P756" s="41" t="s">
        <v>105</v>
      </c>
      <c r="Q756" s="42"/>
      <c r="R756" s="41"/>
      <c r="S756" s="42"/>
      <c r="T756" s="41"/>
    </row>
    <row r="757" customFormat="false" ht="13.5" hidden="false" customHeight="true" outlineLevel="0" collapsed="false">
      <c r="A757" s="37" t="n">
        <v>754</v>
      </c>
      <c r="B757" s="37" t="n">
        <v>2905</v>
      </c>
      <c r="C757" s="38" t="s">
        <v>3514</v>
      </c>
      <c r="D757" s="37" t="s">
        <v>100</v>
      </c>
      <c r="E757" s="39" t="n">
        <v>26319</v>
      </c>
      <c r="F757" s="37" t="n">
        <f aca="true">IFERROR(DATEDIF(E757,TODAY(),"Y"),"")</f>
        <v>54</v>
      </c>
      <c r="G757" s="40" t="s">
        <v>3515</v>
      </c>
      <c r="H757" s="40" t="s">
        <v>3516</v>
      </c>
      <c r="I757" s="38" t="s">
        <v>3517</v>
      </c>
      <c r="J757" s="38" t="s">
        <v>15</v>
      </c>
      <c r="K757" s="38" t="s">
        <v>3518</v>
      </c>
      <c r="L757" s="38" t="s">
        <v>49</v>
      </c>
      <c r="M757" s="37"/>
      <c r="N757" s="39" t="n">
        <v>38520</v>
      </c>
      <c r="O757" s="41" t="s">
        <v>23</v>
      </c>
      <c r="P757" s="41" t="s">
        <v>105</v>
      </c>
      <c r="Q757" s="42"/>
      <c r="R757" s="41"/>
      <c r="S757" s="42"/>
      <c r="T757" s="41"/>
    </row>
    <row r="758" customFormat="false" ht="13.5" hidden="false" customHeight="true" outlineLevel="0" collapsed="false">
      <c r="A758" s="37" t="n">
        <v>755</v>
      </c>
      <c r="B758" s="37" t="n">
        <v>2906</v>
      </c>
      <c r="C758" s="38" t="s">
        <v>3519</v>
      </c>
      <c r="D758" s="37" t="s">
        <v>100</v>
      </c>
      <c r="E758" s="39" t="n">
        <v>27635</v>
      </c>
      <c r="F758" s="37" t="n">
        <f aca="true">IFERROR(DATEDIF(E758,TODAY(),"Y"),"")</f>
        <v>50</v>
      </c>
      <c r="G758" s="40" t="s">
        <v>3520</v>
      </c>
      <c r="H758" s="40" t="s">
        <v>3521</v>
      </c>
      <c r="I758" s="38" t="s">
        <v>3522</v>
      </c>
      <c r="J758" s="38" t="s">
        <v>16</v>
      </c>
      <c r="K758" s="38" t="s">
        <v>3523</v>
      </c>
      <c r="L758" s="38" t="s">
        <v>48</v>
      </c>
      <c r="M758" s="37" t="s">
        <v>120</v>
      </c>
      <c r="N758" s="39" t="n">
        <v>40548</v>
      </c>
      <c r="O758" s="41" t="s">
        <v>23</v>
      </c>
      <c r="P758" s="41" t="s">
        <v>105</v>
      </c>
      <c r="Q758" s="42"/>
      <c r="R758" s="41"/>
      <c r="S758" s="42"/>
      <c r="T758" s="41"/>
    </row>
    <row r="759" customFormat="false" ht="13.5" hidden="false" customHeight="true" outlineLevel="0" collapsed="false">
      <c r="A759" s="37" t="n">
        <v>756</v>
      </c>
      <c r="B759" s="37" t="n">
        <v>2907</v>
      </c>
      <c r="C759" s="38" t="s">
        <v>3524</v>
      </c>
      <c r="D759" s="37" t="s">
        <v>100</v>
      </c>
      <c r="E759" s="39" t="n">
        <v>23518</v>
      </c>
      <c r="F759" s="37" t="n">
        <f aca="true">IFERROR(DATEDIF(E759,TODAY(),"Y"),"")</f>
        <v>62</v>
      </c>
      <c r="G759" s="40" t="s">
        <v>3525</v>
      </c>
      <c r="H759" s="40"/>
      <c r="I759" s="38" t="s">
        <v>3526</v>
      </c>
      <c r="J759" s="38" t="s">
        <v>16</v>
      </c>
      <c r="K759" s="38" t="s">
        <v>3527</v>
      </c>
      <c r="L759" s="38" t="s">
        <v>48</v>
      </c>
      <c r="M759" s="37" t="s">
        <v>177</v>
      </c>
      <c r="N759" s="39" t="n">
        <v>40549</v>
      </c>
      <c r="O759" s="41" t="s">
        <v>23</v>
      </c>
      <c r="P759" s="41" t="s">
        <v>105</v>
      </c>
      <c r="Q759" s="42"/>
      <c r="R759" s="41"/>
      <c r="S759" s="42"/>
      <c r="T759" s="41"/>
    </row>
    <row r="760" customFormat="false" ht="13.5" hidden="false" customHeight="true" outlineLevel="0" collapsed="false">
      <c r="A760" s="37" t="n">
        <v>757</v>
      </c>
      <c r="B760" s="37" t="n">
        <v>2909</v>
      </c>
      <c r="C760" s="38" t="s">
        <v>3528</v>
      </c>
      <c r="D760" s="37" t="s">
        <v>100</v>
      </c>
      <c r="E760" s="39" t="n">
        <v>24237</v>
      </c>
      <c r="F760" s="37" t="n">
        <f aca="true">IFERROR(DATEDIF(E760,TODAY(),"Y"),"")</f>
        <v>60</v>
      </c>
      <c r="G760" s="40" t="s">
        <v>3529</v>
      </c>
      <c r="H760" s="40" t="s">
        <v>3530</v>
      </c>
      <c r="I760" s="38" t="s">
        <v>3531</v>
      </c>
      <c r="J760" s="38" t="s">
        <v>15</v>
      </c>
      <c r="K760" s="38" t="s">
        <v>3532</v>
      </c>
      <c r="L760" s="38" t="s">
        <v>55</v>
      </c>
      <c r="M760" s="37"/>
      <c r="N760" s="39" t="n">
        <v>40555</v>
      </c>
      <c r="O760" s="41" t="s">
        <v>23</v>
      </c>
      <c r="P760" s="41" t="s">
        <v>105</v>
      </c>
      <c r="Q760" s="42"/>
      <c r="R760" s="41"/>
      <c r="S760" s="42"/>
      <c r="T760" s="41"/>
    </row>
    <row r="761" customFormat="false" ht="13.5" hidden="false" customHeight="true" outlineLevel="0" collapsed="false">
      <c r="A761" s="37" t="n">
        <v>758</v>
      </c>
      <c r="B761" s="37" t="n">
        <v>2911</v>
      </c>
      <c r="C761" s="38" t="s">
        <v>3533</v>
      </c>
      <c r="D761" s="37" t="s">
        <v>100</v>
      </c>
      <c r="E761" s="39" t="n">
        <v>26728</v>
      </c>
      <c r="F761" s="37" t="n">
        <f aca="true">IFERROR(DATEDIF(E761,TODAY(),"Y"),"")</f>
        <v>53</v>
      </c>
      <c r="G761" s="40" t="s">
        <v>3534</v>
      </c>
      <c r="H761" s="40" t="s">
        <v>3535</v>
      </c>
      <c r="I761" s="38" t="s">
        <v>3536</v>
      </c>
      <c r="J761" s="38" t="s">
        <v>16</v>
      </c>
      <c r="K761" s="38" t="s">
        <v>3537</v>
      </c>
      <c r="L761" s="38" t="s">
        <v>46</v>
      </c>
      <c r="M761" s="37"/>
      <c r="N761" s="39" t="n">
        <v>40556</v>
      </c>
      <c r="O761" s="41" t="s">
        <v>23</v>
      </c>
      <c r="P761" s="41" t="s">
        <v>105</v>
      </c>
      <c r="Q761" s="42"/>
      <c r="R761" s="41"/>
      <c r="S761" s="42"/>
      <c r="T761" s="41"/>
    </row>
    <row r="762" customFormat="false" ht="13.5" hidden="false" customHeight="true" outlineLevel="0" collapsed="false">
      <c r="A762" s="37" t="n">
        <v>759</v>
      </c>
      <c r="B762" s="37" t="n">
        <v>2912</v>
      </c>
      <c r="C762" s="38" t="s">
        <v>3538</v>
      </c>
      <c r="D762" s="37" t="s">
        <v>100</v>
      </c>
      <c r="E762" s="39" t="n">
        <v>22078</v>
      </c>
      <c r="F762" s="37" t="n">
        <f aca="true">IFERROR(DATEDIF(E762,TODAY(),"Y"),"")</f>
        <v>66</v>
      </c>
      <c r="G762" s="40" t="s">
        <v>3539</v>
      </c>
      <c r="H762" s="40" t="s">
        <v>3540</v>
      </c>
      <c r="I762" s="38" t="s">
        <v>3541</v>
      </c>
      <c r="J762" s="38" t="s">
        <v>22</v>
      </c>
      <c r="K762" s="38" t="s">
        <v>3542</v>
      </c>
      <c r="L762" s="38" t="s">
        <v>46</v>
      </c>
      <c r="M762" s="37" t="s">
        <v>120</v>
      </c>
      <c r="N762" s="39" t="n">
        <v>29221</v>
      </c>
      <c r="O762" s="41" t="s">
        <v>23</v>
      </c>
      <c r="P762" s="41" t="s">
        <v>105</v>
      </c>
      <c r="Q762" s="42"/>
      <c r="R762" s="41"/>
      <c r="S762" s="42"/>
      <c r="T762" s="41"/>
    </row>
    <row r="763" customFormat="false" ht="13.5" hidden="false" customHeight="true" outlineLevel="0" collapsed="false">
      <c r="A763" s="37" t="n">
        <v>760</v>
      </c>
      <c r="B763" s="37" t="n">
        <v>2913</v>
      </c>
      <c r="C763" s="38" t="s">
        <v>3543</v>
      </c>
      <c r="D763" s="37" t="s">
        <v>100</v>
      </c>
      <c r="E763" s="39" t="n">
        <v>29002</v>
      </c>
      <c r="F763" s="37" t="n">
        <f aca="true">IFERROR(DATEDIF(E763,TODAY(),"Y"),"")</f>
        <v>47</v>
      </c>
      <c r="G763" s="40" t="s">
        <v>3544</v>
      </c>
      <c r="H763" s="40"/>
      <c r="I763" s="38" t="s">
        <v>3545</v>
      </c>
      <c r="J763" s="38" t="s">
        <v>22</v>
      </c>
      <c r="K763" s="38" t="s">
        <v>3546</v>
      </c>
      <c r="L763" s="38" t="s">
        <v>46</v>
      </c>
      <c r="M763" s="37"/>
      <c r="N763" s="39" t="n">
        <v>38520</v>
      </c>
      <c r="O763" s="41" t="s">
        <v>23</v>
      </c>
      <c r="P763" s="41" t="s">
        <v>105</v>
      </c>
      <c r="Q763" s="42"/>
      <c r="R763" s="41"/>
      <c r="S763" s="42"/>
      <c r="T763" s="41"/>
    </row>
    <row r="764" customFormat="false" ht="13.5" hidden="false" customHeight="true" outlineLevel="0" collapsed="false">
      <c r="A764" s="37" t="n">
        <v>761</v>
      </c>
      <c r="B764" s="37" t="n">
        <v>2914</v>
      </c>
      <c r="C764" s="38" t="s">
        <v>3547</v>
      </c>
      <c r="D764" s="37" t="s">
        <v>100</v>
      </c>
      <c r="E764" s="39" t="n">
        <v>24981</v>
      </c>
      <c r="F764" s="37" t="n">
        <f aca="true">IFERROR(DATEDIF(E764,TODAY(),"Y"),"")</f>
        <v>58</v>
      </c>
      <c r="G764" s="40" t="s">
        <v>3548</v>
      </c>
      <c r="H764" s="40"/>
      <c r="I764" s="38" t="s">
        <v>3549</v>
      </c>
      <c r="J764" s="38" t="s">
        <v>18</v>
      </c>
      <c r="K764" s="38" t="s">
        <v>3550</v>
      </c>
      <c r="L764" s="38" t="s">
        <v>53</v>
      </c>
      <c r="M764" s="37" t="s">
        <v>120</v>
      </c>
      <c r="N764" s="39" t="n">
        <v>40597</v>
      </c>
      <c r="O764" s="41" t="s">
        <v>23</v>
      </c>
      <c r="P764" s="41" t="s">
        <v>105</v>
      </c>
      <c r="Q764" s="42"/>
      <c r="R764" s="41"/>
      <c r="S764" s="42"/>
      <c r="T764" s="41"/>
    </row>
    <row r="765" customFormat="false" ht="13.5" hidden="false" customHeight="true" outlineLevel="0" collapsed="false">
      <c r="A765" s="37" t="n">
        <v>762</v>
      </c>
      <c r="B765" s="37" t="n">
        <v>2915</v>
      </c>
      <c r="C765" s="38" t="s">
        <v>3551</v>
      </c>
      <c r="D765" s="37" t="s">
        <v>100</v>
      </c>
      <c r="E765" s="39" t="n">
        <v>22064</v>
      </c>
      <c r="F765" s="37" t="n">
        <f aca="true">IFERROR(DATEDIF(E765,TODAY(),"Y"),"")</f>
        <v>66</v>
      </c>
      <c r="G765" s="40" t="s">
        <v>3552</v>
      </c>
      <c r="H765" s="40" t="s">
        <v>3553</v>
      </c>
      <c r="I765" s="38" t="s">
        <v>3554</v>
      </c>
      <c r="J765" s="38" t="s">
        <v>16</v>
      </c>
      <c r="K765" s="38" t="s">
        <v>3555</v>
      </c>
      <c r="L765" s="38" t="s">
        <v>44</v>
      </c>
      <c r="M765" s="37" t="s">
        <v>104</v>
      </c>
      <c r="N765" s="39" t="n">
        <v>40597</v>
      </c>
      <c r="O765" s="41" t="s">
        <v>23</v>
      </c>
      <c r="P765" s="41" t="s">
        <v>105</v>
      </c>
      <c r="Q765" s="42"/>
      <c r="R765" s="41"/>
      <c r="S765" s="42"/>
      <c r="T765" s="41"/>
    </row>
    <row r="766" customFormat="false" ht="13.5" hidden="false" customHeight="true" outlineLevel="0" collapsed="false">
      <c r="A766" s="37" t="n">
        <v>763</v>
      </c>
      <c r="B766" s="37" t="n">
        <v>2916</v>
      </c>
      <c r="C766" s="38" t="s">
        <v>3556</v>
      </c>
      <c r="D766" s="37" t="s">
        <v>100</v>
      </c>
      <c r="E766" s="39" t="n">
        <v>30443</v>
      </c>
      <c r="F766" s="37" t="n">
        <f aca="true">IFERROR(DATEDIF(E766,TODAY(),"Y"),"")</f>
        <v>43</v>
      </c>
      <c r="G766" s="40" t="s">
        <v>3557</v>
      </c>
      <c r="H766" s="40" t="s">
        <v>3558</v>
      </c>
      <c r="I766" s="38" t="s">
        <v>3559</v>
      </c>
      <c r="J766" s="38" t="s">
        <v>16</v>
      </c>
      <c r="K766" s="38" t="s">
        <v>3560</v>
      </c>
      <c r="L766" s="38" t="s">
        <v>46</v>
      </c>
      <c r="M766" s="37" t="s">
        <v>104</v>
      </c>
      <c r="N766" s="39" t="n">
        <v>40597</v>
      </c>
      <c r="O766" s="41" t="s">
        <v>23</v>
      </c>
      <c r="P766" s="41" t="s">
        <v>105</v>
      </c>
      <c r="Q766" s="42"/>
      <c r="R766" s="41"/>
      <c r="S766" s="42"/>
      <c r="T766" s="41"/>
    </row>
    <row r="767" customFormat="false" ht="13.5" hidden="false" customHeight="true" outlineLevel="0" collapsed="false">
      <c r="A767" s="37" t="n">
        <v>764</v>
      </c>
      <c r="B767" s="37" t="n">
        <v>2917</v>
      </c>
      <c r="C767" s="38" t="s">
        <v>3561</v>
      </c>
      <c r="D767" s="37" t="s">
        <v>100</v>
      </c>
      <c r="E767" s="39" t="n">
        <v>25329</v>
      </c>
      <c r="F767" s="37" t="n">
        <f aca="true">IFERROR(DATEDIF(E767,TODAY(),"Y"),"")</f>
        <v>57</v>
      </c>
      <c r="G767" s="40" t="s">
        <v>3562</v>
      </c>
      <c r="H767" s="40" t="s">
        <v>3563</v>
      </c>
      <c r="I767" s="38" t="s">
        <v>3564</v>
      </c>
      <c r="J767" s="38" t="s">
        <v>15</v>
      </c>
      <c r="K767" s="38" t="s">
        <v>3565</v>
      </c>
      <c r="L767" s="38" t="s">
        <v>51</v>
      </c>
      <c r="M767" s="37"/>
      <c r="N767" s="39" t="n">
        <v>40597</v>
      </c>
      <c r="O767" s="41" t="s">
        <v>23</v>
      </c>
      <c r="P767" s="41" t="s">
        <v>105</v>
      </c>
      <c r="Q767" s="42"/>
      <c r="R767" s="41"/>
      <c r="S767" s="42"/>
      <c r="T767" s="41"/>
    </row>
    <row r="768" customFormat="false" ht="13.5" hidden="false" customHeight="true" outlineLevel="0" collapsed="false">
      <c r="A768" s="37" t="n">
        <v>765</v>
      </c>
      <c r="B768" s="37" t="n">
        <v>2918</v>
      </c>
      <c r="C768" s="38" t="s">
        <v>3566</v>
      </c>
      <c r="D768" s="37" t="s">
        <v>100</v>
      </c>
      <c r="E768" s="39" t="n">
        <v>29000</v>
      </c>
      <c r="F768" s="37" t="n">
        <f aca="true">IFERROR(DATEDIF(E768,TODAY(),"Y"),"")</f>
        <v>47</v>
      </c>
      <c r="G768" s="40" t="s">
        <v>3567</v>
      </c>
      <c r="H768" s="40" t="s">
        <v>3568</v>
      </c>
      <c r="I768" s="38" t="s">
        <v>3569</v>
      </c>
      <c r="J768" s="38" t="s">
        <v>22</v>
      </c>
      <c r="K768" s="38" t="s">
        <v>3570</v>
      </c>
      <c r="L768" s="38" t="s">
        <v>52</v>
      </c>
      <c r="M768" s="37" t="s">
        <v>177</v>
      </c>
      <c r="N768" s="39" t="n">
        <v>40601</v>
      </c>
      <c r="O768" s="41" t="s">
        <v>23</v>
      </c>
      <c r="P768" s="41" t="s">
        <v>105</v>
      </c>
      <c r="Q768" s="42"/>
      <c r="R768" s="41"/>
      <c r="S768" s="42"/>
      <c r="T768" s="41"/>
    </row>
    <row r="769" customFormat="false" ht="13.5" hidden="false" customHeight="true" outlineLevel="0" collapsed="false">
      <c r="A769" s="37" t="n">
        <v>766</v>
      </c>
      <c r="B769" s="37" t="n">
        <v>2920</v>
      </c>
      <c r="C769" s="38" t="s">
        <v>3571</v>
      </c>
      <c r="D769" s="37" t="s">
        <v>100</v>
      </c>
      <c r="E769" s="39" t="n">
        <v>22372</v>
      </c>
      <c r="F769" s="37" t="n">
        <f aca="true">IFERROR(DATEDIF(E769,TODAY(),"Y"),"")</f>
        <v>65</v>
      </c>
      <c r="G769" s="40" t="s">
        <v>3572</v>
      </c>
      <c r="H769" s="40" t="s">
        <v>3573</v>
      </c>
      <c r="I769" s="38" t="s">
        <v>3574</v>
      </c>
      <c r="J769" s="38" t="s">
        <v>15</v>
      </c>
      <c r="K769" s="38" t="s">
        <v>3575</v>
      </c>
      <c r="L769" s="38" t="s">
        <v>51</v>
      </c>
      <c r="M769" s="37" t="s">
        <v>177</v>
      </c>
      <c r="N769" s="39" t="n">
        <v>40605</v>
      </c>
      <c r="O769" s="41" t="s">
        <v>23</v>
      </c>
      <c r="P769" s="41" t="s">
        <v>105</v>
      </c>
      <c r="Q769" s="42"/>
      <c r="R769" s="41"/>
      <c r="S769" s="42"/>
      <c r="T769" s="41"/>
    </row>
    <row r="770" customFormat="false" ht="13.5" hidden="false" customHeight="true" outlineLevel="0" collapsed="false">
      <c r="A770" s="37" t="n">
        <v>767</v>
      </c>
      <c r="B770" s="37" t="n">
        <v>2922</v>
      </c>
      <c r="C770" s="38" t="s">
        <v>3576</v>
      </c>
      <c r="D770" s="37" t="s">
        <v>100</v>
      </c>
      <c r="E770" s="39" t="n">
        <v>25351</v>
      </c>
      <c r="F770" s="37" t="n">
        <f aca="true">IFERROR(DATEDIF(E770,TODAY(),"Y"),"")</f>
        <v>57</v>
      </c>
      <c r="G770" s="40" t="s">
        <v>3577</v>
      </c>
      <c r="H770" s="40" t="s">
        <v>3578</v>
      </c>
      <c r="I770" s="38" t="s">
        <v>3579</v>
      </c>
      <c r="J770" s="38" t="s">
        <v>15</v>
      </c>
      <c r="K770" s="38" t="s">
        <v>3580</v>
      </c>
      <c r="L770" s="38" t="s">
        <v>46</v>
      </c>
      <c r="M770" s="37" t="s">
        <v>177</v>
      </c>
      <c r="N770" s="39" t="n">
        <v>40609</v>
      </c>
      <c r="O770" s="41" t="s">
        <v>23</v>
      </c>
      <c r="P770" s="41" t="s">
        <v>105</v>
      </c>
      <c r="Q770" s="42"/>
      <c r="R770" s="41"/>
      <c r="S770" s="42"/>
      <c r="T770" s="41"/>
    </row>
    <row r="771" customFormat="false" ht="13.5" hidden="false" customHeight="true" outlineLevel="0" collapsed="false">
      <c r="A771" s="37" t="n">
        <v>768</v>
      </c>
      <c r="B771" s="37" t="n">
        <v>2923</v>
      </c>
      <c r="C771" s="38" t="s">
        <v>3581</v>
      </c>
      <c r="D771" s="37" t="s">
        <v>100</v>
      </c>
      <c r="E771" s="39" t="n">
        <v>24970</v>
      </c>
      <c r="F771" s="37" t="n">
        <f aca="true">IFERROR(DATEDIF(E771,TODAY(),"Y"),"")</f>
        <v>58</v>
      </c>
      <c r="G771" s="40" t="s">
        <v>3582</v>
      </c>
      <c r="H771" s="40"/>
      <c r="I771" s="38"/>
      <c r="J771" s="38" t="s">
        <v>15</v>
      </c>
      <c r="K771" s="38" t="s">
        <v>3583</v>
      </c>
      <c r="L771" s="38" t="s">
        <v>51</v>
      </c>
      <c r="M771" s="37" t="s">
        <v>120</v>
      </c>
      <c r="N771" s="39" t="n">
        <v>40610</v>
      </c>
      <c r="O771" s="41" t="s">
        <v>23</v>
      </c>
      <c r="P771" s="41" t="s">
        <v>105</v>
      </c>
      <c r="Q771" s="42"/>
      <c r="R771" s="41"/>
      <c r="S771" s="42"/>
      <c r="T771" s="41"/>
    </row>
    <row r="772" customFormat="false" ht="13.5" hidden="false" customHeight="true" outlineLevel="0" collapsed="false">
      <c r="A772" s="37" t="n">
        <v>769</v>
      </c>
      <c r="B772" s="37" t="n">
        <v>2924</v>
      </c>
      <c r="C772" s="38" t="s">
        <v>3584</v>
      </c>
      <c r="D772" s="37" t="s">
        <v>100</v>
      </c>
      <c r="E772" s="39" t="n">
        <v>27179</v>
      </c>
      <c r="F772" s="37" t="n">
        <f aca="true">IFERROR(DATEDIF(E772,TODAY(),"Y"),"")</f>
        <v>52</v>
      </c>
      <c r="G772" s="40" t="s">
        <v>3585</v>
      </c>
      <c r="H772" s="40"/>
      <c r="I772" s="38" t="s">
        <v>3586</v>
      </c>
      <c r="J772" s="38" t="s">
        <v>15</v>
      </c>
      <c r="K772" s="38" t="s">
        <v>3587</v>
      </c>
      <c r="L772" s="38" t="s">
        <v>54</v>
      </c>
      <c r="M772" s="37"/>
      <c r="N772" s="39" t="n">
        <v>40610</v>
      </c>
      <c r="O772" s="41" t="s">
        <v>23</v>
      </c>
      <c r="P772" s="41" t="s">
        <v>105</v>
      </c>
      <c r="Q772" s="42"/>
      <c r="R772" s="41"/>
      <c r="S772" s="42"/>
      <c r="T772" s="41"/>
    </row>
    <row r="773" customFormat="false" ht="13.5" hidden="false" customHeight="true" outlineLevel="0" collapsed="false">
      <c r="A773" s="37" t="n">
        <v>770</v>
      </c>
      <c r="B773" s="37" t="n">
        <v>2926</v>
      </c>
      <c r="C773" s="38" t="s">
        <v>3588</v>
      </c>
      <c r="D773" s="37" t="s">
        <v>100</v>
      </c>
      <c r="E773" s="39" t="n">
        <v>19272</v>
      </c>
      <c r="F773" s="37" t="n">
        <f aca="true">IFERROR(DATEDIF(E773,TODAY(),"Y"),"")</f>
        <v>73</v>
      </c>
      <c r="G773" s="40" t="s">
        <v>3589</v>
      </c>
      <c r="H773" s="40"/>
      <c r="I773" s="38"/>
      <c r="J773" s="38" t="s">
        <v>22</v>
      </c>
      <c r="K773" s="38" t="s">
        <v>3590</v>
      </c>
      <c r="L773" s="38" t="s">
        <v>52</v>
      </c>
      <c r="M773" s="37"/>
      <c r="N773" s="39" t="n">
        <v>40612</v>
      </c>
      <c r="O773" s="41" t="s">
        <v>23</v>
      </c>
      <c r="P773" s="41" t="s">
        <v>105</v>
      </c>
      <c r="Q773" s="42"/>
      <c r="R773" s="41"/>
      <c r="S773" s="42"/>
      <c r="T773" s="41"/>
    </row>
    <row r="774" customFormat="false" ht="13.5" hidden="false" customHeight="true" outlineLevel="0" collapsed="false">
      <c r="A774" s="37" t="n">
        <v>771</v>
      </c>
      <c r="B774" s="37" t="n">
        <v>2929</v>
      </c>
      <c r="C774" s="38" t="s">
        <v>3591</v>
      </c>
      <c r="D774" s="37" t="s">
        <v>100</v>
      </c>
      <c r="E774" s="39" t="n">
        <v>27087</v>
      </c>
      <c r="F774" s="37" t="n">
        <f aca="true">IFERROR(DATEDIF(E774,TODAY(),"Y"),"")</f>
        <v>52</v>
      </c>
      <c r="G774" s="40" t="s">
        <v>3592</v>
      </c>
      <c r="H774" s="40" t="s">
        <v>3593</v>
      </c>
      <c r="I774" s="38" t="s">
        <v>3594</v>
      </c>
      <c r="J774" s="38" t="s">
        <v>15</v>
      </c>
      <c r="K774" s="38" t="s">
        <v>3595</v>
      </c>
      <c r="L774" s="38" t="s">
        <v>55</v>
      </c>
      <c r="M774" s="37" t="s">
        <v>104</v>
      </c>
      <c r="N774" s="39" t="n">
        <v>40621</v>
      </c>
      <c r="O774" s="41" t="s">
        <v>23</v>
      </c>
      <c r="P774" s="41" t="s">
        <v>105</v>
      </c>
      <c r="Q774" s="42"/>
      <c r="R774" s="41"/>
      <c r="S774" s="42"/>
      <c r="T774" s="41"/>
    </row>
    <row r="775" customFormat="false" ht="13.5" hidden="false" customHeight="true" outlineLevel="0" collapsed="false">
      <c r="A775" s="37" t="n">
        <v>772</v>
      </c>
      <c r="B775" s="37" t="n">
        <v>2931</v>
      </c>
      <c r="C775" s="38" t="s">
        <v>3596</v>
      </c>
      <c r="D775" s="37" t="s">
        <v>100</v>
      </c>
      <c r="E775" s="39" t="n">
        <v>27545</v>
      </c>
      <c r="F775" s="37" t="n">
        <f aca="true">IFERROR(DATEDIF(E775,TODAY(),"Y"),"")</f>
        <v>51</v>
      </c>
      <c r="G775" s="40" t="s">
        <v>3597</v>
      </c>
      <c r="H775" s="40" t="s">
        <v>3598</v>
      </c>
      <c r="I775" s="38" t="s">
        <v>3599</v>
      </c>
      <c r="J775" s="38" t="s">
        <v>22</v>
      </c>
      <c r="K775" s="38" t="s">
        <v>3600</v>
      </c>
      <c r="L775" s="38" t="s">
        <v>48</v>
      </c>
      <c r="M775" s="37"/>
      <c r="N775" s="39" t="n">
        <v>40639</v>
      </c>
      <c r="O775" s="41" t="s">
        <v>23</v>
      </c>
      <c r="P775" s="41" t="s">
        <v>105</v>
      </c>
      <c r="Q775" s="42"/>
      <c r="R775" s="41"/>
      <c r="S775" s="42"/>
      <c r="T775" s="41"/>
    </row>
    <row r="776" customFormat="false" ht="13.5" hidden="false" customHeight="true" outlineLevel="0" collapsed="false">
      <c r="A776" s="37" t="n">
        <v>773</v>
      </c>
      <c r="B776" s="37" t="n">
        <v>2932</v>
      </c>
      <c r="C776" s="38" t="s">
        <v>3601</v>
      </c>
      <c r="D776" s="37" t="s">
        <v>100</v>
      </c>
      <c r="E776" s="39" t="n">
        <v>22364</v>
      </c>
      <c r="F776" s="37" t="n">
        <f aca="true">IFERROR(DATEDIF(E776,TODAY(),"Y"),"")</f>
        <v>65</v>
      </c>
      <c r="G776" s="40" t="s">
        <v>3602</v>
      </c>
      <c r="H776" s="40" t="s">
        <v>3603</v>
      </c>
      <c r="I776" s="38" t="s">
        <v>3604</v>
      </c>
      <c r="J776" s="38" t="s">
        <v>16</v>
      </c>
      <c r="K776" s="38" t="s">
        <v>3605</v>
      </c>
      <c r="L776" s="38" t="s">
        <v>47</v>
      </c>
      <c r="M776" s="37"/>
      <c r="N776" s="39" t="n">
        <v>40639</v>
      </c>
      <c r="O776" s="41" t="s">
        <v>23</v>
      </c>
      <c r="P776" s="41" t="s">
        <v>105</v>
      </c>
      <c r="Q776" s="42"/>
      <c r="R776" s="41"/>
      <c r="S776" s="42"/>
      <c r="T776" s="41"/>
    </row>
    <row r="777" customFormat="false" ht="13.5" hidden="false" customHeight="true" outlineLevel="0" collapsed="false">
      <c r="A777" s="37" t="n">
        <v>774</v>
      </c>
      <c r="B777" s="37" t="n">
        <v>2933</v>
      </c>
      <c r="C777" s="38" t="s">
        <v>3606</v>
      </c>
      <c r="D777" s="37" t="s">
        <v>100</v>
      </c>
      <c r="E777" s="39" t="n">
        <v>24612</v>
      </c>
      <c r="F777" s="37" t="n">
        <f aca="true">IFERROR(DATEDIF(E777,TODAY(),"Y"),"")</f>
        <v>59</v>
      </c>
      <c r="G777" s="40" t="s">
        <v>3607</v>
      </c>
      <c r="H777" s="40" t="s">
        <v>3608</v>
      </c>
      <c r="I777" s="38" t="s">
        <v>3609</v>
      </c>
      <c r="J777" s="38" t="s">
        <v>15</v>
      </c>
      <c r="K777" s="38" t="s">
        <v>3610</v>
      </c>
      <c r="L777" s="38" t="s">
        <v>51</v>
      </c>
      <c r="M777" s="37"/>
      <c r="N777" s="39" t="n">
        <v>40639</v>
      </c>
      <c r="O777" s="41" t="s">
        <v>23</v>
      </c>
      <c r="P777" s="41" t="s">
        <v>105</v>
      </c>
      <c r="Q777" s="42"/>
      <c r="R777" s="41"/>
      <c r="S777" s="42"/>
      <c r="T777" s="41"/>
    </row>
    <row r="778" customFormat="false" ht="13.5" hidden="false" customHeight="true" outlineLevel="0" collapsed="false">
      <c r="A778" s="37" t="n">
        <v>775</v>
      </c>
      <c r="B778" s="37" t="n">
        <v>2934</v>
      </c>
      <c r="C778" s="38" t="s">
        <v>3611</v>
      </c>
      <c r="D778" s="37" t="s">
        <v>100</v>
      </c>
      <c r="E778" s="39" t="n">
        <v>23876</v>
      </c>
      <c r="F778" s="37" t="n">
        <f aca="true">IFERROR(DATEDIF(E778,TODAY(),"Y"),"")</f>
        <v>61</v>
      </c>
      <c r="G778" s="40" t="s">
        <v>3612</v>
      </c>
      <c r="H778" s="40"/>
      <c r="I778" s="38" t="s">
        <v>3613</v>
      </c>
      <c r="J778" s="38" t="s">
        <v>16</v>
      </c>
      <c r="K778" s="38" t="s">
        <v>3614</v>
      </c>
      <c r="L778" s="38" t="s">
        <v>55</v>
      </c>
      <c r="M778" s="37" t="s">
        <v>120</v>
      </c>
      <c r="N778" s="39" t="n">
        <v>40639</v>
      </c>
      <c r="O778" s="41" t="s">
        <v>23</v>
      </c>
      <c r="P778" s="41" t="s">
        <v>105</v>
      </c>
      <c r="Q778" s="42"/>
      <c r="R778" s="41"/>
      <c r="S778" s="42"/>
      <c r="T778" s="41"/>
    </row>
    <row r="779" customFormat="false" ht="13.5" hidden="false" customHeight="true" outlineLevel="0" collapsed="false">
      <c r="A779" s="37" t="n">
        <v>776</v>
      </c>
      <c r="B779" s="37" t="n">
        <v>2935</v>
      </c>
      <c r="C779" s="38" t="s">
        <v>3615</v>
      </c>
      <c r="D779" s="37" t="s">
        <v>100</v>
      </c>
      <c r="E779" s="39" t="n">
        <v>23055</v>
      </c>
      <c r="F779" s="37" t="n">
        <f aca="true">IFERROR(DATEDIF(E779,TODAY(),"Y"),"")</f>
        <v>63</v>
      </c>
      <c r="G779" s="40" t="s">
        <v>3616</v>
      </c>
      <c r="H779" s="40"/>
      <c r="I779" s="38" t="s">
        <v>3617</v>
      </c>
      <c r="J779" s="38" t="s">
        <v>16</v>
      </c>
      <c r="K779" s="38" t="s">
        <v>3618</v>
      </c>
      <c r="L779" s="38" t="s">
        <v>47</v>
      </c>
      <c r="M779" s="37"/>
      <c r="N779" s="39" t="n">
        <v>40639</v>
      </c>
      <c r="O779" s="41" t="s">
        <v>23</v>
      </c>
      <c r="P779" s="41" t="s">
        <v>105</v>
      </c>
      <c r="Q779" s="42"/>
      <c r="R779" s="41"/>
      <c r="S779" s="42"/>
      <c r="T779" s="41"/>
    </row>
    <row r="780" customFormat="false" ht="13.5" hidden="false" customHeight="true" outlineLevel="0" collapsed="false">
      <c r="A780" s="37" t="n">
        <v>777</v>
      </c>
      <c r="B780" s="37" t="n">
        <v>2936</v>
      </c>
      <c r="C780" s="38" t="s">
        <v>3619</v>
      </c>
      <c r="D780" s="37" t="s">
        <v>100</v>
      </c>
      <c r="E780" s="39" t="n">
        <v>30577</v>
      </c>
      <c r="F780" s="37" t="n">
        <f aca="true">IFERROR(DATEDIF(E780,TODAY(),"Y"),"")</f>
        <v>42</v>
      </c>
      <c r="G780" s="40" t="s">
        <v>3620</v>
      </c>
      <c r="H780" s="40" t="s">
        <v>3621</v>
      </c>
      <c r="I780" s="38" t="s">
        <v>3622</v>
      </c>
      <c r="J780" s="38"/>
      <c r="K780" s="38" t="s">
        <v>3623</v>
      </c>
      <c r="L780" s="38" t="s">
        <v>55</v>
      </c>
      <c r="M780" s="37" t="s">
        <v>104</v>
      </c>
      <c r="N780" s="39" t="n">
        <v>40639</v>
      </c>
      <c r="O780" s="41" t="s">
        <v>23</v>
      </c>
      <c r="P780" s="41" t="s">
        <v>105</v>
      </c>
      <c r="Q780" s="42"/>
      <c r="R780" s="41"/>
      <c r="S780" s="42"/>
      <c r="T780" s="41"/>
    </row>
    <row r="781" customFormat="false" ht="13.5" hidden="false" customHeight="true" outlineLevel="0" collapsed="false">
      <c r="A781" s="37" t="n">
        <v>778</v>
      </c>
      <c r="B781" s="37" t="n">
        <v>2937</v>
      </c>
      <c r="C781" s="38" t="s">
        <v>3624</v>
      </c>
      <c r="D781" s="37" t="s">
        <v>100</v>
      </c>
      <c r="E781" s="39" t="n">
        <v>29542</v>
      </c>
      <c r="F781" s="37" t="n">
        <f aca="true">IFERROR(DATEDIF(E781,TODAY(),"Y"),"")</f>
        <v>45</v>
      </c>
      <c r="G781" s="40" t="s">
        <v>3625</v>
      </c>
      <c r="H781" s="40"/>
      <c r="I781" s="38" t="s">
        <v>3626</v>
      </c>
      <c r="J781" s="38" t="s">
        <v>25</v>
      </c>
      <c r="K781" s="38" t="s">
        <v>3627</v>
      </c>
      <c r="L781" s="38" t="s">
        <v>53</v>
      </c>
      <c r="M781" s="37"/>
      <c r="N781" s="39" t="n">
        <v>40639</v>
      </c>
      <c r="O781" s="41" t="s">
        <v>23</v>
      </c>
      <c r="P781" s="41" t="s">
        <v>105</v>
      </c>
      <c r="Q781" s="42"/>
      <c r="R781" s="41"/>
      <c r="S781" s="42"/>
      <c r="T781" s="41"/>
    </row>
    <row r="782" customFormat="false" ht="13.5" hidden="false" customHeight="true" outlineLevel="0" collapsed="false">
      <c r="A782" s="37" t="n">
        <v>779</v>
      </c>
      <c r="B782" s="37" t="n">
        <v>2938</v>
      </c>
      <c r="C782" s="38" t="s">
        <v>3628</v>
      </c>
      <c r="D782" s="37" t="s">
        <v>100</v>
      </c>
      <c r="E782" s="39" t="n">
        <v>27117</v>
      </c>
      <c r="F782" s="37" t="n">
        <f aca="true">IFERROR(DATEDIF(E782,TODAY(),"Y"),"")</f>
        <v>52</v>
      </c>
      <c r="G782" s="40" t="s">
        <v>3629</v>
      </c>
      <c r="H782" s="40" t="s">
        <v>3630</v>
      </c>
      <c r="I782" s="38" t="s">
        <v>3631</v>
      </c>
      <c r="J782" s="38" t="s">
        <v>15</v>
      </c>
      <c r="K782" s="38" t="s">
        <v>3632</v>
      </c>
      <c r="L782" s="38" t="s">
        <v>53</v>
      </c>
      <c r="M782" s="37" t="s">
        <v>120</v>
      </c>
      <c r="N782" s="39" t="n">
        <v>40640</v>
      </c>
      <c r="O782" s="41" t="s">
        <v>23</v>
      </c>
      <c r="P782" s="41" t="s">
        <v>105</v>
      </c>
      <c r="Q782" s="42"/>
      <c r="R782" s="41"/>
      <c r="S782" s="42"/>
      <c r="T782" s="41"/>
    </row>
    <row r="783" customFormat="false" ht="13.5" hidden="false" customHeight="true" outlineLevel="0" collapsed="false">
      <c r="A783" s="37" t="n">
        <v>780</v>
      </c>
      <c r="B783" s="37" t="n">
        <v>2939</v>
      </c>
      <c r="C783" s="38" t="s">
        <v>3633</v>
      </c>
      <c r="D783" s="37" t="s">
        <v>100</v>
      </c>
      <c r="E783" s="39" t="n">
        <v>27840</v>
      </c>
      <c r="F783" s="37" t="n">
        <f aca="true">IFERROR(DATEDIF(E783,TODAY(),"Y"),"")</f>
        <v>50</v>
      </c>
      <c r="G783" s="40" t="s">
        <v>3634</v>
      </c>
      <c r="H783" s="40" t="s">
        <v>3635</v>
      </c>
      <c r="I783" s="38" t="s">
        <v>3636</v>
      </c>
      <c r="J783" s="38" t="s">
        <v>15</v>
      </c>
      <c r="K783" s="38" t="s">
        <v>3637</v>
      </c>
      <c r="L783" s="38" t="s">
        <v>51</v>
      </c>
      <c r="M783" s="37" t="s">
        <v>177</v>
      </c>
      <c r="N783" s="39" t="n">
        <v>40642</v>
      </c>
      <c r="O783" s="41" t="s">
        <v>23</v>
      </c>
      <c r="P783" s="41" t="s">
        <v>105</v>
      </c>
      <c r="Q783" s="42"/>
      <c r="R783" s="41"/>
      <c r="S783" s="42"/>
      <c r="T783" s="41"/>
    </row>
    <row r="784" customFormat="false" ht="13.5" hidden="false" customHeight="true" outlineLevel="0" collapsed="false">
      <c r="A784" s="37" t="n">
        <v>781</v>
      </c>
      <c r="B784" s="37" t="n">
        <v>2940</v>
      </c>
      <c r="C784" s="38" t="s">
        <v>3638</v>
      </c>
      <c r="D784" s="37" t="s">
        <v>100</v>
      </c>
      <c r="E784" s="39" t="n">
        <v>24821</v>
      </c>
      <c r="F784" s="37" t="n">
        <f aca="true">IFERROR(DATEDIF(E784,TODAY(),"Y"),"")</f>
        <v>58</v>
      </c>
      <c r="G784" s="40" t="s">
        <v>3639</v>
      </c>
      <c r="H784" s="40" t="s">
        <v>3640</v>
      </c>
      <c r="I784" s="38" t="s">
        <v>3641</v>
      </c>
      <c r="J784" s="38" t="s">
        <v>15</v>
      </c>
      <c r="K784" s="38" t="s">
        <v>3642</v>
      </c>
      <c r="L784" s="38" t="s">
        <v>43</v>
      </c>
      <c r="M784" s="37"/>
      <c r="N784" s="39" t="n">
        <v>40643</v>
      </c>
      <c r="O784" s="41" t="s">
        <v>23</v>
      </c>
      <c r="P784" s="41" t="s">
        <v>105</v>
      </c>
      <c r="Q784" s="42"/>
      <c r="R784" s="41"/>
      <c r="S784" s="42"/>
      <c r="T784" s="41"/>
    </row>
    <row r="785" customFormat="false" ht="13.5" hidden="false" customHeight="true" outlineLevel="0" collapsed="false">
      <c r="A785" s="37" t="n">
        <v>782</v>
      </c>
      <c r="B785" s="37" t="n">
        <v>2941</v>
      </c>
      <c r="C785" s="38" t="s">
        <v>3643</v>
      </c>
      <c r="D785" s="37" t="s">
        <v>100</v>
      </c>
      <c r="E785" s="39" t="n">
        <v>28276</v>
      </c>
      <c r="F785" s="37" t="n">
        <f aca="true">IFERROR(DATEDIF(E785,TODAY(),"Y"),"")</f>
        <v>49</v>
      </c>
      <c r="G785" s="40" t="s">
        <v>3644</v>
      </c>
      <c r="H785" s="40" t="s">
        <v>3305</v>
      </c>
      <c r="I785" s="38" t="s">
        <v>3645</v>
      </c>
      <c r="J785" s="38" t="s">
        <v>16</v>
      </c>
      <c r="K785" s="38" t="s">
        <v>3646</v>
      </c>
      <c r="L785" s="38" t="s">
        <v>48</v>
      </c>
      <c r="M785" s="37"/>
      <c r="N785" s="39" t="n">
        <v>40643</v>
      </c>
      <c r="O785" s="41" t="s">
        <v>23</v>
      </c>
      <c r="P785" s="41" t="s">
        <v>105</v>
      </c>
      <c r="Q785" s="42"/>
      <c r="R785" s="41"/>
      <c r="S785" s="42"/>
      <c r="T785" s="41"/>
    </row>
    <row r="786" customFormat="false" ht="13.5" hidden="false" customHeight="true" outlineLevel="0" collapsed="false">
      <c r="A786" s="37" t="n">
        <v>783</v>
      </c>
      <c r="B786" s="37" t="n">
        <v>2943</v>
      </c>
      <c r="C786" s="38" t="s">
        <v>3647</v>
      </c>
      <c r="D786" s="37" t="s">
        <v>100</v>
      </c>
      <c r="E786" s="39" t="n">
        <v>30479</v>
      </c>
      <c r="F786" s="37" t="n">
        <f aca="true">IFERROR(DATEDIF(E786,TODAY(),"Y"),"")</f>
        <v>43</v>
      </c>
      <c r="G786" s="40" t="s">
        <v>3648</v>
      </c>
      <c r="H786" s="40" t="s">
        <v>3649</v>
      </c>
      <c r="I786" s="38" t="s">
        <v>3650</v>
      </c>
      <c r="J786" s="38" t="s">
        <v>15</v>
      </c>
      <c r="K786" s="38" t="s">
        <v>3651</v>
      </c>
      <c r="L786" s="38" t="s">
        <v>51</v>
      </c>
      <c r="M786" s="37"/>
      <c r="N786" s="39" t="n">
        <v>40650</v>
      </c>
      <c r="O786" s="41" t="s">
        <v>23</v>
      </c>
      <c r="P786" s="41" t="s">
        <v>105</v>
      </c>
      <c r="Q786" s="42"/>
      <c r="R786" s="41"/>
      <c r="S786" s="42"/>
      <c r="T786" s="41"/>
    </row>
    <row r="787" customFormat="false" ht="13.5" hidden="false" customHeight="true" outlineLevel="0" collapsed="false">
      <c r="A787" s="37" t="n">
        <v>784</v>
      </c>
      <c r="B787" s="37" t="n">
        <v>2944</v>
      </c>
      <c r="C787" s="38" t="s">
        <v>3652</v>
      </c>
      <c r="D787" s="37" t="s">
        <v>100</v>
      </c>
      <c r="E787" s="39" t="n">
        <v>24643</v>
      </c>
      <c r="F787" s="37" t="n">
        <f aca="true">IFERROR(DATEDIF(E787,TODAY(),"Y"),"")</f>
        <v>59</v>
      </c>
      <c r="G787" s="40" t="s">
        <v>3653</v>
      </c>
      <c r="H787" s="40" t="s">
        <v>3654</v>
      </c>
      <c r="I787" s="38" t="s">
        <v>3655</v>
      </c>
      <c r="J787" s="38" t="s">
        <v>15</v>
      </c>
      <c r="K787" s="38" t="s">
        <v>3656</v>
      </c>
      <c r="L787" s="38" t="s">
        <v>53</v>
      </c>
      <c r="M787" s="37" t="s">
        <v>120</v>
      </c>
      <c r="N787" s="39" t="n">
        <v>40651</v>
      </c>
      <c r="O787" s="41" t="s">
        <v>23</v>
      </c>
      <c r="P787" s="41" t="s">
        <v>105</v>
      </c>
      <c r="Q787" s="42"/>
      <c r="R787" s="41"/>
      <c r="S787" s="42"/>
      <c r="T787" s="41"/>
    </row>
    <row r="788" customFormat="false" ht="13.5" hidden="false" customHeight="true" outlineLevel="0" collapsed="false">
      <c r="A788" s="37" t="n">
        <v>785</v>
      </c>
      <c r="B788" s="37" t="n">
        <v>2945</v>
      </c>
      <c r="C788" s="38" t="s">
        <v>3657</v>
      </c>
      <c r="D788" s="37" t="s">
        <v>100</v>
      </c>
      <c r="E788" s="39" t="n">
        <v>24989</v>
      </c>
      <c r="F788" s="37" t="n">
        <f aca="true">IFERROR(DATEDIF(E788,TODAY(),"Y"),"")</f>
        <v>58</v>
      </c>
      <c r="G788" s="40" t="s">
        <v>3658</v>
      </c>
      <c r="H788" s="40"/>
      <c r="I788" s="38" t="s">
        <v>3659</v>
      </c>
      <c r="J788" s="38" t="s">
        <v>16</v>
      </c>
      <c r="K788" s="38" t="s">
        <v>3660</v>
      </c>
      <c r="L788" s="43" t="s">
        <v>58</v>
      </c>
      <c r="M788" s="37" t="s">
        <v>104</v>
      </c>
      <c r="N788" s="39" t="n">
        <v>40651</v>
      </c>
      <c r="O788" s="41" t="s">
        <v>23</v>
      </c>
      <c r="P788" s="41" t="s">
        <v>105</v>
      </c>
      <c r="Q788" s="42"/>
      <c r="R788" s="41"/>
      <c r="S788" s="42"/>
      <c r="T788" s="41"/>
    </row>
    <row r="789" customFormat="false" ht="13.5" hidden="false" customHeight="true" outlineLevel="0" collapsed="false">
      <c r="A789" s="37" t="n">
        <v>786</v>
      </c>
      <c r="B789" s="37" t="n">
        <v>2949</v>
      </c>
      <c r="C789" s="38" t="s">
        <v>3661</v>
      </c>
      <c r="D789" s="37" t="s">
        <v>100</v>
      </c>
      <c r="E789" s="39" t="n">
        <v>28970</v>
      </c>
      <c r="F789" s="37" t="n">
        <f aca="true">IFERROR(DATEDIF(E789,TODAY(),"Y"),"")</f>
        <v>47</v>
      </c>
      <c r="G789" s="40" t="s">
        <v>3662</v>
      </c>
      <c r="H789" s="40" t="s">
        <v>3663</v>
      </c>
      <c r="I789" s="38" t="s">
        <v>3664</v>
      </c>
      <c r="J789" s="38" t="s">
        <v>15</v>
      </c>
      <c r="K789" s="38" t="s">
        <v>3665</v>
      </c>
      <c r="L789" s="38" t="s">
        <v>43</v>
      </c>
      <c r="M789" s="37" t="s">
        <v>177</v>
      </c>
      <c r="N789" s="39" t="n">
        <v>40689</v>
      </c>
      <c r="O789" s="41" t="s">
        <v>23</v>
      </c>
      <c r="P789" s="41" t="s">
        <v>105</v>
      </c>
      <c r="Q789" s="42"/>
      <c r="R789" s="41"/>
      <c r="S789" s="42"/>
      <c r="T789" s="41"/>
    </row>
    <row r="790" customFormat="false" ht="13.5" hidden="false" customHeight="true" outlineLevel="0" collapsed="false">
      <c r="A790" s="37" t="n">
        <v>787</v>
      </c>
      <c r="B790" s="37" t="n">
        <v>2950</v>
      </c>
      <c r="C790" s="38" t="s">
        <v>3666</v>
      </c>
      <c r="D790" s="37" t="s">
        <v>100</v>
      </c>
      <c r="E790" s="39" t="n">
        <v>26434</v>
      </c>
      <c r="F790" s="37" t="n">
        <f aca="true">IFERROR(DATEDIF(E790,TODAY(),"Y"),"")</f>
        <v>54</v>
      </c>
      <c r="G790" s="40" t="s">
        <v>3667</v>
      </c>
      <c r="H790" s="40" t="s">
        <v>3668</v>
      </c>
      <c r="I790" s="38" t="s">
        <v>3669</v>
      </c>
      <c r="J790" s="38" t="s">
        <v>15</v>
      </c>
      <c r="K790" s="38" t="s">
        <v>3670</v>
      </c>
      <c r="L790" s="38" t="s">
        <v>47</v>
      </c>
      <c r="M790" s="37"/>
      <c r="N790" s="39" t="n">
        <v>40706</v>
      </c>
      <c r="O790" s="41" t="s">
        <v>23</v>
      </c>
      <c r="P790" s="41" t="s">
        <v>105</v>
      </c>
      <c r="Q790" s="42"/>
      <c r="R790" s="41"/>
      <c r="S790" s="42"/>
      <c r="T790" s="41"/>
    </row>
    <row r="791" customFormat="false" ht="13.5" hidden="false" customHeight="true" outlineLevel="0" collapsed="false">
      <c r="A791" s="37" t="n">
        <v>788</v>
      </c>
      <c r="B791" s="37" t="n">
        <v>2951</v>
      </c>
      <c r="C791" s="38" t="s">
        <v>3671</v>
      </c>
      <c r="D791" s="37" t="s">
        <v>100</v>
      </c>
      <c r="E791" s="39" t="n">
        <v>24966</v>
      </c>
      <c r="F791" s="37" t="n">
        <f aca="true">IFERROR(DATEDIF(E791,TODAY(),"Y"),"")</f>
        <v>58</v>
      </c>
      <c r="G791" s="40" t="s">
        <v>3672</v>
      </c>
      <c r="H791" s="40" t="s">
        <v>3673</v>
      </c>
      <c r="I791" s="38" t="s">
        <v>3674</v>
      </c>
      <c r="J791" s="38" t="s">
        <v>16</v>
      </c>
      <c r="K791" s="38" t="s">
        <v>3675</v>
      </c>
      <c r="L791" s="38" t="s">
        <v>54</v>
      </c>
      <c r="M791" s="37"/>
      <c r="N791" s="39" t="n">
        <v>40708</v>
      </c>
      <c r="O791" s="41" t="s">
        <v>23</v>
      </c>
      <c r="P791" s="41" t="s">
        <v>105</v>
      </c>
      <c r="Q791" s="42"/>
      <c r="R791" s="41"/>
      <c r="S791" s="42"/>
      <c r="T791" s="41"/>
    </row>
    <row r="792" customFormat="false" ht="13.5" hidden="false" customHeight="true" outlineLevel="0" collapsed="false">
      <c r="A792" s="37" t="n">
        <v>789</v>
      </c>
      <c r="B792" s="37" t="n">
        <v>2952</v>
      </c>
      <c r="C792" s="38" t="s">
        <v>3676</v>
      </c>
      <c r="D792" s="37" t="s">
        <v>100</v>
      </c>
      <c r="E792" s="39" t="n">
        <v>25696</v>
      </c>
      <c r="F792" s="37" t="n">
        <f aca="true">IFERROR(DATEDIF(E792,TODAY(),"Y"),"")</f>
        <v>56</v>
      </c>
      <c r="G792" s="40" t="s">
        <v>3677</v>
      </c>
      <c r="H792" s="40" t="s">
        <v>3678</v>
      </c>
      <c r="I792" s="38" t="s">
        <v>3679</v>
      </c>
      <c r="J792" s="38" t="s">
        <v>15</v>
      </c>
      <c r="K792" s="38" t="s">
        <v>3680</v>
      </c>
      <c r="L792" s="38" t="s">
        <v>48</v>
      </c>
      <c r="M792" s="37"/>
      <c r="N792" s="39" t="n">
        <v>40709</v>
      </c>
      <c r="O792" s="41" t="s">
        <v>23</v>
      </c>
      <c r="P792" s="41" t="s">
        <v>105</v>
      </c>
      <c r="Q792" s="42"/>
      <c r="R792" s="41"/>
      <c r="S792" s="42"/>
      <c r="T792" s="41"/>
    </row>
    <row r="793" customFormat="false" ht="13.5" hidden="false" customHeight="true" outlineLevel="0" collapsed="false">
      <c r="A793" s="37" t="n">
        <v>790</v>
      </c>
      <c r="B793" s="37" t="n">
        <v>2953</v>
      </c>
      <c r="C793" s="38" t="s">
        <v>3681</v>
      </c>
      <c r="D793" s="37" t="s">
        <v>100</v>
      </c>
      <c r="E793" s="39" t="n">
        <v>21702</v>
      </c>
      <c r="F793" s="37" t="n">
        <f aca="true">IFERROR(DATEDIF(E793,TODAY(),"Y"),"")</f>
        <v>67</v>
      </c>
      <c r="G793" s="40" t="s">
        <v>3682</v>
      </c>
      <c r="H793" s="40" t="s">
        <v>3683</v>
      </c>
      <c r="I793" s="38" t="s">
        <v>3684</v>
      </c>
      <c r="J793" s="38" t="s">
        <v>15</v>
      </c>
      <c r="K793" s="38" t="s">
        <v>3685</v>
      </c>
      <c r="L793" s="38" t="s">
        <v>55</v>
      </c>
      <c r="M793" s="37" t="s">
        <v>120</v>
      </c>
      <c r="N793" s="39" t="n">
        <v>40719</v>
      </c>
      <c r="O793" s="41" t="s">
        <v>23</v>
      </c>
      <c r="P793" s="41" t="s">
        <v>105</v>
      </c>
      <c r="Q793" s="42"/>
      <c r="R793" s="41"/>
      <c r="S793" s="42"/>
      <c r="T793" s="41"/>
    </row>
    <row r="794" customFormat="false" ht="13.5" hidden="false" customHeight="true" outlineLevel="0" collapsed="false">
      <c r="A794" s="37" t="n">
        <v>791</v>
      </c>
      <c r="B794" s="37" t="n">
        <v>2955</v>
      </c>
      <c r="C794" s="38" t="s">
        <v>3686</v>
      </c>
      <c r="D794" s="37" t="s">
        <v>100</v>
      </c>
      <c r="E794" s="39" t="n">
        <v>25700</v>
      </c>
      <c r="F794" s="37" t="n">
        <f aca="true">IFERROR(DATEDIF(E794,TODAY(),"Y"),"")</f>
        <v>56</v>
      </c>
      <c r="G794" s="40" t="s">
        <v>3687</v>
      </c>
      <c r="H794" s="40" t="s">
        <v>3688</v>
      </c>
      <c r="I794" s="38" t="s">
        <v>3689</v>
      </c>
      <c r="J794" s="38" t="s">
        <v>15</v>
      </c>
      <c r="K794" s="38" t="s">
        <v>3690</v>
      </c>
      <c r="L794" s="38" t="s">
        <v>55</v>
      </c>
      <c r="M794" s="37" t="s">
        <v>177</v>
      </c>
      <c r="N794" s="39" t="n">
        <v>40744</v>
      </c>
      <c r="O794" s="41" t="s">
        <v>23</v>
      </c>
      <c r="P794" s="41" t="s">
        <v>105</v>
      </c>
      <c r="Q794" s="42"/>
      <c r="R794" s="41"/>
      <c r="S794" s="42"/>
      <c r="T794" s="41"/>
    </row>
    <row r="795" customFormat="false" ht="13.5" hidden="false" customHeight="true" outlineLevel="0" collapsed="false">
      <c r="A795" s="37" t="n">
        <v>792</v>
      </c>
      <c r="B795" s="37" t="n">
        <v>2956</v>
      </c>
      <c r="C795" s="38" t="s">
        <v>3691</v>
      </c>
      <c r="D795" s="37" t="s">
        <v>100</v>
      </c>
      <c r="E795" s="39" t="n">
        <v>28490</v>
      </c>
      <c r="F795" s="37" t="n">
        <f aca="true">IFERROR(DATEDIF(E795,TODAY(),"Y"),"")</f>
        <v>48</v>
      </c>
      <c r="G795" s="40" t="s">
        <v>3692</v>
      </c>
      <c r="H795" s="40" t="s">
        <v>3693</v>
      </c>
      <c r="I795" s="38"/>
      <c r="J795" s="38" t="s">
        <v>15</v>
      </c>
      <c r="K795" s="38" t="s">
        <v>3694</v>
      </c>
      <c r="L795" s="38" t="s">
        <v>47</v>
      </c>
      <c r="M795" s="37" t="s">
        <v>104</v>
      </c>
      <c r="N795" s="39" t="n">
        <v>40744</v>
      </c>
      <c r="O795" s="41" t="s">
        <v>23</v>
      </c>
      <c r="P795" s="41" t="s">
        <v>105</v>
      </c>
      <c r="Q795" s="42"/>
      <c r="R795" s="41"/>
      <c r="S795" s="42"/>
      <c r="T795" s="41"/>
    </row>
    <row r="796" customFormat="false" ht="13.5" hidden="false" customHeight="true" outlineLevel="0" collapsed="false">
      <c r="A796" s="37" t="n">
        <v>793</v>
      </c>
      <c r="B796" s="37" t="n">
        <v>2958</v>
      </c>
      <c r="C796" s="38" t="s">
        <v>3695</v>
      </c>
      <c r="D796" s="37" t="s">
        <v>100</v>
      </c>
      <c r="E796" s="39" t="n">
        <v>30354</v>
      </c>
      <c r="F796" s="37" t="n">
        <f aca="true">IFERROR(DATEDIF(E796,TODAY(),"Y"),"")</f>
        <v>43</v>
      </c>
      <c r="G796" s="40" t="s">
        <v>3696</v>
      </c>
      <c r="H796" s="40"/>
      <c r="I796" s="38" t="s">
        <v>3697</v>
      </c>
      <c r="J796" s="38" t="s">
        <v>15</v>
      </c>
      <c r="K796" s="38" t="s">
        <v>3698</v>
      </c>
      <c r="L796" s="38" t="s">
        <v>53</v>
      </c>
      <c r="M796" s="37" t="s">
        <v>104</v>
      </c>
      <c r="N796" s="39" t="n">
        <v>40751</v>
      </c>
      <c r="O796" s="41" t="s">
        <v>23</v>
      </c>
      <c r="P796" s="41" t="s">
        <v>105</v>
      </c>
      <c r="Q796" s="42"/>
      <c r="R796" s="41"/>
      <c r="S796" s="42"/>
      <c r="T796" s="41"/>
    </row>
    <row r="797" customFormat="false" ht="13.5" hidden="false" customHeight="true" outlineLevel="0" collapsed="false">
      <c r="A797" s="37" t="n">
        <v>794</v>
      </c>
      <c r="B797" s="37" t="n">
        <v>2959</v>
      </c>
      <c r="C797" s="38" t="s">
        <v>3699</v>
      </c>
      <c r="D797" s="37" t="s">
        <v>100</v>
      </c>
      <c r="E797" s="39" t="n">
        <v>24515</v>
      </c>
      <c r="F797" s="37" t="n">
        <f aca="true">IFERROR(DATEDIF(E797,TODAY(),"Y"),"")</f>
        <v>59</v>
      </c>
      <c r="G797" s="40" t="s">
        <v>3700</v>
      </c>
      <c r="H797" s="40" t="s">
        <v>3701</v>
      </c>
      <c r="I797" s="38" t="s">
        <v>3702</v>
      </c>
      <c r="J797" s="38" t="s">
        <v>18</v>
      </c>
      <c r="K797" s="38" t="s">
        <v>3703</v>
      </c>
      <c r="L797" s="38" t="s">
        <v>47</v>
      </c>
      <c r="M797" s="37"/>
      <c r="N797" s="39" t="n">
        <v>40752</v>
      </c>
      <c r="O797" s="41" t="s">
        <v>23</v>
      </c>
      <c r="P797" s="41" t="s">
        <v>105</v>
      </c>
      <c r="Q797" s="42"/>
      <c r="R797" s="41"/>
      <c r="S797" s="42"/>
      <c r="T797" s="41"/>
    </row>
    <row r="798" customFormat="false" ht="13.5" hidden="false" customHeight="true" outlineLevel="0" collapsed="false">
      <c r="A798" s="37" t="n">
        <v>795</v>
      </c>
      <c r="B798" s="37" t="n">
        <v>2960</v>
      </c>
      <c r="C798" s="38" t="s">
        <v>3704</v>
      </c>
      <c r="D798" s="37" t="s">
        <v>100</v>
      </c>
      <c r="E798" s="39" t="n">
        <v>26429</v>
      </c>
      <c r="F798" s="37" t="n">
        <f aca="true">IFERROR(DATEDIF(E798,TODAY(),"Y"),"")</f>
        <v>54</v>
      </c>
      <c r="G798" s="40" t="s">
        <v>3705</v>
      </c>
      <c r="H798" s="40" t="s">
        <v>3706</v>
      </c>
      <c r="I798" s="38" t="s">
        <v>3707</v>
      </c>
      <c r="J798" s="38" t="s">
        <v>15</v>
      </c>
      <c r="K798" s="38" t="s">
        <v>3708</v>
      </c>
      <c r="L798" s="38" t="s">
        <v>46</v>
      </c>
      <c r="M798" s="37"/>
      <c r="N798" s="39" t="n">
        <v>40752</v>
      </c>
      <c r="O798" s="41" t="s">
        <v>23</v>
      </c>
      <c r="P798" s="41" t="s">
        <v>105</v>
      </c>
      <c r="Q798" s="42"/>
      <c r="R798" s="41"/>
      <c r="S798" s="42"/>
      <c r="T798" s="41"/>
    </row>
    <row r="799" customFormat="false" ht="13.5" hidden="false" customHeight="true" outlineLevel="0" collapsed="false">
      <c r="A799" s="37" t="n">
        <v>796</v>
      </c>
      <c r="B799" s="37" t="n">
        <v>2963</v>
      </c>
      <c r="C799" s="38" t="s">
        <v>3709</v>
      </c>
      <c r="D799" s="37" t="s">
        <v>100</v>
      </c>
      <c r="E799" s="39" t="n">
        <v>28620</v>
      </c>
      <c r="F799" s="37" t="n">
        <f aca="true">IFERROR(DATEDIF(E799,TODAY(),"Y"),"")</f>
        <v>48</v>
      </c>
      <c r="G799" s="40" t="s">
        <v>3710</v>
      </c>
      <c r="H799" s="40" t="s">
        <v>3711</v>
      </c>
      <c r="I799" s="38" t="s">
        <v>3712</v>
      </c>
      <c r="J799" s="38" t="s">
        <v>15</v>
      </c>
      <c r="K799" s="38" t="s">
        <v>3713</v>
      </c>
      <c r="L799" s="38" t="s">
        <v>55</v>
      </c>
      <c r="M799" s="37" t="s">
        <v>177</v>
      </c>
      <c r="N799" s="39" t="n">
        <v>40761</v>
      </c>
      <c r="O799" s="41" t="s">
        <v>23</v>
      </c>
      <c r="P799" s="41" t="s">
        <v>105</v>
      </c>
      <c r="Q799" s="42"/>
      <c r="R799" s="41"/>
      <c r="S799" s="42"/>
      <c r="T799" s="41"/>
    </row>
    <row r="800" customFormat="false" ht="13.5" hidden="false" customHeight="true" outlineLevel="0" collapsed="false">
      <c r="A800" s="37" t="n">
        <v>797</v>
      </c>
      <c r="B800" s="37" t="n">
        <v>2967</v>
      </c>
      <c r="C800" s="38" t="s">
        <v>3714</v>
      </c>
      <c r="D800" s="37" t="s">
        <v>100</v>
      </c>
      <c r="E800" s="39" t="n">
        <v>24118</v>
      </c>
      <c r="F800" s="37" t="n">
        <f aca="true">IFERROR(DATEDIF(E800,TODAY(),"Y"),"")</f>
        <v>60</v>
      </c>
      <c r="G800" s="40" t="s">
        <v>3715</v>
      </c>
      <c r="H800" s="40" t="s">
        <v>3716</v>
      </c>
      <c r="I800" s="38" t="s">
        <v>3717</v>
      </c>
      <c r="J800" s="38" t="s">
        <v>15</v>
      </c>
      <c r="K800" s="38" t="s">
        <v>3718</v>
      </c>
      <c r="L800" s="38" t="s">
        <v>49</v>
      </c>
      <c r="M800" s="37" t="s">
        <v>231</v>
      </c>
      <c r="N800" s="39" t="n">
        <v>40782</v>
      </c>
      <c r="O800" s="41" t="s">
        <v>23</v>
      </c>
      <c r="P800" s="41" t="s">
        <v>105</v>
      </c>
      <c r="Q800" s="42"/>
      <c r="R800" s="41"/>
      <c r="S800" s="42"/>
      <c r="T800" s="41"/>
    </row>
    <row r="801" customFormat="false" ht="13.5" hidden="false" customHeight="true" outlineLevel="0" collapsed="false">
      <c r="A801" s="37" t="n">
        <v>798</v>
      </c>
      <c r="B801" s="37" t="n">
        <v>2968</v>
      </c>
      <c r="C801" s="38" t="s">
        <v>3719</v>
      </c>
      <c r="D801" s="37" t="s">
        <v>100</v>
      </c>
      <c r="E801" s="39" t="n">
        <v>21242</v>
      </c>
      <c r="F801" s="37" t="n">
        <f aca="true">IFERROR(DATEDIF(E801,TODAY(),"Y"),"")</f>
        <v>68</v>
      </c>
      <c r="G801" s="40" t="s">
        <v>3720</v>
      </c>
      <c r="H801" s="40" t="s">
        <v>3721</v>
      </c>
      <c r="I801" s="38" t="s">
        <v>3722</v>
      </c>
      <c r="J801" s="38" t="s">
        <v>16</v>
      </c>
      <c r="K801" s="38" t="s">
        <v>3723</v>
      </c>
      <c r="L801" s="38" t="s">
        <v>55</v>
      </c>
      <c r="M801" s="37"/>
      <c r="N801" s="39" t="n">
        <v>40792</v>
      </c>
      <c r="O801" s="41" t="s">
        <v>23</v>
      </c>
      <c r="P801" s="41" t="s">
        <v>105</v>
      </c>
      <c r="Q801" s="42"/>
      <c r="R801" s="41"/>
      <c r="S801" s="42"/>
      <c r="T801" s="41"/>
    </row>
    <row r="802" customFormat="false" ht="13.5" hidden="false" customHeight="true" outlineLevel="0" collapsed="false">
      <c r="A802" s="37" t="n">
        <v>799</v>
      </c>
      <c r="B802" s="37" t="n">
        <v>2969</v>
      </c>
      <c r="C802" s="38" t="s">
        <v>3724</v>
      </c>
      <c r="D802" s="37" t="s">
        <v>100</v>
      </c>
      <c r="E802" s="39" t="n">
        <v>22061</v>
      </c>
      <c r="F802" s="37" t="n">
        <f aca="true">IFERROR(DATEDIF(E802,TODAY(),"Y"),"")</f>
        <v>66</v>
      </c>
      <c r="G802" s="40" t="s">
        <v>3725</v>
      </c>
      <c r="H802" s="40" t="s">
        <v>3726</v>
      </c>
      <c r="I802" s="38" t="s">
        <v>3727</v>
      </c>
      <c r="J802" s="38" t="s">
        <v>18</v>
      </c>
      <c r="K802" s="38" t="s">
        <v>3728</v>
      </c>
      <c r="L802" s="38" t="s">
        <v>43</v>
      </c>
      <c r="M802" s="37"/>
      <c r="N802" s="39" t="n">
        <v>40793</v>
      </c>
      <c r="O802" s="41" t="s">
        <v>23</v>
      </c>
      <c r="P802" s="41" t="s">
        <v>105</v>
      </c>
      <c r="Q802" s="42"/>
      <c r="R802" s="41"/>
      <c r="S802" s="42"/>
      <c r="T802" s="41"/>
    </row>
    <row r="803" customFormat="false" ht="13.5" hidden="false" customHeight="true" outlineLevel="0" collapsed="false">
      <c r="A803" s="37" t="n">
        <v>800</v>
      </c>
      <c r="B803" s="37" t="n">
        <v>2970</v>
      </c>
      <c r="C803" s="38" t="s">
        <v>3729</v>
      </c>
      <c r="D803" s="37" t="s">
        <v>100</v>
      </c>
      <c r="E803" s="39" t="n">
        <v>24968</v>
      </c>
      <c r="F803" s="37" t="n">
        <f aca="true">IFERROR(DATEDIF(E803,TODAY(),"Y"),"")</f>
        <v>58</v>
      </c>
      <c r="G803" s="40" t="s">
        <v>3730</v>
      </c>
      <c r="H803" s="40" t="s">
        <v>3731</v>
      </c>
      <c r="I803" s="38" t="s">
        <v>3732</v>
      </c>
      <c r="J803" s="38" t="s">
        <v>15</v>
      </c>
      <c r="K803" s="38" t="s">
        <v>3733</v>
      </c>
      <c r="L803" s="38" t="s">
        <v>48</v>
      </c>
      <c r="M803" s="37"/>
      <c r="N803" s="39" t="n">
        <v>40793</v>
      </c>
      <c r="O803" s="41" t="s">
        <v>23</v>
      </c>
      <c r="P803" s="41" t="s">
        <v>105</v>
      </c>
      <c r="Q803" s="42"/>
      <c r="R803" s="41"/>
      <c r="S803" s="42"/>
      <c r="T803" s="41"/>
    </row>
    <row r="804" customFormat="false" ht="13.5" hidden="false" customHeight="true" outlineLevel="0" collapsed="false">
      <c r="A804" s="37" t="n">
        <v>801</v>
      </c>
      <c r="B804" s="37" t="n">
        <v>2972</v>
      </c>
      <c r="C804" s="38" t="s">
        <v>3734</v>
      </c>
      <c r="D804" s="37" t="s">
        <v>100</v>
      </c>
      <c r="E804" s="39" t="n">
        <v>24257</v>
      </c>
      <c r="F804" s="37" t="n">
        <f aca="true">IFERROR(DATEDIF(E804,TODAY(),"Y"),"")</f>
        <v>60</v>
      </c>
      <c r="G804" s="40" t="s">
        <v>3735</v>
      </c>
      <c r="H804" s="40"/>
      <c r="I804" s="38" t="s">
        <v>3736</v>
      </c>
      <c r="J804" s="38" t="s">
        <v>15</v>
      </c>
      <c r="K804" s="38" t="s">
        <v>3737</v>
      </c>
      <c r="L804" s="38" t="s">
        <v>49</v>
      </c>
      <c r="M804" s="37" t="s">
        <v>104</v>
      </c>
      <c r="N804" s="39" t="n">
        <v>40800</v>
      </c>
      <c r="O804" s="41" t="s">
        <v>23</v>
      </c>
      <c r="P804" s="41" t="s">
        <v>105</v>
      </c>
      <c r="Q804" s="42"/>
      <c r="R804" s="41"/>
      <c r="S804" s="42"/>
      <c r="T804" s="41"/>
    </row>
    <row r="805" customFormat="false" ht="13.5" hidden="false" customHeight="true" outlineLevel="0" collapsed="false">
      <c r="A805" s="37" t="n">
        <v>802</v>
      </c>
      <c r="B805" s="37" t="n">
        <v>2974</v>
      </c>
      <c r="C805" s="38" t="s">
        <v>3738</v>
      </c>
      <c r="D805" s="37" t="s">
        <v>100</v>
      </c>
      <c r="E805" s="39" t="n">
        <v>24255</v>
      </c>
      <c r="F805" s="37" t="n">
        <f aca="true">IFERROR(DATEDIF(E805,TODAY(),"Y"),"")</f>
        <v>60</v>
      </c>
      <c r="G805" s="40" t="s">
        <v>3739</v>
      </c>
      <c r="H805" s="40"/>
      <c r="I805" s="38" t="s">
        <v>3740</v>
      </c>
      <c r="J805" s="38" t="s">
        <v>15</v>
      </c>
      <c r="K805" s="38" t="s">
        <v>3741</v>
      </c>
      <c r="L805" s="38" t="s">
        <v>48</v>
      </c>
      <c r="M805" s="37" t="s">
        <v>177</v>
      </c>
      <c r="N805" s="39" t="n">
        <v>40805</v>
      </c>
      <c r="O805" s="41" t="s">
        <v>23</v>
      </c>
      <c r="P805" s="41" t="s">
        <v>105</v>
      </c>
      <c r="Q805" s="42"/>
      <c r="R805" s="41"/>
      <c r="S805" s="42"/>
      <c r="T805" s="41"/>
    </row>
    <row r="806" customFormat="false" ht="13.5" hidden="false" customHeight="true" outlineLevel="0" collapsed="false">
      <c r="A806" s="37" t="n">
        <v>803</v>
      </c>
      <c r="B806" s="37" t="n">
        <v>2975</v>
      </c>
      <c r="C806" s="38" t="s">
        <v>3742</v>
      </c>
      <c r="D806" s="37" t="s">
        <v>100</v>
      </c>
      <c r="E806" s="39" t="n">
        <v>26308</v>
      </c>
      <c r="F806" s="37" t="n">
        <f aca="true">IFERROR(DATEDIF(E806,TODAY(),"Y"),"")</f>
        <v>54</v>
      </c>
      <c r="G806" s="40" t="s">
        <v>3743</v>
      </c>
      <c r="H806" s="40" t="s">
        <v>3744</v>
      </c>
      <c r="I806" s="38" t="s">
        <v>3745</v>
      </c>
      <c r="J806" s="38" t="s">
        <v>15</v>
      </c>
      <c r="K806" s="38" t="s">
        <v>3746</v>
      </c>
      <c r="L806" s="38" t="s">
        <v>47</v>
      </c>
      <c r="M806" s="37" t="s">
        <v>120</v>
      </c>
      <c r="N806" s="39" t="n">
        <v>40814</v>
      </c>
      <c r="O806" s="41" t="s">
        <v>23</v>
      </c>
      <c r="P806" s="41" t="s">
        <v>105</v>
      </c>
      <c r="Q806" s="42"/>
      <c r="R806" s="41"/>
      <c r="S806" s="42"/>
      <c r="T806" s="41"/>
    </row>
    <row r="807" customFormat="false" ht="13.5" hidden="false" customHeight="true" outlineLevel="0" collapsed="false">
      <c r="A807" s="37" t="n">
        <v>804</v>
      </c>
      <c r="B807" s="37" t="n">
        <v>2976</v>
      </c>
      <c r="C807" s="38" t="s">
        <v>3747</v>
      </c>
      <c r="D807" s="37" t="s">
        <v>100</v>
      </c>
      <c r="E807" s="39" t="n">
        <v>30741</v>
      </c>
      <c r="F807" s="37" t="n">
        <f aca="true">IFERROR(DATEDIF(E807,TODAY(),"Y"),"")</f>
        <v>42</v>
      </c>
      <c r="G807" s="40" t="s">
        <v>3748</v>
      </c>
      <c r="H807" s="40" t="s">
        <v>3749</v>
      </c>
      <c r="I807" s="38" t="s">
        <v>3750</v>
      </c>
      <c r="J807" s="38" t="s">
        <v>15</v>
      </c>
      <c r="K807" s="38" t="s">
        <v>3751</v>
      </c>
      <c r="L807" s="38" t="s">
        <v>55</v>
      </c>
      <c r="M807" s="37"/>
      <c r="N807" s="39" t="n">
        <v>40818</v>
      </c>
      <c r="O807" s="41" t="s">
        <v>23</v>
      </c>
      <c r="P807" s="41" t="s">
        <v>105</v>
      </c>
      <c r="Q807" s="42"/>
      <c r="R807" s="41"/>
      <c r="S807" s="42"/>
      <c r="T807" s="41"/>
    </row>
    <row r="808" customFormat="false" ht="13.5" hidden="false" customHeight="true" outlineLevel="0" collapsed="false">
      <c r="A808" s="37" t="n">
        <v>805</v>
      </c>
      <c r="B808" s="37" t="n">
        <v>2977</v>
      </c>
      <c r="C808" s="38" t="s">
        <v>3752</v>
      </c>
      <c r="D808" s="37" t="s">
        <v>100</v>
      </c>
      <c r="E808" s="39" t="n">
        <v>21964</v>
      </c>
      <c r="F808" s="37" t="n">
        <f aca="true">IFERROR(DATEDIF(E808,TODAY(),"Y"),"")</f>
        <v>66</v>
      </c>
      <c r="G808" s="40" t="s">
        <v>3753</v>
      </c>
      <c r="H808" s="40" t="s">
        <v>3754</v>
      </c>
      <c r="I808" s="38" t="s">
        <v>3755</v>
      </c>
      <c r="J808" s="38" t="s">
        <v>15</v>
      </c>
      <c r="K808" s="38" t="s">
        <v>3756</v>
      </c>
      <c r="L808" s="38" t="s">
        <v>55</v>
      </c>
      <c r="M808" s="37" t="s">
        <v>177</v>
      </c>
      <c r="N808" s="39" t="n">
        <v>40822</v>
      </c>
      <c r="O808" s="41" t="s">
        <v>23</v>
      </c>
      <c r="P808" s="41" t="s">
        <v>105</v>
      </c>
      <c r="Q808" s="42"/>
      <c r="R808" s="41"/>
      <c r="S808" s="42"/>
      <c r="T808" s="41"/>
    </row>
    <row r="809" customFormat="false" ht="13.5" hidden="false" customHeight="true" outlineLevel="0" collapsed="false">
      <c r="A809" s="37" t="n">
        <v>806</v>
      </c>
      <c r="B809" s="37" t="n">
        <v>2978</v>
      </c>
      <c r="C809" s="38" t="s">
        <v>3757</v>
      </c>
      <c r="D809" s="37" t="s">
        <v>100</v>
      </c>
      <c r="E809" s="39" t="n">
        <v>25718</v>
      </c>
      <c r="F809" s="37" t="n">
        <f aca="true">IFERROR(DATEDIF(E809,TODAY(),"Y"),"")</f>
        <v>56</v>
      </c>
      <c r="G809" s="40" t="s">
        <v>3758</v>
      </c>
      <c r="H809" s="40" t="s">
        <v>3759</v>
      </c>
      <c r="I809" s="38" t="s">
        <v>3760</v>
      </c>
      <c r="J809" s="38" t="s">
        <v>16</v>
      </c>
      <c r="K809" s="38" t="s">
        <v>3761</v>
      </c>
      <c r="L809" s="38" t="s">
        <v>46</v>
      </c>
      <c r="M809" s="37" t="s">
        <v>177</v>
      </c>
      <c r="N809" s="39" t="n">
        <v>40824</v>
      </c>
      <c r="O809" s="41" t="s">
        <v>23</v>
      </c>
      <c r="P809" s="41" t="s">
        <v>105</v>
      </c>
      <c r="Q809" s="42"/>
      <c r="R809" s="41"/>
      <c r="S809" s="42"/>
      <c r="T809" s="41"/>
    </row>
    <row r="810" customFormat="false" ht="13.5" hidden="false" customHeight="true" outlineLevel="0" collapsed="false">
      <c r="A810" s="37" t="n">
        <v>807</v>
      </c>
      <c r="B810" s="37" t="n">
        <v>2979</v>
      </c>
      <c r="C810" s="38" t="s">
        <v>3762</v>
      </c>
      <c r="D810" s="37" t="s">
        <v>100</v>
      </c>
      <c r="E810" s="39" t="n">
        <v>22796</v>
      </c>
      <c r="F810" s="37" t="n">
        <f aca="true">IFERROR(DATEDIF(E810,TODAY(),"Y"),"")</f>
        <v>64</v>
      </c>
      <c r="G810" s="40" t="s">
        <v>3763</v>
      </c>
      <c r="H810" s="40" t="s">
        <v>3764</v>
      </c>
      <c r="I810" s="38" t="s">
        <v>3765</v>
      </c>
      <c r="J810" s="38" t="s">
        <v>15</v>
      </c>
      <c r="K810" s="38" t="s">
        <v>3766</v>
      </c>
      <c r="L810" s="38" t="s">
        <v>48</v>
      </c>
      <c r="M810" s="37" t="s">
        <v>231</v>
      </c>
      <c r="N810" s="39" t="n">
        <v>40831</v>
      </c>
      <c r="O810" s="41" t="s">
        <v>23</v>
      </c>
      <c r="P810" s="41" t="s">
        <v>105</v>
      </c>
      <c r="Q810" s="42"/>
      <c r="R810" s="41"/>
      <c r="S810" s="42"/>
      <c r="T810" s="41"/>
    </row>
    <row r="811" customFormat="false" ht="13.5" hidden="false" customHeight="true" outlineLevel="0" collapsed="false">
      <c r="A811" s="37" t="n">
        <v>808</v>
      </c>
      <c r="B811" s="37" t="n">
        <v>2980</v>
      </c>
      <c r="C811" s="38" t="s">
        <v>3767</v>
      </c>
      <c r="D811" s="37" t="s">
        <v>100</v>
      </c>
      <c r="E811" s="39" t="n">
        <v>27092</v>
      </c>
      <c r="F811" s="37" t="n">
        <f aca="true">IFERROR(DATEDIF(E811,TODAY(),"Y"),"")</f>
        <v>52</v>
      </c>
      <c r="G811" s="40" t="s">
        <v>3768</v>
      </c>
      <c r="H811" s="40" t="s">
        <v>3769</v>
      </c>
      <c r="I811" s="38" t="s">
        <v>3770</v>
      </c>
      <c r="J811" s="38" t="s">
        <v>18</v>
      </c>
      <c r="K811" s="38" t="s">
        <v>3771</v>
      </c>
      <c r="L811" s="38" t="s">
        <v>53</v>
      </c>
      <c r="M811" s="37" t="s">
        <v>177</v>
      </c>
      <c r="N811" s="39" t="n">
        <v>40832</v>
      </c>
      <c r="O811" s="41" t="s">
        <v>23</v>
      </c>
      <c r="P811" s="41" t="s">
        <v>105</v>
      </c>
      <c r="Q811" s="42"/>
      <c r="R811" s="41"/>
      <c r="S811" s="42"/>
      <c r="T811" s="41"/>
    </row>
    <row r="812" customFormat="false" ht="13.5" hidden="false" customHeight="true" outlineLevel="0" collapsed="false">
      <c r="A812" s="37" t="n">
        <v>809</v>
      </c>
      <c r="B812" s="37" t="n">
        <v>2984</v>
      </c>
      <c r="C812" s="38" t="s">
        <v>3772</v>
      </c>
      <c r="D812" s="37" t="s">
        <v>100</v>
      </c>
      <c r="E812" s="39" t="n">
        <v>25698</v>
      </c>
      <c r="F812" s="37" t="n">
        <f aca="true">IFERROR(DATEDIF(E812,TODAY(),"Y"),"")</f>
        <v>56</v>
      </c>
      <c r="G812" s="40" t="s">
        <v>3773</v>
      </c>
      <c r="H812" s="40" t="s">
        <v>3774</v>
      </c>
      <c r="I812" s="38" t="s">
        <v>3775</v>
      </c>
      <c r="J812" s="38" t="s">
        <v>18</v>
      </c>
      <c r="K812" s="38" t="s">
        <v>3776</v>
      </c>
      <c r="L812" s="38" t="s">
        <v>54</v>
      </c>
      <c r="M812" s="37" t="s">
        <v>120</v>
      </c>
      <c r="N812" s="39" t="n">
        <v>40850</v>
      </c>
      <c r="O812" s="41" t="s">
        <v>23</v>
      </c>
      <c r="P812" s="41" t="s">
        <v>105</v>
      </c>
      <c r="Q812" s="42"/>
      <c r="R812" s="41"/>
      <c r="S812" s="42"/>
      <c r="T812" s="41"/>
    </row>
    <row r="813" customFormat="false" ht="13.5" hidden="false" customHeight="true" outlineLevel="0" collapsed="false">
      <c r="A813" s="37" t="n">
        <v>810</v>
      </c>
      <c r="B813" s="37" t="n">
        <v>2985</v>
      </c>
      <c r="C813" s="38" t="s">
        <v>3777</v>
      </c>
      <c r="D813" s="37" t="s">
        <v>100</v>
      </c>
      <c r="E813" s="39" t="n">
        <v>16490</v>
      </c>
      <c r="F813" s="37" t="n">
        <f aca="true">IFERROR(DATEDIF(E813,TODAY(),"Y"),"")</f>
        <v>81</v>
      </c>
      <c r="G813" s="40" t="s">
        <v>3778</v>
      </c>
      <c r="H813" s="40" t="s">
        <v>3779</v>
      </c>
      <c r="I813" s="38" t="s">
        <v>3780</v>
      </c>
      <c r="J813" s="38" t="s">
        <v>16</v>
      </c>
      <c r="K813" s="38" t="s">
        <v>3781</v>
      </c>
      <c r="L813" s="38" t="s">
        <v>49</v>
      </c>
      <c r="M813" s="37"/>
      <c r="N813" s="39" t="n">
        <v>40857</v>
      </c>
      <c r="O813" s="41" t="s">
        <v>23</v>
      </c>
      <c r="P813" s="41" t="s">
        <v>105</v>
      </c>
      <c r="Q813" s="42"/>
      <c r="R813" s="41"/>
      <c r="S813" s="42"/>
      <c r="T813" s="41"/>
    </row>
    <row r="814" customFormat="false" ht="13.5" hidden="false" customHeight="true" outlineLevel="0" collapsed="false">
      <c r="A814" s="37" t="n">
        <v>811</v>
      </c>
      <c r="B814" s="37" t="n">
        <v>2986</v>
      </c>
      <c r="C814" s="38" t="s">
        <v>3782</v>
      </c>
      <c r="D814" s="37" t="s">
        <v>100</v>
      </c>
      <c r="E814" s="39" t="n">
        <v>31541</v>
      </c>
      <c r="F814" s="37" t="n">
        <f aca="true">IFERROR(DATEDIF(E814,TODAY(),"Y"),"")</f>
        <v>40</v>
      </c>
      <c r="G814" s="40" t="s">
        <v>3783</v>
      </c>
      <c r="H814" s="40"/>
      <c r="I814" s="38" t="s">
        <v>3784</v>
      </c>
      <c r="J814" s="38" t="s">
        <v>15</v>
      </c>
      <c r="K814" s="38" t="s">
        <v>3785</v>
      </c>
      <c r="L814" s="38" t="s">
        <v>55</v>
      </c>
      <c r="M814" s="37" t="s">
        <v>120</v>
      </c>
      <c r="N814" s="39" t="n">
        <v>40857</v>
      </c>
      <c r="O814" s="41" t="s">
        <v>23</v>
      </c>
      <c r="P814" s="41" t="s">
        <v>105</v>
      </c>
      <c r="Q814" s="42"/>
      <c r="R814" s="41"/>
      <c r="S814" s="42"/>
      <c r="T814" s="41"/>
    </row>
    <row r="815" customFormat="false" ht="13.5" hidden="false" customHeight="true" outlineLevel="0" collapsed="false">
      <c r="A815" s="37" t="n">
        <v>812</v>
      </c>
      <c r="B815" s="37" t="n">
        <v>2989</v>
      </c>
      <c r="C815" s="38" t="s">
        <v>3786</v>
      </c>
      <c r="D815" s="37" t="s">
        <v>100</v>
      </c>
      <c r="E815" s="39" t="n">
        <v>26057</v>
      </c>
      <c r="F815" s="37" t="n">
        <f aca="true">IFERROR(DATEDIF(E815,TODAY(),"Y"),"")</f>
        <v>55</v>
      </c>
      <c r="G815" s="40" t="s">
        <v>3787</v>
      </c>
      <c r="H815" s="40" t="s">
        <v>3788</v>
      </c>
      <c r="I815" s="38" t="s">
        <v>3789</v>
      </c>
      <c r="J815" s="38" t="s">
        <v>15</v>
      </c>
      <c r="K815" s="38" t="s">
        <v>3790</v>
      </c>
      <c r="L815" s="38" t="s">
        <v>47</v>
      </c>
      <c r="M815" s="37" t="s">
        <v>120</v>
      </c>
      <c r="N815" s="39" t="n">
        <v>40873</v>
      </c>
      <c r="O815" s="41" t="s">
        <v>23</v>
      </c>
      <c r="P815" s="41" t="s">
        <v>105</v>
      </c>
      <c r="Q815" s="42"/>
      <c r="R815" s="41"/>
      <c r="S815" s="42"/>
      <c r="T815" s="41"/>
    </row>
    <row r="816" customFormat="false" ht="13.5" hidden="false" customHeight="true" outlineLevel="0" collapsed="false">
      <c r="A816" s="37" t="n">
        <v>813</v>
      </c>
      <c r="B816" s="37" t="n">
        <v>2991</v>
      </c>
      <c r="C816" s="38" t="s">
        <v>3791</v>
      </c>
      <c r="D816" s="37" t="s">
        <v>100</v>
      </c>
      <c r="E816" s="39" t="n">
        <v>24907</v>
      </c>
      <c r="F816" s="37" t="n">
        <f aca="true">IFERROR(DATEDIF(E816,TODAY(),"Y"),"")</f>
        <v>58</v>
      </c>
      <c r="G816" s="40" t="s">
        <v>3792</v>
      </c>
      <c r="H816" s="40" t="s">
        <v>3793</v>
      </c>
      <c r="I816" s="38" t="s">
        <v>3794</v>
      </c>
      <c r="J816" s="38" t="s">
        <v>15</v>
      </c>
      <c r="K816" s="38" t="s">
        <v>3795</v>
      </c>
      <c r="L816" s="38" t="s">
        <v>46</v>
      </c>
      <c r="M816" s="37"/>
      <c r="N816" s="39" t="n">
        <v>40873</v>
      </c>
      <c r="O816" s="41" t="s">
        <v>23</v>
      </c>
      <c r="P816" s="41" t="s">
        <v>105</v>
      </c>
      <c r="Q816" s="42"/>
      <c r="R816" s="41"/>
      <c r="S816" s="42"/>
      <c r="T816" s="41"/>
    </row>
    <row r="817" customFormat="false" ht="13.5" hidden="false" customHeight="true" outlineLevel="0" collapsed="false">
      <c r="A817" s="37" t="n">
        <v>814</v>
      </c>
      <c r="B817" s="37" t="n">
        <v>2992</v>
      </c>
      <c r="C817" s="38" t="s">
        <v>3796</v>
      </c>
      <c r="D817" s="37" t="s">
        <v>100</v>
      </c>
      <c r="E817" s="39" t="n">
        <v>24285</v>
      </c>
      <c r="F817" s="37" t="n">
        <f aca="true">IFERROR(DATEDIF(E817,TODAY(),"Y"),"")</f>
        <v>60</v>
      </c>
      <c r="G817" s="40" t="s">
        <v>3797</v>
      </c>
      <c r="H817" s="40" t="s">
        <v>3798</v>
      </c>
      <c r="I817" s="38" t="s">
        <v>3799</v>
      </c>
      <c r="J817" s="38" t="s">
        <v>15</v>
      </c>
      <c r="K817" s="38" t="s">
        <v>3800</v>
      </c>
      <c r="L817" s="38" t="s">
        <v>53</v>
      </c>
      <c r="M817" s="37" t="s">
        <v>177</v>
      </c>
      <c r="N817" s="39" t="n">
        <v>40873</v>
      </c>
      <c r="O817" s="41" t="s">
        <v>23</v>
      </c>
      <c r="P817" s="41" t="s">
        <v>105</v>
      </c>
      <c r="Q817" s="42"/>
      <c r="R817" s="41"/>
      <c r="S817" s="42"/>
      <c r="T817" s="41"/>
    </row>
    <row r="818" customFormat="false" ht="13.5" hidden="false" customHeight="true" outlineLevel="0" collapsed="false">
      <c r="A818" s="37" t="n">
        <v>815</v>
      </c>
      <c r="B818" s="37" t="n">
        <v>2994</v>
      </c>
      <c r="C818" s="38" t="s">
        <v>3801</v>
      </c>
      <c r="D818" s="37" t="s">
        <v>100</v>
      </c>
      <c r="E818" s="39" t="n">
        <v>26444</v>
      </c>
      <c r="F818" s="37" t="n">
        <f aca="true">IFERROR(DATEDIF(E818,TODAY(),"Y"),"")</f>
        <v>54</v>
      </c>
      <c r="G818" s="40" t="s">
        <v>3802</v>
      </c>
      <c r="H818" s="40" t="s">
        <v>3803</v>
      </c>
      <c r="I818" s="38" t="s">
        <v>3804</v>
      </c>
      <c r="J818" s="38" t="s">
        <v>15</v>
      </c>
      <c r="K818" s="38" t="s">
        <v>3805</v>
      </c>
      <c r="L818" s="38" t="s">
        <v>47</v>
      </c>
      <c r="M818" s="37" t="s">
        <v>120</v>
      </c>
      <c r="N818" s="39" t="n">
        <v>40876</v>
      </c>
      <c r="O818" s="41" t="s">
        <v>23</v>
      </c>
      <c r="P818" s="41" t="s">
        <v>105</v>
      </c>
      <c r="Q818" s="42"/>
      <c r="R818" s="41"/>
      <c r="S818" s="42"/>
      <c r="T818" s="41"/>
    </row>
    <row r="819" customFormat="false" ht="13.5" hidden="false" customHeight="true" outlineLevel="0" collapsed="false">
      <c r="A819" s="37" t="n">
        <v>816</v>
      </c>
      <c r="B819" s="37" t="n">
        <v>2995</v>
      </c>
      <c r="C819" s="38" t="s">
        <v>3806</v>
      </c>
      <c r="D819" s="37" t="s">
        <v>100</v>
      </c>
      <c r="E819" s="39" t="n">
        <v>26643</v>
      </c>
      <c r="F819" s="37" t="n">
        <f aca="true">IFERROR(DATEDIF(E819,TODAY(),"Y"),"")</f>
        <v>53</v>
      </c>
      <c r="G819" s="40" t="s">
        <v>3807</v>
      </c>
      <c r="H819" s="40" t="s">
        <v>3808</v>
      </c>
      <c r="I819" s="38" t="s">
        <v>3809</v>
      </c>
      <c r="J819" s="38" t="s">
        <v>15</v>
      </c>
      <c r="K819" s="38" t="s">
        <v>3810</v>
      </c>
      <c r="L819" s="38" t="s">
        <v>54</v>
      </c>
      <c r="M819" s="37" t="s">
        <v>120</v>
      </c>
      <c r="N819" s="39" t="n">
        <v>40876</v>
      </c>
      <c r="O819" s="41" t="s">
        <v>23</v>
      </c>
      <c r="P819" s="41" t="s">
        <v>105</v>
      </c>
      <c r="Q819" s="42"/>
      <c r="R819" s="41"/>
      <c r="S819" s="42"/>
      <c r="T819" s="41"/>
    </row>
    <row r="820" customFormat="false" ht="13.5" hidden="false" customHeight="true" outlineLevel="0" collapsed="false">
      <c r="A820" s="37" t="n">
        <v>817</v>
      </c>
      <c r="B820" s="37" t="n">
        <v>2996</v>
      </c>
      <c r="C820" s="38" t="s">
        <v>3811</v>
      </c>
      <c r="D820" s="37" t="s">
        <v>100</v>
      </c>
      <c r="E820" s="39" t="n">
        <v>25728</v>
      </c>
      <c r="F820" s="37" t="n">
        <f aca="true">IFERROR(DATEDIF(E820,TODAY(),"Y"),"")</f>
        <v>56</v>
      </c>
      <c r="G820" s="40" t="s">
        <v>3812</v>
      </c>
      <c r="H820" s="40" t="s">
        <v>3813</v>
      </c>
      <c r="I820" s="38" t="s">
        <v>3814</v>
      </c>
      <c r="J820" s="38" t="s">
        <v>15</v>
      </c>
      <c r="K820" s="38" t="s">
        <v>3815</v>
      </c>
      <c r="L820" s="38" t="s">
        <v>46</v>
      </c>
      <c r="M820" s="37"/>
      <c r="N820" s="39" t="n">
        <v>40877</v>
      </c>
      <c r="O820" s="41" t="s">
        <v>23</v>
      </c>
      <c r="P820" s="41" t="s">
        <v>105</v>
      </c>
      <c r="Q820" s="42"/>
      <c r="R820" s="41"/>
      <c r="S820" s="42"/>
      <c r="T820" s="41"/>
    </row>
    <row r="821" customFormat="false" ht="13.5" hidden="false" customHeight="true" outlineLevel="0" collapsed="false">
      <c r="A821" s="37" t="n">
        <v>818</v>
      </c>
      <c r="B821" s="37" t="n">
        <v>2997</v>
      </c>
      <c r="C821" s="38" t="s">
        <v>3816</v>
      </c>
      <c r="D821" s="37" t="s">
        <v>100</v>
      </c>
      <c r="E821" s="39" t="n">
        <v>20083</v>
      </c>
      <c r="F821" s="37" t="n">
        <f aca="true">IFERROR(DATEDIF(E821,TODAY(),"Y"),"")</f>
        <v>71</v>
      </c>
      <c r="G821" s="40" t="s">
        <v>3817</v>
      </c>
      <c r="H821" s="40" t="s">
        <v>3818</v>
      </c>
      <c r="I821" s="38" t="s">
        <v>3819</v>
      </c>
      <c r="J821" s="38" t="s">
        <v>15</v>
      </c>
      <c r="K821" s="38" t="s">
        <v>3820</v>
      </c>
      <c r="L821" s="38" t="s">
        <v>53</v>
      </c>
      <c r="M821" s="37" t="s">
        <v>788</v>
      </c>
      <c r="N821" s="39" t="n">
        <v>40881</v>
      </c>
      <c r="O821" s="41" t="s">
        <v>23</v>
      </c>
      <c r="P821" s="41" t="s">
        <v>105</v>
      </c>
      <c r="Q821" s="42"/>
      <c r="R821" s="41"/>
      <c r="S821" s="42"/>
      <c r="T821" s="41"/>
    </row>
    <row r="822" customFormat="false" ht="13.5" hidden="false" customHeight="true" outlineLevel="0" collapsed="false">
      <c r="A822" s="37" t="n">
        <v>819</v>
      </c>
      <c r="B822" s="37" t="n">
        <v>2998</v>
      </c>
      <c r="C822" s="38" t="s">
        <v>3821</v>
      </c>
      <c r="D822" s="37" t="s">
        <v>100</v>
      </c>
      <c r="E822" s="39" t="n">
        <v>24979</v>
      </c>
      <c r="F822" s="37" t="n">
        <f aca="true">IFERROR(DATEDIF(E822,TODAY(),"Y"),"")</f>
        <v>58</v>
      </c>
      <c r="G822" s="40" t="s">
        <v>3822</v>
      </c>
      <c r="H822" s="40" t="s">
        <v>3823</v>
      </c>
      <c r="I822" s="38"/>
      <c r="J822" s="38" t="s">
        <v>15</v>
      </c>
      <c r="K822" s="38" t="s">
        <v>3824</v>
      </c>
      <c r="L822" s="38" t="s">
        <v>46</v>
      </c>
      <c r="M822" s="37"/>
      <c r="N822" s="39" t="n">
        <v>40888</v>
      </c>
      <c r="O822" s="41" t="s">
        <v>23</v>
      </c>
      <c r="P822" s="41" t="s">
        <v>105</v>
      </c>
      <c r="Q822" s="42"/>
      <c r="R822" s="41"/>
      <c r="S822" s="42"/>
      <c r="T822" s="41"/>
    </row>
    <row r="823" customFormat="false" ht="13.5" hidden="false" customHeight="true" outlineLevel="0" collapsed="false">
      <c r="A823" s="37" t="n">
        <v>820</v>
      </c>
      <c r="B823" s="37" t="n">
        <v>3000</v>
      </c>
      <c r="C823" s="38" t="s">
        <v>3825</v>
      </c>
      <c r="D823" s="37" t="s">
        <v>100</v>
      </c>
      <c r="E823" s="39" t="n">
        <v>27483</v>
      </c>
      <c r="F823" s="37" t="n">
        <f aca="true">IFERROR(DATEDIF(E823,TODAY(),"Y"),"")</f>
        <v>51</v>
      </c>
      <c r="G823" s="40" t="s">
        <v>3826</v>
      </c>
      <c r="H823" s="40"/>
      <c r="I823" s="38" t="s">
        <v>3827</v>
      </c>
      <c r="J823" s="38" t="s">
        <v>15</v>
      </c>
      <c r="K823" s="38" t="s">
        <v>3828</v>
      </c>
      <c r="L823" s="38" t="s">
        <v>55</v>
      </c>
      <c r="M823" s="37" t="s">
        <v>177</v>
      </c>
      <c r="N823" s="39" t="n">
        <v>40898</v>
      </c>
      <c r="O823" s="41" t="s">
        <v>23</v>
      </c>
      <c r="P823" s="41" t="s">
        <v>105</v>
      </c>
      <c r="Q823" s="42"/>
      <c r="R823" s="41"/>
      <c r="S823" s="42"/>
      <c r="T823" s="41"/>
    </row>
    <row r="824" customFormat="false" ht="13.5" hidden="false" customHeight="true" outlineLevel="0" collapsed="false">
      <c r="A824" s="37" t="n">
        <v>821</v>
      </c>
      <c r="B824" s="37" t="n">
        <v>3001</v>
      </c>
      <c r="C824" s="38" t="s">
        <v>3829</v>
      </c>
      <c r="D824" s="37" t="s">
        <v>100</v>
      </c>
      <c r="E824" s="39" t="n">
        <v>26975</v>
      </c>
      <c r="F824" s="37" t="n">
        <f aca="true">IFERROR(DATEDIF(E824,TODAY(),"Y"),"")</f>
        <v>52</v>
      </c>
      <c r="G824" s="40" t="s">
        <v>3830</v>
      </c>
      <c r="H824" s="40" t="s">
        <v>3831</v>
      </c>
      <c r="I824" s="38" t="s">
        <v>3832</v>
      </c>
      <c r="J824" s="38" t="s">
        <v>15</v>
      </c>
      <c r="K824" s="38" t="s">
        <v>3833</v>
      </c>
      <c r="L824" s="38" t="s">
        <v>55</v>
      </c>
      <c r="M824" s="37" t="s">
        <v>745</v>
      </c>
      <c r="N824" s="39" t="n">
        <v>40898</v>
      </c>
      <c r="O824" s="41" t="s">
        <v>23</v>
      </c>
      <c r="P824" s="41" t="s">
        <v>105</v>
      </c>
      <c r="Q824" s="42"/>
      <c r="R824" s="41"/>
      <c r="S824" s="42"/>
      <c r="T824" s="41"/>
    </row>
    <row r="825" customFormat="false" ht="13.5" hidden="false" customHeight="true" outlineLevel="0" collapsed="false">
      <c r="A825" s="37" t="n">
        <v>822</v>
      </c>
      <c r="B825" s="37" t="n">
        <v>3002</v>
      </c>
      <c r="C825" s="38" t="s">
        <v>3834</v>
      </c>
      <c r="D825" s="37" t="s">
        <v>100</v>
      </c>
      <c r="E825" s="39" t="n">
        <v>24615</v>
      </c>
      <c r="F825" s="37" t="n">
        <f aca="true">IFERROR(DATEDIF(E825,TODAY(),"Y"),"")</f>
        <v>59</v>
      </c>
      <c r="G825" s="40" t="s">
        <v>3835</v>
      </c>
      <c r="H825" s="40"/>
      <c r="I825" s="38" t="s">
        <v>3836</v>
      </c>
      <c r="J825" s="38" t="s">
        <v>16</v>
      </c>
      <c r="K825" s="38" t="s">
        <v>3837</v>
      </c>
      <c r="L825" s="38" t="s">
        <v>43</v>
      </c>
      <c r="M825" s="37" t="s">
        <v>120</v>
      </c>
      <c r="N825" s="39" t="n">
        <v>40901</v>
      </c>
      <c r="O825" s="41" t="s">
        <v>23</v>
      </c>
      <c r="P825" s="41" t="s">
        <v>105</v>
      </c>
      <c r="Q825" s="42"/>
      <c r="R825" s="41"/>
      <c r="S825" s="42"/>
      <c r="T825" s="41"/>
    </row>
    <row r="826" customFormat="false" ht="13.5" hidden="false" customHeight="true" outlineLevel="0" collapsed="false">
      <c r="A826" s="37" t="n">
        <v>823</v>
      </c>
      <c r="B826" s="37" t="n">
        <v>3003</v>
      </c>
      <c r="C826" s="38" t="s">
        <v>3838</v>
      </c>
      <c r="D826" s="37" t="s">
        <v>100</v>
      </c>
      <c r="E826" s="39" t="n">
        <v>22780</v>
      </c>
      <c r="F826" s="37" t="n">
        <f aca="true">IFERROR(DATEDIF(E826,TODAY(),"Y"),"")</f>
        <v>64</v>
      </c>
      <c r="G826" s="40" t="s">
        <v>3839</v>
      </c>
      <c r="H826" s="40" t="s">
        <v>3840</v>
      </c>
      <c r="I826" s="38" t="s">
        <v>3841</v>
      </c>
      <c r="J826" s="38" t="s">
        <v>22</v>
      </c>
      <c r="K826" s="38" t="s">
        <v>3842</v>
      </c>
      <c r="L826" s="38" t="s">
        <v>55</v>
      </c>
      <c r="M826" s="37" t="s">
        <v>120</v>
      </c>
      <c r="N826" s="39" t="n">
        <v>40905</v>
      </c>
      <c r="O826" s="41" t="s">
        <v>23</v>
      </c>
      <c r="P826" s="41" t="s">
        <v>105</v>
      </c>
      <c r="Q826" s="42"/>
      <c r="R826" s="41"/>
      <c r="S826" s="42"/>
      <c r="T826" s="41"/>
    </row>
    <row r="827" customFormat="false" ht="13.5" hidden="false" customHeight="true" outlineLevel="0" collapsed="false">
      <c r="A827" s="37" t="n">
        <v>824</v>
      </c>
      <c r="B827" s="37" t="n">
        <v>3004</v>
      </c>
      <c r="C827" s="38" t="s">
        <v>3843</v>
      </c>
      <c r="D827" s="37" t="s">
        <v>100</v>
      </c>
      <c r="E827" s="39" t="n">
        <v>25330</v>
      </c>
      <c r="F827" s="37" t="n">
        <f aca="true">IFERROR(DATEDIF(E827,TODAY(),"Y"),"")</f>
        <v>57</v>
      </c>
      <c r="G827" s="40" t="s">
        <v>3844</v>
      </c>
      <c r="H827" s="40" t="s">
        <v>3845</v>
      </c>
      <c r="I827" s="38" t="s">
        <v>3846</v>
      </c>
      <c r="J827" s="38" t="s">
        <v>15</v>
      </c>
      <c r="K827" s="38" t="s">
        <v>3847</v>
      </c>
      <c r="L827" s="38" t="s">
        <v>49</v>
      </c>
      <c r="M827" s="37" t="s">
        <v>493</v>
      </c>
      <c r="N827" s="39" t="n">
        <v>40907</v>
      </c>
      <c r="O827" s="41" t="s">
        <v>23</v>
      </c>
      <c r="P827" s="41" t="s">
        <v>105</v>
      </c>
      <c r="Q827" s="42"/>
      <c r="R827" s="41"/>
      <c r="S827" s="42"/>
      <c r="T827" s="41"/>
    </row>
    <row r="828" customFormat="false" ht="13.5" hidden="false" customHeight="true" outlineLevel="0" collapsed="false">
      <c r="A828" s="37" t="n">
        <v>825</v>
      </c>
      <c r="B828" s="37" t="n">
        <v>3007</v>
      </c>
      <c r="C828" s="38" t="s">
        <v>3848</v>
      </c>
      <c r="D828" s="37" t="s">
        <v>100</v>
      </c>
      <c r="E828" s="39" t="n">
        <v>25752</v>
      </c>
      <c r="F828" s="37" t="n">
        <f aca="true">IFERROR(DATEDIF(E828,TODAY(),"Y"),"")</f>
        <v>56</v>
      </c>
      <c r="G828" s="40" t="s">
        <v>3849</v>
      </c>
      <c r="H828" s="40" t="s">
        <v>3850</v>
      </c>
      <c r="I828" s="38" t="s">
        <v>3851</v>
      </c>
      <c r="J828" s="38" t="s">
        <v>16</v>
      </c>
      <c r="K828" s="38" t="s">
        <v>3852</v>
      </c>
      <c r="L828" s="38" t="s">
        <v>47</v>
      </c>
      <c r="M828" s="37"/>
      <c r="N828" s="39" t="n">
        <v>40912</v>
      </c>
      <c r="O828" s="41" t="s">
        <v>23</v>
      </c>
      <c r="P828" s="41" t="s">
        <v>105</v>
      </c>
      <c r="Q828" s="42"/>
      <c r="R828" s="41"/>
      <c r="S828" s="42"/>
      <c r="T828" s="41"/>
    </row>
    <row r="829" customFormat="false" ht="13.5" hidden="false" customHeight="true" outlineLevel="0" collapsed="false">
      <c r="A829" s="37" t="n">
        <v>826</v>
      </c>
      <c r="B829" s="37" t="n">
        <v>3008</v>
      </c>
      <c r="C829" s="38" t="s">
        <v>3853</v>
      </c>
      <c r="D829" s="37" t="s">
        <v>100</v>
      </c>
      <c r="E829" s="39" t="n">
        <v>29183</v>
      </c>
      <c r="F829" s="37" t="n">
        <f aca="true">IFERROR(DATEDIF(E829,TODAY(),"Y"),"")</f>
        <v>46</v>
      </c>
      <c r="G829" s="40" t="s">
        <v>3854</v>
      </c>
      <c r="H829" s="40" t="s">
        <v>3855</v>
      </c>
      <c r="I829" s="38" t="s">
        <v>3856</v>
      </c>
      <c r="J829" s="38" t="s">
        <v>16</v>
      </c>
      <c r="K829" s="38" t="s">
        <v>3857</v>
      </c>
      <c r="L829" s="38" t="s">
        <v>54</v>
      </c>
      <c r="M829" s="37" t="s">
        <v>177</v>
      </c>
      <c r="N829" s="39" t="n">
        <v>40913</v>
      </c>
      <c r="O829" s="41" t="s">
        <v>23</v>
      </c>
      <c r="P829" s="41" t="s">
        <v>105</v>
      </c>
      <c r="Q829" s="42"/>
      <c r="R829" s="41"/>
      <c r="S829" s="42"/>
      <c r="T829" s="41"/>
    </row>
    <row r="830" customFormat="false" ht="13.5" hidden="false" customHeight="true" outlineLevel="0" collapsed="false">
      <c r="A830" s="37" t="n">
        <v>827</v>
      </c>
      <c r="B830" s="37" t="n">
        <v>3009</v>
      </c>
      <c r="C830" s="38" t="s">
        <v>3858</v>
      </c>
      <c r="D830" s="37" t="s">
        <v>100</v>
      </c>
      <c r="E830" s="39" t="n">
        <v>27179</v>
      </c>
      <c r="F830" s="37" t="n">
        <f aca="true">IFERROR(DATEDIF(E830,TODAY(),"Y"),"")</f>
        <v>52</v>
      </c>
      <c r="G830" s="40" t="s">
        <v>3859</v>
      </c>
      <c r="H830" s="40" t="s">
        <v>3860</v>
      </c>
      <c r="I830" s="38" t="s">
        <v>3861</v>
      </c>
      <c r="J830" s="38" t="s">
        <v>16</v>
      </c>
      <c r="K830" s="38" t="s">
        <v>3862</v>
      </c>
      <c r="L830" s="38" t="s">
        <v>47</v>
      </c>
      <c r="M830" s="37" t="s">
        <v>231</v>
      </c>
      <c r="N830" s="39" t="n">
        <v>40915</v>
      </c>
      <c r="O830" s="41" t="s">
        <v>23</v>
      </c>
      <c r="P830" s="41" t="s">
        <v>105</v>
      </c>
      <c r="Q830" s="42"/>
      <c r="R830" s="41"/>
      <c r="S830" s="42"/>
      <c r="T830" s="41"/>
    </row>
    <row r="831" customFormat="false" ht="13.5" hidden="false" customHeight="true" outlineLevel="0" collapsed="false">
      <c r="A831" s="37" t="n">
        <v>828</v>
      </c>
      <c r="B831" s="37" t="n">
        <v>3011</v>
      </c>
      <c r="C831" s="38" t="s">
        <v>1815</v>
      </c>
      <c r="D831" s="37" t="s">
        <v>100</v>
      </c>
      <c r="E831" s="39" t="n">
        <v>25322</v>
      </c>
      <c r="F831" s="37" t="n">
        <f aca="true">IFERROR(DATEDIF(E831,TODAY(),"Y"),"")</f>
        <v>57</v>
      </c>
      <c r="G831" s="40" t="s">
        <v>3863</v>
      </c>
      <c r="H831" s="40" t="s">
        <v>3864</v>
      </c>
      <c r="I831" s="38" t="s">
        <v>3865</v>
      </c>
      <c r="J831" s="38" t="s">
        <v>16</v>
      </c>
      <c r="K831" s="38" t="s">
        <v>3866</v>
      </c>
      <c r="L831" s="38" t="s">
        <v>46</v>
      </c>
      <c r="M831" s="37" t="s">
        <v>177</v>
      </c>
      <c r="N831" s="39" t="n">
        <v>40923</v>
      </c>
      <c r="O831" s="41" t="s">
        <v>23</v>
      </c>
      <c r="P831" s="41" t="s">
        <v>105</v>
      </c>
      <c r="Q831" s="42"/>
      <c r="R831" s="41"/>
      <c r="S831" s="42"/>
      <c r="T831" s="41"/>
    </row>
    <row r="832" customFormat="false" ht="13.5" hidden="false" customHeight="true" outlineLevel="0" collapsed="false">
      <c r="A832" s="37" t="n">
        <v>829</v>
      </c>
      <c r="B832" s="37" t="n">
        <v>3012</v>
      </c>
      <c r="C832" s="38" t="s">
        <v>3867</v>
      </c>
      <c r="D832" s="37" t="s">
        <v>100</v>
      </c>
      <c r="E832" s="39" t="n">
        <v>25340</v>
      </c>
      <c r="F832" s="37" t="n">
        <f aca="true">IFERROR(DATEDIF(E832,TODAY(),"Y"),"")</f>
        <v>57</v>
      </c>
      <c r="G832" s="40" t="s">
        <v>3868</v>
      </c>
      <c r="H832" s="40"/>
      <c r="I832" s="38" t="s">
        <v>3869</v>
      </c>
      <c r="J832" s="38" t="s">
        <v>16</v>
      </c>
      <c r="K832" s="38" t="s">
        <v>3870</v>
      </c>
      <c r="L832" s="38" t="s">
        <v>51</v>
      </c>
      <c r="M832" s="37" t="s">
        <v>104</v>
      </c>
      <c r="N832" s="39" t="n">
        <v>40925</v>
      </c>
      <c r="O832" s="41" t="s">
        <v>23</v>
      </c>
      <c r="P832" s="41" t="s">
        <v>105</v>
      </c>
      <c r="Q832" s="42"/>
      <c r="R832" s="41"/>
      <c r="S832" s="42"/>
      <c r="T832" s="41"/>
    </row>
    <row r="833" customFormat="false" ht="13.5" hidden="false" customHeight="true" outlineLevel="0" collapsed="false">
      <c r="A833" s="37" t="n">
        <v>830</v>
      </c>
      <c r="B833" s="37" t="n">
        <v>3016</v>
      </c>
      <c r="C833" s="38" t="s">
        <v>3871</v>
      </c>
      <c r="D833" s="37" t="s">
        <v>100</v>
      </c>
      <c r="E833" s="39" t="n">
        <v>28161</v>
      </c>
      <c r="F833" s="37" t="n">
        <f aca="true">IFERROR(DATEDIF(E833,TODAY(),"Y"),"")</f>
        <v>49</v>
      </c>
      <c r="G833" s="40" t="s">
        <v>3872</v>
      </c>
      <c r="H833" s="40"/>
      <c r="I833" s="38" t="s">
        <v>3873</v>
      </c>
      <c r="J833" s="38" t="s">
        <v>15</v>
      </c>
      <c r="K833" s="38" t="s">
        <v>3874</v>
      </c>
      <c r="L833" s="38" t="s">
        <v>47</v>
      </c>
      <c r="M833" s="37" t="s">
        <v>104</v>
      </c>
      <c r="N833" s="39" t="n">
        <v>40947</v>
      </c>
      <c r="O833" s="41" t="s">
        <v>23</v>
      </c>
      <c r="P833" s="41" t="s">
        <v>105</v>
      </c>
      <c r="Q833" s="42"/>
      <c r="R833" s="41"/>
      <c r="S833" s="42"/>
      <c r="T833" s="41"/>
    </row>
    <row r="834" customFormat="false" ht="13.5" hidden="false" customHeight="true" outlineLevel="0" collapsed="false">
      <c r="A834" s="37" t="n">
        <v>831</v>
      </c>
      <c r="B834" s="37" t="n">
        <v>3017</v>
      </c>
      <c r="C834" s="38" t="s">
        <v>3875</v>
      </c>
      <c r="D834" s="37" t="s">
        <v>100</v>
      </c>
      <c r="E834" s="39" t="n">
        <v>27715</v>
      </c>
      <c r="F834" s="37" t="n">
        <f aca="true">IFERROR(DATEDIF(E834,TODAY(),"Y"),"")</f>
        <v>50</v>
      </c>
      <c r="G834" s="40" t="s">
        <v>3876</v>
      </c>
      <c r="H834" s="40" t="s">
        <v>3877</v>
      </c>
      <c r="I834" s="38" t="s">
        <v>3878</v>
      </c>
      <c r="J834" s="38"/>
      <c r="K834" s="38" t="s">
        <v>3879</v>
      </c>
      <c r="L834" s="38" t="s">
        <v>55</v>
      </c>
      <c r="M834" s="37" t="s">
        <v>104</v>
      </c>
      <c r="N834" s="39" t="n">
        <v>40947</v>
      </c>
      <c r="O834" s="41" t="s">
        <v>23</v>
      </c>
      <c r="P834" s="41" t="s">
        <v>105</v>
      </c>
      <c r="Q834" s="42"/>
      <c r="R834" s="41"/>
      <c r="S834" s="42"/>
      <c r="T834" s="41"/>
    </row>
    <row r="835" customFormat="false" ht="13.5" hidden="false" customHeight="true" outlineLevel="0" collapsed="false">
      <c r="A835" s="37" t="n">
        <v>832</v>
      </c>
      <c r="B835" s="37" t="n">
        <v>3018</v>
      </c>
      <c r="C835" s="38" t="s">
        <v>3880</v>
      </c>
      <c r="D835" s="37" t="s">
        <v>100</v>
      </c>
      <c r="E835" s="39" t="n">
        <v>25336</v>
      </c>
      <c r="F835" s="37" t="n">
        <f aca="true">IFERROR(DATEDIF(E835,TODAY(),"Y"),"")</f>
        <v>57</v>
      </c>
      <c r="G835" s="40" t="s">
        <v>3881</v>
      </c>
      <c r="H835" s="40" t="s">
        <v>3882</v>
      </c>
      <c r="I835" s="38" t="s">
        <v>3883</v>
      </c>
      <c r="J835" s="38" t="s">
        <v>15</v>
      </c>
      <c r="K835" s="38" t="s">
        <v>3884</v>
      </c>
      <c r="L835" s="38" t="s">
        <v>52</v>
      </c>
      <c r="M835" s="37"/>
      <c r="N835" s="39" t="n">
        <v>40948</v>
      </c>
      <c r="O835" s="41" t="s">
        <v>23</v>
      </c>
      <c r="P835" s="41" t="s">
        <v>105</v>
      </c>
      <c r="Q835" s="42"/>
      <c r="R835" s="41"/>
      <c r="S835" s="42"/>
      <c r="T835" s="41"/>
    </row>
    <row r="836" customFormat="false" ht="13.5" hidden="false" customHeight="true" outlineLevel="0" collapsed="false">
      <c r="A836" s="37" t="n">
        <v>833</v>
      </c>
      <c r="B836" s="37" t="n">
        <v>3019</v>
      </c>
      <c r="C836" s="38" t="s">
        <v>3885</v>
      </c>
      <c r="D836" s="37" t="s">
        <v>100</v>
      </c>
      <c r="E836" s="39" t="n">
        <v>24986</v>
      </c>
      <c r="F836" s="37" t="n">
        <f aca="true">IFERROR(DATEDIF(E836,TODAY(),"Y"),"")</f>
        <v>58</v>
      </c>
      <c r="G836" s="40" t="s">
        <v>3886</v>
      </c>
      <c r="H836" s="40" t="s">
        <v>3887</v>
      </c>
      <c r="I836" s="38" t="s">
        <v>3888</v>
      </c>
      <c r="J836" s="38" t="s">
        <v>15</v>
      </c>
      <c r="K836" s="38" t="s">
        <v>3889</v>
      </c>
      <c r="L836" s="38" t="s">
        <v>51</v>
      </c>
      <c r="M836" s="37" t="s">
        <v>177</v>
      </c>
      <c r="N836" s="39" t="n">
        <v>40948</v>
      </c>
      <c r="O836" s="41" t="s">
        <v>23</v>
      </c>
      <c r="P836" s="41" t="s">
        <v>105</v>
      </c>
      <c r="Q836" s="42"/>
      <c r="R836" s="41"/>
      <c r="S836" s="42"/>
      <c r="T836" s="41"/>
    </row>
    <row r="837" customFormat="false" ht="13.5" hidden="false" customHeight="true" outlineLevel="0" collapsed="false">
      <c r="A837" s="37" t="n">
        <v>834</v>
      </c>
      <c r="B837" s="37" t="n">
        <v>3020</v>
      </c>
      <c r="C837" s="38" t="s">
        <v>3890</v>
      </c>
      <c r="D837" s="37" t="s">
        <v>100</v>
      </c>
      <c r="E837" s="39" t="n">
        <v>25091</v>
      </c>
      <c r="F837" s="37" t="n">
        <f aca="true">IFERROR(DATEDIF(E837,TODAY(),"Y"),"")</f>
        <v>57</v>
      </c>
      <c r="G837" s="40" t="s">
        <v>3891</v>
      </c>
      <c r="H837" s="40" t="s">
        <v>3892</v>
      </c>
      <c r="I837" s="38" t="s">
        <v>3893</v>
      </c>
      <c r="J837" s="38" t="s">
        <v>16</v>
      </c>
      <c r="K837" s="38" t="s">
        <v>3894</v>
      </c>
      <c r="L837" s="38" t="s">
        <v>47</v>
      </c>
      <c r="M837" s="37"/>
      <c r="N837" s="39" t="n">
        <v>40951</v>
      </c>
      <c r="O837" s="41" t="s">
        <v>23</v>
      </c>
      <c r="P837" s="41" t="s">
        <v>105</v>
      </c>
      <c r="Q837" s="42"/>
      <c r="R837" s="41"/>
      <c r="S837" s="42"/>
      <c r="T837" s="41"/>
    </row>
    <row r="838" customFormat="false" ht="13.5" hidden="false" customHeight="true" outlineLevel="0" collapsed="false">
      <c r="A838" s="37" t="n">
        <v>835</v>
      </c>
      <c r="B838" s="37" t="n">
        <v>3021</v>
      </c>
      <c r="C838" s="38" t="s">
        <v>3895</v>
      </c>
      <c r="D838" s="37" t="s">
        <v>100</v>
      </c>
      <c r="E838" s="39" t="n">
        <v>23194</v>
      </c>
      <c r="F838" s="37" t="n">
        <f aca="true">IFERROR(DATEDIF(E838,TODAY(),"Y"),"")</f>
        <v>63</v>
      </c>
      <c r="G838" s="40" t="s">
        <v>3896</v>
      </c>
      <c r="H838" s="40" t="s">
        <v>3897</v>
      </c>
      <c r="I838" s="38" t="s">
        <v>3898</v>
      </c>
      <c r="J838" s="38" t="s">
        <v>16</v>
      </c>
      <c r="K838" s="38" t="s">
        <v>3899</v>
      </c>
      <c r="L838" s="38" t="s">
        <v>55</v>
      </c>
      <c r="M838" s="37" t="s">
        <v>120</v>
      </c>
      <c r="N838" s="39" t="n">
        <v>40958</v>
      </c>
      <c r="O838" s="41" t="s">
        <v>23</v>
      </c>
      <c r="P838" s="41" t="s">
        <v>105</v>
      </c>
      <c r="Q838" s="42"/>
      <c r="R838" s="41"/>
      <c r="S838" s="42"/>
      <c r="T838" s="41"/>
    </row>
    <row r="839" customFormat="false" ht="13.5" hidden="false" customHeight="true" outlineLevel="0" collapsed="false">
      <c r="A839" s="37" t="n">
        <v>836</v>
      </c>
      <c r="B839" s="37" t="n">
        <v>3022</v>
      </c>
      <c r="C839" s="38" t="s">
        <v>3900</v>
      </c>
      <c r="D839" s="37" t="s">
        <v>100</v>
      </c>
      <c r="E839" s="39" t="n">
        <v>29731</v>
      </c>
      <c r="F839" s="37" t="n">
        <f aca="true">IFERROR(DATEDIF(E839,TODAY(),"Y"),"")</f>
        <v>45</v>
      </c>
      <c r="G839" s="40" t="s">
        <v>3901</v>
      </c>
      <c r="H839" s="40" t="s">
        <v>3902</v>
      </c>
      <c r="I839" s="38" t="s">
        <v>3903</v>
      </c>
      <c r="J839" s="38"/>
      <c r="K839" s="38" t="s">
        <v>3904</v>
      </c>
      <c r="L839" s="38" t="s">
        <v>48</v>
      </c>
      <c r="M839" s="37" t="s">
        <v>177</v>
      </c>
      <c r="N839" s="39" t="n">
        <v>40969</v>
      </c>
      <c r="O839" s="41" t="s">
        <v>23</v>
      </c>
      <c r="P839" s="41" t="s">
        <v>105</v>
      </c>
      <c r="Q839" s="42"/>
      <c r="R839" s="41"/>
      <c r="S839" s="42"/>
      <c r="T839" s="41"/>
    </row>
    <row r="840" customFormat="false" ht="13.5" hidden="false" customHeight="true" outlineLevel="0" collapsed="false">
      <c r="A840" s="37" t="n">
        <v>837</v>
      </c>
      <c r="B840" s="37" t="n">
        <v>3027</v>
      </c>
      <c r="C840" s="38" t="s">
        <v>3905</v>
      </c>
      <c r="D840" s="37" t="s">
        <v>100</v>
      </c>
      <c r="E840" s="39" t="n">
        <v>24258</v>
      </c>
      <c r="F840" s="37" t="n">
        <f aca="true">IFERROR(DATEDIF(E840,TODAY(),"Y"),"")</f>
        <v>60</v>
      </c>
      <c r="G840" s="40" t="s">
        <v>3906</v>
      </c>
      <c r="H840" s="40"/>
      <c r="I840" s="38" t="s">
        <v>3907</v>
      </c>
      <c r="J840" s="38" t="s">
        <v>16</v>
      </c>
      <c r="K840" s="38" t="s">
        <v>3908</v>
      </c>
      <c r="L840" s="38" t="s">
        <v>53</v>
      </c>
      <c r="M840" s="37" t="s">
        <v>231</v>
      </c>
      <c r="N840" s="39" t="n">
        <v>40989</v>
      </c>
      <c r="O840" s="41" t="s">
        <v>23</v>
      </c>
      <c r="P840" s="41" t="s">
        <v>105</v>
      </c>
      <c r="Q840" s="42"/>
      <c r="R840" s="41"/>
      <c r="S840" s="42"/>
      <c r="T840" s="41"/>
    </row>
    <row r="841" customFormat="false" ht="13.5" hidden="false" customHeight="true" outlineLevel="0" collapsed="false">
      <c r="A841" s="37" t="n">
        <v>838</v>
      </c>
      <c r="B841" s="37" t="n">
        <v>3028</v>
      </c>
      <c r="C841" s="38" t="s">
        <v>3909</v>
      </c>
      <c r="D841" s="37" t="s">
        <v>100</v>
      </c>
      <c r="E841" s="39" t="n">
        <v>17609</v>
      </c>
      <c r="F841" s="37" t="n">
        <f aca="true">IFERROR(DATEDIF(E841,TODAY(),"Y"),"")</f>
        <v>78</v>
      </c>
      <c r="G841" s="40" t="s">
        <v>3910</v>
      </c>
      <c r="H841" s="40"/>
      <c r="I841" s="38" t="s">
        <v>3911</v>
      </c>
      <c r="J841" s="38" t="s">
        <v>15</v>
      </c>
      <c r="K841" s="38" t="s">
        <v>3912</v>
      </c>
      <c r="L841" s="38" t="s">
        <v>55</v>
      </c>
      <c r="M841" s="37"/>
      <c r="N841" s="39" t="n">
        <v>40990</v>
      </c>
      <c r="O841" s="41" t="s">
        <v>23</v>
      </c>
      <c r="P841" s="41" t="s">
        <v>105</v>
      </c>
      <c r="Q841" s="42"/>
      <c r="R841" s="41"/>
      <c r="S841" s="42"/>
      <c r="T841" s="41"/>
    </row>
    <row r="842" customFormat="false" ht="13.5" hidden="false" customHeight="true" outlineLevel="0" collapsed="false">
      <c r="A842" s="37" t="n">
        <v>839</v>
      </c>
      <c r="B842" s="37" t="n">
        <v>3029</v>
      </c>
      <c r="C842" s="38" t="s">
        <v>3913</v>
      </c>
      <c r="D842" s="37" t="s">
        <v>100</v>
      </c>
      <c r="E842" s="39" t="n">
        <v>23116</v>
      </c>
      <c r="F842" s="37" t="n">
        <f aca="true">IFERROR(DATEDIF(E842,TODAY(),"Y"),"")</f>
        <v>63</v>
      </c>
      <c r="G842" s="40" t="s">
        <v>3914</v>
      </c>
      <c r="H842" s="40" t="s">
        <v>3915</v>
      </c>
      <c r="I842" s="38" t="s">
        <v>3916</v>
      </c>
      <c r="J842" s="38" t="s">
        <v>15</v>
      </c>
      <c r="K842" s="38" t="s">
        <v>3917</v>
      </c>
      <c r="L842" s="38" t="s">
        <v>48</v>
      </c>
      <c r="M842" s="37"/>
      <c r="N842" s="39" t="n">
        <v>41000</v>
      </c>
      <c r="O842" s="41" t="s">
        <v>23</v>
      </c>
      <c r="P842" s="41" t="s">
        <v>105</v>
      </c>
      <c r="Q842" s="42"/>
      <c r="R842" s="41"/>
      <c r="S842" s="42"/>
      <c r="T842" s="41"/>
    </row>
    <row r="843" customFormat="false" ht="13.5" hidden="false" customHeight="true" outlineLevel="0" collapsed="false">
      <c r="A843" s="37" t="n">
        <v>840</v>
      </c>
      <c r="B843" s="37" t="n">
        <v>3030</v>
      </c>
      <c r="C843" s="38" t="s">
        <v>3918</v>
      </c>
      <c r="D843" s="37" t="s">
        <v>100</v>
      </c>
      <c r="E843" s="39" t="n">
        <v>25643</v>
      </c>
      <c r="F843" s="37" t="n">
        <f aca="true">IFERROR(DATEDIF(E843,TODAY(),"Y"),"")</f>
        <v>56</v>
      </c>
      <c r="G843" s="40" t="s">
        <v>3919</v>
      </c>
      <c r="H843" s="40" t="s">
        <v>3920</v>
      </c>
      <c r="I843" s="38" t="s">
        <v>3921</v>
      </c>
      <c r="J843" s="38" t="s">
        <v>15</v>
      </c>
      <c r="K843" s="38" t="s">
        <v>3922</v>
      </c>
      <c r="L843" s="38" t="s">
        <v>46</v>
      </c>
      <c r="M843" s="37" t="s">
        <v>104</v>
      </c>
      <c r="N843" s="39" t="n">
        <v>41001</v>
      </c>
      <c r="O843" s="41" t="s">
        <v>23</v>
      </c>
      <c r="P843" s="41" t="s">
        <v>105</v>
      </c>
      <c r="Q843" s="42"/>
      <c r="R843" s="41"/>
      <c r="S843" s="42"/>
      <c r="T843" s="41"/>
    </row>
    <row r="844" customFormat="false" ht="13.5" hidden="false" customHeight="true" outlineLevel="0" collapsed="false">
      <c r="A844" s="37" t="n">
        <v>841</v>
      </c>
      <c r="B844" s="37" t="n">
        <v>3032</v>
      </c>
      <c r="C844" s="38" t="s">
        <v>3923</v>
      </c>
      <c r="D844" s="37" t="s">
        <v>100</v>
      </c>
      <c r="E844" s="39" t="n">
        <v>21624</v>
      </c>
      <c r="F844" s="37" t="n">
        <f aca="true">IFERROR(DATEDIF(E844,TODAY(),"Y"),"")</f>
        <v>67</v>
      </c>
      <c r="G844" s="40" t="s">
        <v>3924</v>
      </c>
      <c r="H844" s="40" t="s">
        <v>3925</v>
      </c>
      <c r="I844" s="38" t="s">
        <v>3926</v>
      </c>
      <c r="J844" s="38" t="s">
        <v>15</v>
      </c>
      <c r="K844" s="38" t="s">
        <v>3927</v>
      </c>
      <c r="L844" s="38" t="s">
        <v>49</v>
      </c>
      <c r="M844" s="37" t="s">
        <v>120</v>
      </c>
      <c r="N844" s="39" t="n">
        <v>41008</v>
      </c>
      <c r="O844" s="41" t="s">
        <v>23</v>
      </c>
      <c r="P844" s="41" t="s">
        <v>105</v>
      </c>
      <c r="Q844" s="42"/>
      <c r="R844" s="41"/>
      <c r="S844" s="42"/>
      <c r="T844" s="41"/>
    </row>
    <row r="845" customFormat="false" ht="13.5" hidden="false" customHeight="true" outlineLevel="0" collapsed="false">
      <c r="A845" s="37" t="n">
        <v>842</v>
      </c>
      <c r="B845" s="37" t="n">
        <v>3033</v>
      </c>
      <c r="C845" s="38" t="s">
        <v>3928</v>
      </c>
      <c r="D845" s="37" t="s">
        <v>100</v>
      </c>
      <c r="E845" s="39" t="n">
        <v>20913</v>
      </c>
      <c r="F845" s="37" t="n">
        <f aca="true">IFERROR(DATEDIF(E845,TODAY(),"Y"),"")</f>
        <v>69</v>
      </c>
      <c r="G845" s="40" t="s">
        <v>3929</v>
      </c>
      <c r="H845" s="40" t="s">
        <v>3930</v>
      </c>
      <c r="I845" s="38"/>
      <c r="J845" s="38" t="s">
        <v>15</v>
      </c>
      <c r="K845" s="38" t="s">
        <v>3931</v>
      </c>
      <c r="L845" s="38" t="s">
        <v>47</v>
      </c>
      <c r="M845" s="37"/>
      <c r="N845" s="39" t="n">
        <v>41010</v>
      </c>
      <c r="O845" s="41" t="s">
        <v>23</v>
      </c>
      <c r="P845" s="41" t="s">
        <v>105</v>
      </c>
      <c r="Q845" s="42"/>
      <c r="R845" s="41"/>
      <c r="S845" s="42"/>
      <c r="T845" s="41"/>
    </row>
    <row r="846" customFormat="false" ht="13.5" hidden="false" customHeight="true" outlineLevel="0" collapsed="false">
      <c r="A846" s="37" t="n">
        <v>843</v>
      </c>
      <c r="B846" s="37" t="n">
        <v>3034</v>
      </c>
      <c r="C846" s="38" t="s">
        <v>3932</v>
      </c>
      <c r="D846" s="37" t="s">
        <v>100</v>
      </c>
      <c r="E846" s="39" t="n">
        <v>26814</v>
      </c>
      <c r="F846" s="37" t="n">
        <f aca="true">IFERROR(DATEDIF(E846,TODAY(),"Y"),"")</f>
        <v>53</v>
      </c>
      <c r="G846" s="40" t="s">
        <v>3933</v>
      </c>
      <c r="H846" s="40" t="s">
        <v>3934</v>
      </c>
      <c r="I846" s="38" t="s">
        <v>3935</v>
      </c>
      <c r="J846" s="38" t="s">
        <v>15</v>
      </c>
      <c r="K846" s="38" t="s">
        <v>3936</v>
      </c>
      <c r="L846" s="38" t="s">
        <v>51</v>
      </c>
      <c r="M846" s="37"/>
      <c r="N846" s="39" t="n">
        <v>41014</v>
      </c>
      <c r="O846" s="41" t="s">
        <v>23</v>
      </c>
      <c r="P846" s="41" t="s">
        <v>105</v>
      </c>
      <c r="Q846" s="42"/>
      <c r="R846" s="41"/>
      <c r="S846" s="42"/>
      <c r="T846" s="41"/>
    </row>
    <row r="847" customFormat="false" ht="13.5" hidden="false" customHeight="true" outlineLevel="0" collapsed="false">
      <c r="A847" s="37" t="n">
        <v>844</v>
      </c>
      <c r="B847" s="37" t="n">
        <v>3036</v>
      </c>
      <c r="C847" s="38" t="s">
        <v>3937</v>
      </c>
      <c r="D847" s="37" t="s">
        <v>100</v>
      </c>
      <c r="E847" s="39" t="n">
        <v>25678</v>
      </c>
      <c r="F847" s="37" t="n">
        <f aca="true">IFERROR(DATEDIF(E847,TODAY(),"Y"),"")</f>
        <v>56</v>
      </c>
      <c r="G847" s="40" t="s">
        <v>3938</v>
      </c>
      <c r="H847" s="40" t="s">
        <v>3939</v>
      </c>
      <c r="I847" s="38" t="s">
        <v>3940</v>
      </c>
      <c r="J847" s="38" t="s">
        <v>15</v>
      </c>
      <c r="K847" s="38" t="s">
        <v>3941</v>
      </c>
      <c r="L847" s="38" t="s">
        <v>53</v>
      </c>
      <c r="M847" s="37" t="s">
        <v>104</v>
      </c>
      <c r="N847" s="39" t="n">
        <v>41025</v>
      </c>
      <c r="O847" s="41" t="s">
        <v>23</v>
      </c>
      <c r="P847" s="41" t="s">
        <v>105</v>
      </c>
      <c r="Q847" s="42"/>
      <c r="R847" s="41"/>
      <c r="S847" s="42"/>
      <c r="T847" s="41"/>
    </row>
    <row r="848" customFormat="false" ht="13.5" hidden="false" customHeight="true" outlineLevel="0" collapsed="false">
      <c r="A848" s="37" t="n">
        <v>845</v>
      </c>
      <c r="B848" s="37" t="n">
        <v>3038</v>
      </c>
      <c r="C848" s="38" t="s">
        <v>3942</v>
      </c>
      <c r="D848" s="37" t="s">
        <v>100</v>
      </c>
      <c r="E848" s="39" t="n">
        <v>23893</v>
      </c>
      <c r="F848" s="37" t="n">
        <f aca="true">IFERROR(DATEDIF(E848,TODAY(),"Y"),"")</f>
        <v>61</v>
      </c>
      <c r="G848" s="40" t="s">
        <v>3943</v>
      </c>
      <c r="H848" s="40" t="s">
        <v>3944</v>
      </c>
      <c r="I848" s="38" t="s">
        <v>3945</v>
      </c>
      <c r="J848" s="38" t="s">
        <v>15</v>
      </c>
      <c r="K848" s="38" t="s">
        <v>3946</v>
      </c>
      <c r="L848" s="38" t="s">
        <v>54</v>
      </c>
      <c r="M848" s="37"/>
      <c r="N848" s="39" t="n">
        <v>41036</v>
      </c>
      <c r="O848" s="41" t="s">
        <v>23</v>
      </c>
      <c r="P848" s="41" t="s">
        <v>105</v>
      </c>
      <c r="Q848" s="42"/>
      <c r="R848" s="41"/>
      <c r="S848" s="42"/>
      <c r="T848" s="41"/>
    </row>
    <row r="849" customFormat="false" ht="13.5" hidden="false" customHeight="true" outlineLevel="0" collapsed="false">
      <c r="A849" s="37" t="n">
        <v>846</v>
      </c>
      <c r="B849" s="37" t="n">
        <v>3040</v>
      </c>
      <c r="C849" s="38" t="s">
        <v>3947</v>
      </c>
      <c r="D849" s="37" t="s">
        <v>100</v>
      </c>
      <c r="E849" s="39" t="n">
        <v>25333</v>
      </c>
      <c r="F849" s="37" t="n">
        <f aca="true">IFERROR(DATEDIF(E849,TODAY(),"Y"),"")</f>
        <v>57</v>
      </c>
      <c r="G849" s="40" t="s">
        <v>3948</v>
      </c>
      <c r="H849" s="40"/>
      <c r="I849" s="38" t="s">
        <v>3949</v>
      </c>
      <c r="J849" s="38" t="s">
        <v>15</v>
      </c>
      <c r="K849" s="38" t="s">
        <v>3950</v>
      </c>
      <c r="L849" s="38" t="s">
        <v>55</v>
      </c>
      <c r="M849" s="37" t="s">
        <v>120</v>
      </c>
      <c r="N849" s="39" t="n">
        <v>41054</v>
      </c>
      <c r="O849" s="41" t="s">
        <v>23</v>
      </c>
      <c r="P849" s="41" t="s">
        <v>105</v>
      </c>
      <c r="Q849" s="42"/>
      <c r="R849" s="41"/>
      <c r="S849" s="42"/>
      <c r="T849" s="41"/>
    </row>
    <row r="850" customFormat="false" ht="13.5" hidden="false" customHeight="true" outlineLevel="0" collapsed="false">
      <c r="A850" s="37" t="n">
        <v>847</v>
      </c>
      <c r="B850" s="37" t="n">
        <v>3041</v>
      </c>
      <c r="C850" s="38" t="s">
        <v>3951</v>
      </c>
      <c r="D850" s="37" t="s">
        <v>100</v>
      </c>
      <c r="E850" s="39" t="n">
        <v>24987</v>
      </c>
      <c r="F850" s="37" t="n">
        <f aca="true">IFERROR(DATEDIF(E850,TODAY(),"Y"),"")</f>
        <v>58</v>
      </c>
      <c r="G850" s="40" t="s">
        <v>3952</v>
      </c>
      <c r="H850" s="40"/>
      <c r="I850" s="38" t="s">
        <v>3953</v>
      </c>
      <c r="J850" s="38" t="s">
        <v>24</v>
      </c>
      <c r="K850" s="38" t="s">
        <v>3954</v>
      </c>
      <c r="L850" s="38" t="s">
        <v>48</v>
      </c>
      <c r="M850" s="37"/>
      <c r="N850" s="39" t="n">
        <v>41057</v>
      </c>
      <c r="O850" s="41" t="s">
        <v>23</v>
      </c>
      <c r="P850" s="41" t="s">
        <v>105</v>
      </c>
      <c r="Q850" s="42"/>
      <c r="R850" s="41"/>
      <c r="S850" s="42"/>
      <c r="T850" s="41"/>
    </row>
    <row r="851" customFormat="false" ht="13.5" hidden="false" customHeight="true" outlineLevel="0" collapsed="false">
      <c r="A851" s="37" t="n">
        <v>848</v>
      </c>
      <c r="B851" s="37" t="n">
        <v>3043</v>
      </c>
      <c r="C851" s="38" t="s">
        <v>3955</v>
      </c>
      <c r="D851" s="37" t="s">
        <v>100</v>
      </c>
      <c r="E851" s="39" t="n">
        <v>29163</v>
      </c>
      <c r="F851" s="37" t="n">
        <f aca="true">IFERROR(DATEDIF(E851,TODAY(),"Y"),"")</f>
        <v>46</v>
      </c>
      <c r="G851" s="40" t="s">
        <v>3956</v>
      </c>
      <c r="H851" s="40" t="s">
        <v>3957</v>
      </c>
      <c r="I851" s="38" t="s">
        <v>3958</v>
      </c>
      <c r="J851" s="38" t="s">
        <v>16</v>
      </c>
      <c r="K851" s="38" t="s">
        <v>3959</v>
      </c>
      <c r="L851" s="38" t="s">
        <v>46</v>
      </c>
      <c r="M851" s="37"/>
      <c r="N851" s="39" t="n">
        <v>41058</v>
      </c>
      <c r="O851" s="41" t="s">
        <v>23</v>
      </c>
      <c r="P851" s="41" t="s">
        <v>105</v>
      </c>
      <c r="Q851" s="42"/>
      <c r="R851" s="41"/>
      <c r="S851" s="42"/>
      <c r="T851" s="41"/>
    </row>
    <row r="852" customFormat="false" ht="13.5" hidden="false" customHeight="true" outlineLevel="0" collapsed="false">
      <c r="A852" s="37" t="n">
        <v>849</v>
      </c>
      <c r="B852" s="37" t="n">
        <v>3044</v>
      </c>
      <c r="C852" s="38" t="s">
        <v>3960</v>
      </c>
      <c r="D852" s="37" t="s">
        <v>100</v>
      </c>
      <c r="E852" s="39" t="n">
        <v>23890</v>
      </c>
      <c r="F852" s="37" t="n">
        <f aca="true">IFERROR(DATEDIF(E852,TODAY(),"Y"),"")</f>
        <v>61</v>
      </c>
      <c r="G852" s="40" t="s">
        <v>3961</v>
      </c>
      <c r="H852" s="40" t="s">
        <v>3962</v>
      </c>
      <c r="I852" s="38" t="s">
        <v>3963</v>
      </c>
      <c r="J852" s="38" t="s">
        <v>15</v>
      </c>
      <c r="K852" s="38" t="s">
        <v>3964</v>
      </c>
      <c r="L852" s="38" t="s">
        <v>49</v>
      </c>
      <c r="M852" s="37"/>
      <c r="N852" s="39" t="n">
        <v>41066</v>
      </c>
      <c r="O852" s="41" t="s">
        <v>23</v>
      </c>
      <c r="P852" s="41" t="s">
        <v>105</v>
      </c>
      <c r="Q852" s="42"/>
      <c r="R852" s="41"/>
      <c r="S852" s="42"/>
      <c r="T852" s="41"/>
    </row>
    <row r="853" customFormat="false" ht="13.5" hidden="false" customHeight="true" outlineLevel="0" collapsed="false">
      <c r="A853" s="37" t="n">
        <v>850</v>
      </c>
      <c r="B853" s="37" t="n">
        <v>3045</v>
      </c>
      <c r="C853" s="38" t="s">
        <v>3965</v>
      </c>
      <c r="D853" s="37" t="s">
        <v>100</v>
      </c>
      <c r="E853" s="39" t="n">
        <v>20418</v>
      </c>
      <c r="F853" s="37" t="n">
        <f aca="true">IFERROR(DATEDIF(E853,TODAY(),"Y"),"")</f>
        <v>70</v>
      </c>
      <c r="G853" s="40" t="s">
        <v>3966</v>
      </c>
      <c r="H853" s="40" t="s">
        <v>3967</v>
      </c>
      <c r="I853" s="38" t="s">
        <v>3968</v>
      </c>
      <c r="J853" s="38" t="s">
        <v>15</v>
      </c>
      <c r="K853" s="38" t="s">
        <v>3969</v>
      </c>
      <c r="L853" s="43" t="s">
        <v>58</v>
      </c>
      <c r="M853" s="37"/>
      <c r="N853" s="39" t="n">
        <v>41067</v>
      </c>
      <c r="O853" s="41" t="s">
        <v>23</v>
      </c>
      <c r="P853" s="41" t="s">
        <v>105</v>
      </c>
      <c r="Q853" s="42"/>
      <c r="R853" s="41"/>
      <c r="S853" s="42"/>
      <c r="T853" s="41"/>
    </row>
    <row r="854" customFormat="false" ht="13.5" hidden="false" customHeight="true" outlineLevel="0" collapsed="false">
      <c r="A854" s="37" t="n">
        <v>851</v>
      </c>
      <c r="B854" s="37" t="n">
        <v>3048</v>
      </c>
      <c r="C854" s="38" t="s">
        <v>3970</v>
      </c>
      <c r="D854" s="37" t="s">
        <v>100</v>
      </c>
      <c r="E854" s="39" t="n">
        <v>25348</v>
      </c>
      <c r="F854" s="37" t="n">
        <f aca="true">IFERROR(DATEDIF(E854,TODAY(),"Y"),"")</f>
        <v>57</v>
      </c>
      <c r="G854" s="40" t="s">
        <v>3971</v>
      </c>
      <c r="H854" s="40"/>
      <c r="I854" s="38" t="s">
        <v>3972</v>
      </c>
      <c r="J854" s="38" t="s">
        <v>15</v>
      </c>
      <c r="K854" s="38" t="s">
        <v>3973</v>
      </c>
      <c r="L854" s="38" t="s">
        <v>55</v>
      </c>
      <c r="M854" s="37"/>
      <c r="N854" s="39" t="n">
        <v>41084</v>
      </c>
      <c r="O854" s="41" t="s">
        <v>23</v>
      </c>
      <c r="P854" s="41" t="s">
        <v>105</v>
      </c>
      <c r="Q854" s="42"/>
      <c r="R854" s="41"/>
      <c r="S854" s="42"/>
      <c r="T854" s="41"/>
    </row>
    <row r="855" customFormat="false" ht="13.5" hidden="false" customHeight="true" outlineLevel="0" collapsed="false">
      <c r="A855" s="37" t="n">
        <v>852</v>
      </c>
      <c r="B855" s="37" t="n">
        <v>3049</v>
      </c>
      <c r="C855" s="38" t="s">
        <v>3974</v>
      </c>
      <c r="D855" s="37" t="s">
        <v>100</v>
      </c>
      <c r="E855" s="39" t="n">
        <v>19726</v>
      </c>
      <c r="F855" s="37" t="n">
        <f aca="true">IFERROR(DATEDIF(E855,TODAY(),"Y"),"")</f>
        <v>72</v>
      </c>
      <c r="G855" s="40" t="s">
        <v>3975</v>
      </c>
      <c r="H855" s="40" t="s">
        <v>3976</v>
      </c>
      <c r="I855" s="38" t="s">
        <v>3977</v>
      </c>
      <c r="J855" s="38" t="s">
        <v>16</v>
      </c>
      <c r="K855" s="38" t="s">
        <v>3978</v>
      </c>
      <c r="L855" s="38" t="s">
        <v>55</v>
      </c>
      <c r="M855" s="37"/>
      <c r="N855" s="39" t="n">
        <v>41086</v>
      </c>
      <c r="O855" s="41" t="s">
        <v>23</v>
      </c>
      <c r="P855" s="41" t="s">
        <v>105</v>
      </c>
      <c r="Q855" s="42"/>
      <c r="R855" s="41"/>
      <c r="S855" s="42"/>
      <c r="T855" s="41"/>
    </row>
    <row r="856" customFormat="false" ht="13.5" hidden="false" customHeight="true" outlineLevel="0" collapsed="false">
      <c r="A856" s="37" t="n">
        <v>853</v>
      </c>
      <c r="B856" s="37" t="n">
        <v>3050</v>
      </c>
      <c r="C856" s="38" t="s">
        <v>3979</v>
      </c>
      <c r="D856" s="37" t="s">
        <v>100</v>
      </c>
      <c r="E856" s="39" t="n">
        <v>29414</v>
      </c>
      <c r="F856" s="37" t="n">
        <f aca="true">IFERROR(DATEDIF(E856,TODAY(),"Y"),"")</f>
        <v>46</v>
      </c>
      <c r="G856" s="40" t="s">
        <v>3980</v>
      </c>
      <c r="H856" s="40"/>
      <c r="I856" s="38" t="s">
        <v>3981</v>
      </c>
      <c r="J856" s="38" t="s">
        <v>15</v>
      </c>
      <c r="K856" s="38" t="s">
        <v>3982</v>
      </c>
      <c r="L856" s="38" t="s">
        <v>57</v>
      </c>
      <c r="M856" s="37"/>
      <c r="N856" s="39" t="n">
        <v>41093</v>
      </c>
      <c r="O856" s="41" t="s">
        <v>23</v>
      </c>
      <c r="P856" s="41" t="s">
        <v>105</v>
      </c>
      <c r="Q856" s="42"/>
      <c r="R856" s="41"/>
      <c r="S856" s="42"/>
      <c r="T856" s="41"/>
    </row>
    <row r="857" customFormat="false" ht="13.5" hidden="false" customHeight="true" outlineLevel="0" collapsed="false">
      <c r="A857" s="37" t="n">
        <v>854</v>
      </c>
      <c r="B857" s="37" t="n">
        <v>3051</v>
      </c>
      <c r="C857" s="38" t="s">
        <v>3983</v>
      </c>
      <c r="D857" s="37" t="s">
        <v>100</v>
      </c>
      <c r="E857" s="39" t="n">
        <v>24988</v>
      </c>
      <c r="F857" s="37" t="n">
        <f aca="true">IFERROR(DATEDIF(E857,TODAY(),"Y"),"")</f>
        <v>58</v>
      </c>
      <c r="G857" s="40" t="s">
        <v>3984</v>
      </c>
      <c r="H857" s="40"/>
      <c r="I857" s="38" t="s">
        <v>3985</v>
      </c>
      <c r="J857" s="38" t="s">
        <v>15</v>
      </c>
      <c r="K857" s="38" t="s">
        <v>3986</v>
      </c>
      <c r="L857" s="38" t="s">
        <v>50</v>
      </c>
      <c r="M857" s="37" t="s">
        <v>177</v>
      </c>
      <c r="N857" s="39" t="n">
        <v>41094</v>
      </c>
      <c r="O857" s="41" t="s">
        <v>23</v>
      </c>
      <c r="P857" s="41" t="s">
        <v>105</v>
      </c>
      <c r="Q857" s="42"/>
      <c r="R857" s="41"/>
      <c r="S857" s="42"/>
      <c r="T857" s="41"/>
    </row>
    <row r="858" customFormat="false" ht="13.5" hidden="false" customHeight="true" outlineLevel="0" collapsed="false">
      <c r="A858" s="37" t="n">
        <v>855</v>
      </c>
      <c r="B858" s="37" t="n">
        <v>3053</v>
      </c>
      <c r="C858" s="38" t="s">
        <v>3987</v>
      </c>
      <c r="D858" s="37" t="s">
        <v>100</v>
      </c>
      <c r="E858" s="39" t="n">
        <v>23365</v>
      </c>
      <c r="F858" s="37" t="n">
        <f aca="true">IFERROR(DATEDIF(E858,TODAY(),"Y"),"")</f>
        <v>62</v>
      </c>
      <c r="G858" s="40" t="s">
        <v>3988</v>
      </c>
      <c r="H858" s="40" t="s">
        <v>3989</v>
      </c>
      <c r="I858" s="38" t="s">
        <v>3990</v>
      </c>
      <c r="J858" s="38" t="s">
        <v>15</v>
      </c>
      <c r="K858" s="38" t="s">
        <v>3991</v>
      </c>
      <c r="L858" s="38" t="s">
        <v>47</v>
      </c>
      <c r="M858" s="37" t="s">
        <v>177</v>
      </c>
      <c r="N858" s="39" t="n">
        <v>41097</v>
      </c>
      <c r="O858" s="41" t="s">
        <v>23</v>
      </c>
      <c r="P858" s="41" t="s">
        <v>105</v>
      </c>
      <c r="Q858" s="42"/>
      <c r="R858" s="41"/>
      <c r="S858" s="42"/>
      <c r="T858" s="41"/>
    </row>
    <row r="859" customFormat="false" ht="13.5" hidden="false" customHeight="true" outlineLevel="0" collapsed="false">
      <c r="A859" s="37" t="n">
        <v>856</v>
      </c>
      <c r="B859" s="37" t="n">
        <v>3054</v>
      </c>
      <c r="C859" s="38" t="s">
        <v>3992</v>
      </c>
      <c r="D859" s="37" t="s">
        <v>100</v>
      </c>
      <c r="E859" s="39" t="n">
        <v>20181</v>
      </c>
      <c r="F859" s="37" t="n">
        <f aca="true">IFERROR(DATEDIF(E859,TODAY(),"Y"),"")</f>
        <v>71</v>
      </c>
      <c r="G859" s="40" t="s">
        <v>3993</v>
      </c>
      <c r="H859" s="40" t="s">
        <v>3994</v>
      </c>
      <c r="I859" s="38" t="s">
        <v>3995</v>
      </c>
      <c r="J859" s="38" t="s">
        <v>15</v>
      </c>
      <c r="K859" s="38" t="s">
        <v>3996</v>
      </c>
      <c r="L859" s="38" t="s">
        <v>57</v>
      </c>
      <c r="M859" s="37" t="s">
        <v>120</v>
      </c>
      <c r="N859" s="39" t="n">
        <v>41099</v>
      </c>
      <c r="O859" s="41" t="s">
        <v>23</v>
      </c>
      <c r="P859" s="41" t="s">
        <v>105</v>
      </c>
      <c r="Q859" s="42"/>
      <c r="R859" s="41"/>
      <c r="S859" s="42"/>
      <c r="T859" s="41"/>
    </row>
    <row r="860" customFormat="false" ht="13.5" hidden="false" customHeight="true" outlineLevel="0" collapsed="false">
      <c r="A860" s="37" t="n">
        <v>857</v>
      </c>
      <c r="B860" s="37" t="n">
        <v>3055</v>
      </c>
      <c r="C860" s="38" t="s">
        <v>3997</v>
      </c>
      <c r="D860" s="37" t="s">
        <v>100</v>
      </c>
      <c r="E860" s="39" t="n">
        <v>23525</v>
      </c>
      <c r="F860" s="37" t="n">
        <f aca="true">IFERROR(DATEDIF(E860,TODAY(),"Y"),"")</f>
        <v>62</v>
      </c>
      <c r="G860" s="40" t="s">
        <v>3998</v>
      </c>
      <c r="H860" s="40" t="s">
        <v>3999</v>
      </c>
      <c r="I860" s="38" t="s">
        <v>4000</v>
      </c>
      <c r="J860" s="38" t="s">
        <v>15</v>
      </c>
      <c r="K860" s="38" t="s">
        <v>4001</v>
      </c>
      <c r="L860" s="38" t="s">
        <v>49</v>
      </c>
      <c r="M860" s="37" t="s">
        <v>120</v>
      </c>
      <c r="N860" s="39" t="n">
        <v>41100</v>
      </c>
      <c r="O860" s="41" t="s">
        <v>23</v>
      </c>
      <c r="P860" s="41" t="s">
        <v>105</v>
      </c>
      <c r="Q860" s="42"/>
      <c r="R860" s="41"/>
      <c r="S860" s="42"/>
      <c r="T860" s="41"/>
    </row>
    <row r="861" customFormat="false" ht="13.5" hidden="false" customHeight="true" outlineLevel="0" collapsed="false">
      <c r="A861" s="37" t="n">
        <v>858</v>
      </c>
      <c r="B861" s="37" t="n">
        <v>3056</v>
      </c>
      <c r="C861" s="38" t="s">
        <v>4002</v>
      </c>
      <c r="D861" s="37" t="s">
        <v>100</v>
      </c>
      <c r="E861" s="39" t="n">
        <v>24990</v>
      </c>
      <c r="F861" s="37" t="n">
        <f aca="true">IFERROR(DATEDIF(E861,TODAY(),"Y"),"")</f>
        <v>58</v>
      </c>
      <c r="G861" s="40" t="s">
        <v>4003</v>
      </c>
      <c r="H861" s="40" t="s">
        <v>4004</v>
      </c>
      <c r="I861" s="38" t="s">
        <v>4005</v>
      </c>
      <c r="J861" s="38" t="s">
        <v>16</v>
      </c>
      <c r="K861" s="38" t="s">
        <v>4006</v>
      </c>
      <c r="L861" s="38" t="s">
        <v>46</v>
      </c>
      <c r="M861" s="37" t="s">
        <v>120</v>
      </c>
      <c r="N861" s="39" t="n">
        <v>41100</v>
      </c>
      <c r="O861" s="41" t="s">
        <v>23</v>
      </c>
      <c r="P861" s="41" t="s">
        <v>105</v>
      </c>
      <c r="Q861" s="42"/>
      <c r="R861" s="41"/>
      <c r="S861" s="42"/>
      <c r="T861" s="41"/>
    </row>
    <row r="862" customFormat="false" ht="13.5" hidden="false" customHeight="true" outlineLevel="0" collapsed="false">
      <c r="A862" s="37" t="n">
        <v>859</v>
      </c>
      <c r="B862" s="37" t="n">
        <v>3057</v>
      </c>
      <c r="C862" s="38" t="s">
        <v>4007</v>
      </c>
      <c r="D862" s="37" t="s">
        <v>100</v>
      </c>
      <c r="E862" s="39" t="n">
        <v>22640</v>
      </c>
      <c r="F862" s="37" t="n">
        <f aca="true">IFERROR(DATEDIF(E862,TODAY(),"Y"),"")</f>
        <v>64</v>
      </c>
      <c r="G862" s="40" t="s">
        <v>4008</v>
      </c>
      <c r="H862" s="40" t="s">
        <v>4009</v>
      </c>
      <c r="I862" s="38" t="s">
        <v>4010</v>
      </c>
      <c r="J862" s="38" t="s">
        <v>15</v>
      </c>
      <c r="K862" s="38" t="s">
        <v>4011</v>
      </c>
      <c r="L862" s="38" t="s">
        <v>46</v>
      </c>
      <c r="M862" s="37" t="s">
        <v>177</v>
      </c>
      <c r="N862" s="39" t="n">
        <v>41101</v>
      </c>
      <c r="O862" s="41" t="s">
        <v>23</v>
      </c>
      <c r="P862" s="41" t="s">
        <v>105</v>
      </c>
      <c r="Q862" s="42"/>
      <c r="R862" s="41"/>
      <c r="S862" s="42"/>
      <c r="T862" s="41"/>
    </row>
    <row r="863" customFormat="false" ht="13.5" hidden="false" customHeight="true" outlineLevel="0" collapsed="false">
      <c r="A863" s="37" t="n">
        <v>860</v>
      </c>
      <c r="B863" s="37" t="n">
        <v>3058</v>
      </c>
      <c r="C863" s="38" t="s">
        <v>4012</v>
      </c>
      <c r="D863" s="37" t="s">
        <v>100</v>
      </c>
      <c r="E863" s="39" t="n">
        <v>28609</v>
      </c>
      <c r="F863" s="37" t="n">
        <f aca="true">IFERROR(DATEDIF(E863,TODAY(),"Y"),"")</f>
        <v>48</v>
      </c>
      <c r="G863" s="40" t="s">
        <v>4013</v>
      </c>
      <c r="H863" s="40" t="s">
        <v>4014</v>
      </c>
      <c r="I863" s="38" t="s">
        <v>4015</v>
      </c>
      <c r="J863" s="38" t="s">
        <v>16</v>
      </c>
      <c r="K863" s="38" t="s">
        <v>4016</v>
      </c>
      <c r="L863" s="38" t="s">
        <v>53</v>
      </c>
      <c r="M863" s="37"/>
      <c r="N863" s="39" t="n">
        <v>41101</v>
      </c>
      <c r="O863" s="41" t="s">
        <v>23</v>
      </c>
      <c r="P863" s="41" t="s">
        <v>105</v>
      </c>
      <c r="Q863" s="42"/>
      <c r="R863" s="41"/>
      <c r="S863" s="42"/>
      <c r="T863" s="41"/>
    </row>
    <row r="864" customFormat="false" ht="13.5" hidden="false" customHeight="true" outlineLevel="0" collapsed="false">
      <c r="A864" s="37" t="n">
        <v>861</v>
      </c>
      <c r="B864" s="37" t="n">
        <v>3059</v>
      </c>
      <c r="C864" s="38" t="s">
        <v>4017</v>
      </c>
      <c r="D864" s="37" t="s">
        <v>100</v>
      </c>
      <c r="E864" s="39" t="n">
        <v>21698</v>
      </c>
      <c r="F864" s="37" t="n">
        <f aca="true">IFERROR(DATEDIF(E864,TODAY(),"Y"),"")</f>
        <v>67</v>
      </c>
      <c r="G864" s="40" t="s">
        <v>4018</v>
      </c>
      <c r="H864" s="40" t="s">
        <v>4019</v>
      </c>
      <c r="I864" s="38" t="s">
        <v>4020</v>
      </c>
      <c r="J864" s="38" t="s">
        <v>15</v>
      </c>
      <c r="K864" s="38" t="s">
        <v>4021</v>
      </c>
      <c r="L864" s="38" t="s">
        <v>53</v>
      </c>
      <c r="M864" s="37"/>
      <c r="N864" s="39" t="n">
        <v>41108</v>
      </c>
      <c r="O864" s="41" t="s">
        <v>23</v>
      </c>
      <c r="P864" s="41" t="s">
        <v>105</v>
      </c>
      <c r="Q864" s="42"/>
      <c r="R864" s="41"/>
      <c r="S864" s="42"/>
      <c r="T864" s="41"/>
    </row>
    <row r="865" customFormat="false" ht="13.5" hidden="false" customHeight="true" outlineLevel="0" collapsed="false">
      <c r="A865" s="37" t="n">
        <v>862</v>
      </c>
      <c r="B865" s="37" t="n">
        <v>3060</v>
      </c>
      <c r="C865" s="38" t="s">
        <v>4022</v>
      </c>
      <c r="D865" s="37" t="s">
        <v>100</v>
      </c>
      <c r="E865" s="39" t="n">
        <v>25718</v>
      </c>
      <c r="F865" s="37" t="n">
        <f aca="true">IFERROR(DATEDIF(E865,TODAY(),"Y"),"")</f>
        <v>56</v>
      </c>
      <c r="G865" s="40" t="s">
        <v>4023</v>
      </c>
      <c r="H865" s="40" t="s">
        <v>4024</v>
      </c>
      <c r="I865" s="38" t="s">
        <v>4025</v>
      </c>
      <c r="J865" s="38" t="s">
        <v>15</v>
      </c>
      <c r="K865" s="38" t="s">
        <v>4026</v>
      </c>
      <c r="L865" s="38" t="s">
        <v>51</v>
      </c>
      <c r="M865" s="37" t="s">
        <v>120</v>
      </c>
      <c r="N865" s="39" t="n">
        <v>41112</v>
      </c>
      <c r="O865" s="41" t="s">
        <v>23</v>
      </c>
      <c r="P865" s="41" t="s">
        <v>105</v>
      </c>
      <c r="Q865" s="42"/>
      <c r="R865" s="41"/>
      <c r="S865" s="42"/>
      <c r="T865" s="41"/>
    </row>
    <row r="866" customFormat="false" ht="13.5" hidden="false" customHeight="true" outlineLevel="0" collapsed="false">
      <c r="A866" s="37" t="n">
        <v>863</v>
      </c>
      <c r="B866" s="37" t="n">
        <v>3061</v>
      </c>
      <c r="C866" s="38" t="s">
        <v>4027</v>
      </c>
      <c r="D866" s="37" t="s">
        <v>100</v>
      </c>
      <c r="E866" s="39" t="n">
        <v>26813</v>
      </c>
      <c r="F866" s="37" t="n">
        <f aca="true">IFERROR(DATEDIF(E866,TODAY(),"Y"),"")</f>
        <v>53</v>
      </c>
      <c r="G866" s="40" t="s">
        <v>4028</v>
      </c>
      <c r="H866" s="40"/>
      <c r="I866" s="38" t="s">
        <v>4029</v>
      </c>
      <c r="J866" s="38" t="s">
        <v>15</v>
      </c>
      <c r="K866" s="38" t="s">
        <v>4030</v>
      </c>
      <c r="L866" s="38" t="s">
        <v>55</v>
      </c>
      <c r="M866" s="37" t="s">
        <v>177</v>
      </c>
      <c r="N866" s="39" t="n">
        <v>41113</v>
      </c>
      <c r="O866" s="41" t="s">
        <v>23</v>
      </c>
      <c r="P866" s="41" t="s">
        <v>105</v>
      </c>
      <c r="Q866" s="42"/>
      <c r="R866" s="41"/>
      <c r="S866" s="42"/>
      <c r="T866" s="41"/>
    </row>
    <row r="867" customFormat="false" ht="13.5" hidden="false" customHeight="true" outlineLevel="0" collapsed="false">
      <c r="A867" s="37" t="n">
        <v>864</v>
      </c>
      <c r="B867" s="37" t="n">
        <v>3063</v>
      </c>
      <c r="C867" s="38" t="s">
        <v>4031</v>
      </c>
      <c r="D867" s="37" t="s">
        <v>100</v>
      </c>
      <c r="E867" s="39" t="n">
        <v>25338</v>
      </c>
      <c r="F867" s="37" t="n">
        <f aca="true">IFERROR(DATEDIF(E867,TODAY(),"Y"),"")</f>
        <v>57</v>
      </c>
      <c r="G867" s="40" t="s">
        <v>4032</v>
      </c>
      <c r="H867" s="40"/>
      <c r="I867" s="38" t="s">
        <v>4033</v>
      </c>
      <c r="J867" s="38" t="s">
        <v>18</v>
      </c>
      <c r="K867" s="38" t="s">
        <v>4034</v>
      </c>
      <c r="L867" s="38" t="s">
        <v>51</v>
      </c>
      <c r="M867" s="37"/>
      <c r="N867" s="39" t="n">
        <v>41120</v>
      </c>
      <c r="O867" s="41" t="s">
        <v>23</v>
      </c>
      <c r="P867" s="41" t="s">
        <v>105</v>
      </c>
      <c r="Q867" s="42"/>
      <c r="R867" s="41"/>
      <c r="S867" s="42"/>
      <c r="T867" s="41"/>
    </row>
    <row r="868" customFormat="false" ht="13.5" hidden="false" customHeight="true" outlineLevel="0" collapsed="false">
      <c r="A868" s="37" t="n">
        <v>865</v>
      </c>
      <c r="B868" s="37" t="n">
        <v>3064</v>
      </c>
      <c r="C868" s="38" t="s">
        <v>4035</v>
      </c>
      <c r="D868" s="37" t="s">
        <v>100</v>
      </c>
      <c r="E868" s="39" t="n">
        <v>22356</v>
      </c>
      <c r="F868" s="37" t="n">
        <f aca="true">IFERROR(DATEDIF(E868,TODAY(),"Y"),"")</f>
        <v>65</v>
      </c>
      <c r="G868" s="40" t="s">
        <v>4036</v>
      </c>
      <c r="H868" s="40" t="s">
        <v>4037</v>
      </c>
      <c r="I868" s="38" t="s">
        <v>4038</v>
      </c>
      <c r="J868" s="38" t="s">
        <v>15</v>
      </c>
      <c r="K868" s="38" t="s">
        <v>4039</v>
      </c>
      <c r="L868" s="38" t="s">
        <v>55</v>
      </c>
      <c r="M868" s="37"/>
      <c r="N868" s="39" t="n">
        <v>41123</v>
      </c>
      <c r="O868" s="41" t="s">
        <v>23</v>
      </c>
      <c r="P868" s="41" t="s">
        <v>105</v>
      </c>
      <c r="Q868" s="42"/>
      <c r="R868" s="41"/>
      <c r="S868" s="42"/>
      <c r="T868" s="41"/>
    </row>
    <row r="869" customFormat="false" ht="13.5" hidden="false" customHeight="true" outlineLevel="0" collapsed="false">
      <c r="A869" s="37" t="n">
        <v>866</v>
      </c>
      <c r="B869" s="37" t="n">
        <v>3065</v>
      </c>
      <c r="C869" s="38" t="s">
        <v>4040</v>
      </c>
      <c r="D869" s="37" t="s">
        <v>100</v>
      </c>
      <c r="E869" s="39" t="n">
        <v>25716</v>
      </c>
      <c r="F869" s="37" t="n">
        <f aca="true">IFERROR(DATEDIF(E869,TODAY(),"Y"),"")</f>
        <v>56</v>
      </c>
      <c r="G869" s="40" t="s">
        <v>4041</v>
      </c>
      <c r="H869" s="40" t="s">
        <v>4042</v>
      </c>
      <c r="I869" s="38" t="s">
        <v>4043</v>
      </c>
      <c r="J869" s="38" t="s">
        <v>15</v>
      </c>
      <c r="K869" s="38" t="s">
        <v>4044</v>
      </c>
      <c r="L869" s="38" t="s">
        <v>55</v>
      </c>
      <c r="M869" s="37"/>
      <c r="N869" s="39" t="n">
        <v>41132</v>
      </c>
      <c r="O869" s="41" t="s">
        <v>23</v>
      </c>
      <c r="P869" s="41" t="s">
        <v>105</v>
      </c>
      <c r="Q869" s="42"/>
      <c r="R869" s="41"/>
      <c r="S869" s="42"/>
      <c r="T869" s="41"/>
    </row>
    <row r="870" customFormat="false" ht="13.5" hidden="false" customHeight="true" outlineLevel="0" collapsed="false">
      <c r="A870" s="37" t="n">
        <v>867</v>
      </c>
      <c r="B870" s="37" t="n">
        <v>3068</v>
      </c>
      <c r="C870" s="38" t="s">
        <v>4045</v>
      </c>
      <c r="D870" s="37" t="s">
        <v>100</v>
      </c>
      <c r="E870" s="39" t="n">
        <v>26325</v>
      </c>
      <c r="F870" s="37" t="n">
        <f aca="true">IFERROR(DATEDIF(E870,TODAY(),"Y"),"")</f>
        <v>54</v>
      </c>
      <c r="G870" s="40" t="s">
        <v>4046</v>
      </c>
      <c r="H870" s="40" t="s">
        <v>4047</v>
      </c>
      <c r="I870" s="38" t="s">
        <v>4048</v>
      </c>
      <c r="J870" s="38" t="s">
        <v>15</v>
      </c>
      <c r="K870" s="38" t="s">
        <v>4049</v>
      </c>
      <c r="L870" s="38" t="s">
        <v>53</v>
      </c>
      <c r="M870" s="37" t="s">
        <v>120</v>
      </c>
      <c r="N870" s="39" t="n">
        <v>41147</v>
      </c>
      <c r="O870" s="41" t="s">
        <v>23</v>
      </c>
      <c r="P870" s="41" t="s">
        <v>105</v>
      </c>
      <c r="Q870" s="42"/>
      <c r="R870" s="41"/>
      <c r="S870" s="42"/>
      <c r="T870" s="41"/>
    </row>
    <row r="871" customFormat="false" ht="13.5" hidden="false" customHeight="true" outlineLevel="0" collapsed="false">
      <c r="A871" s="37" t="n">
        <v>868</v>
      </c>
      <c r="B871" s="37" t="n">
        <v>3069</v>
      </c>
      <c r="C871" s="38" t="s">
        <v>4050</v>
      </c>
      <c r="D871" s="37" t="s">
        <v>100</v>
      </c>
      <c r="E871" s="39" t="n">
        <v>24988</v>
      </c>
      <c r="F871" s="37" t="n">
        <f aca="true">IFERROR(DATEDIF(E871,TODAY(),"Y"),"")</f>
        <v>58</v>
      </c>
      <c r="G871" s="40" t="s">
        <v>4051</v>
      </c>
      <c r="H871" s="40" t="s">
        <v>4052</v>
      </c>
      <c r="I871" s="38" t="s">
        <v>4053</v>
      </c>
      <c r="J871" s="38" t="s">
        <v>15</v>
      </c>
      <c r="K871" s="38" t="s">
        <v>4054</v>
      </c>
      <c r="L871" s="38" t="s">
        <v>54</v>
      </c>
      <c r="M871" s="37"/>
      <c r="N871" s="39" t="n">
        <v>41147</v>
      </c>
      <c r="O871" s="41" t="s">
        <v>23</v>
      </c>
      <c r="P871" s="41" t="s">
        <v>105</v>
      </c>
      <c r="Q871" s="42"/>
      <c r="R871" s="41"/>
      <c r="S871" s="42"/>
      <c r="T871" s="41"/>
    </row>
    <row r="872" customFormat="false" ht="13.5" hidden="false" customHeight="true" outlineLevel="0" collapsed="false">
      <c r="A872" s="37" t="n">
        <v>869</v>
      </c>
      <c r="B872" s="37" t="n">
        <v>3070</v>
      </c>
      <c r="C872" s="38" t="s">
        <v>4055</v>
      </c>
      <c r="D872" s="37" t="s">
        <v>100</v>
      </c>
      <c r="E872" s="39" t="n">
        <v>27174</v>
      </c>
      <c r="F872" s="37" t="n">
        <f aca="true">IFERROR(DATEDIF(E872,TODAY(),"Y"),"")</f>
        <v>52</v>
      </c>
      <c r="G872" s="40" t="s">
        <v>4056</v>
      </c>
      <c r="H872" s="40" t="s">
        <v>4057</v>
      </c>
      <c r="I872" s="38" t="s">
        <v>4058</v>
      </c>
      <c r="J872" s="38" t="s">
        <v>18</v>
      </c>
      <c r="K872" s="38" t="s">
        <v>4059</v>
      </c>
      <c r="L872" s="38" t="s">
        <v>51</v>
      </c>
      <c r="M872" s="37"/>
      <c r="N872" s="39" t="n">
        <v>41153</v>
      </c>
      <c r="O872" s="41" t="s">
        <v>23</v>
      </c>
      <c r="P872" s="41" t="s">
        <v>105</v>
      </c>
      <c r="Q872" s="42"/>
      <c r="R872" s="41"/>
      <c r="S872" s="42"/>
      <c r="T872" s="41"/>
    </row>
    <row r="873" customFormat="false" ht="13.5" hidden="false" customHeight="true" outlineLevel="0" collapsed="false">
      <c r="A873" s="37" t="n">
        <v>870</v>
      </c>
      <c r="B873" s="37" t="n">
        <v>3071</v>
      </c>
      <c r="C873" s="38" t="s">
        <v>4060</v>
      </c>
      <c r="D873" s="37" t="s">
        <v>100</v>
      </c>
      <c r="E873" s="39" t="n">
        <v>24983</v>
      </c>
      <c r="F873" s="37" t="n">
        <f aca="true">IFERROR(DATEDIF(E873,TODAY(),"Y"),"")</f>
        <v>58</v>
      </c>
      <c r="G873" s="40" t="s">
        <v>4061</v>
      </c>
      <c r="H873" s="40"/>
      <c r="I873" s="38" t="s">
        <v>4062</v>
      </c>
      <c r="J873" s="38" t="s">
        <v>15</v>
      </c>
      <c r="K873" s="38" t="s">
        <v>4063</v>
      </c>
      <c r="L873" s="38" t="s">
        <v>49</v>
      </c>
      <c r="M873" s="37" t="s">
        <v>231</v>
      </c>
      <c r="N873" s="39" t="n">
        <v>41175</v>
      </c>
      <c r="O873" s="41" t="s">
        <v>23</v>
      </c>
      <c r="P873" s="41" t="s">
        <v>105</v>
      </c>
      <c r="Q873" s="42"/>
      <c r="R873" s="41"/>
      <c r="S873" s="42"/>
      <c r="T873" s="41"/>
    </row>
    <row r="874" customFormat="false" ht="13.5" hidden="false" customHeight="true" outlineLevel="0" collapsed="false">
      <c r="A874" s="37" t="n">
        <v>871</v>
      </c>
      <c r="B874" s="37" t="n">
        <v>3073</v>
      </c>
      <c r="C874" s="38" t="s">
        <v>4064</v>
      </c>
      <c r="D874" s="37" t="s">
        <v>100</v>
      </c>
      <c r="E874" s="39" t="n">
        <v>25724</v>
      </c>
      <c r="F874" s="37" t="n">
        <f aca="true">IFERROR(DATEDIF(E874,TODAY(),"Y"),"")</f>
        <v>56</v>
      </c>
      <c r="G874" s="40" t="s">
        <v>4065</v>
      </c>
      <c r="H874" s="40" t="s">
        <v>4066</v>
      </c>
      <c r="I874" s="38" t="s">
        <v>4067</v>
      </c>
      <c r="J874" s="38" t="s">
        <v>18</v>
      </c>
      <c r="K874" s="38" t="s">
        <v>4068</v>
      </c>
      <c r="L874" s="38" t="s">
        <v>57</v>
      </c>
      <c r="M874" s="37"/>
      <c r="N874" s="39" t="n">
        <v>41178</v>
      </c>
      <c r="O874" s="41" t="s">
        <v>23</v>
      </c>
      <c r="P874" s="41" t="s">
        <v>105</v>
      </c>
      <c r="Q874" s="42"/>
      <c r="R874" s="41"/>
      <c r="S874" s="42"/>
      <c r="T874" s="41"/>
    </row>
    <row r="875" customFormat="false" ht="13.5" hidden="false" customHeight="true" outlineLevel="0" collapsed="false">
      <c r="A875" s="37" t="n">
        <v>872</v>
      </c>
      <c r="B875" s="37" t="n">
        <v>3074</v>
      </c>
      <c r="C875" s="38" t="s">
        <v>4069</v>
      </c>
      <c r="D875" s="37" t="s">
        <v>100</v>
      </c>
      <c r="E875" s="39" t="n">
        <v>23878</v>
      </c>
      <c r="F875" s="37" t="n">
        <f aca="true">IFERROR(DATEDIF(E875,TODAY(),"Y"),"")</f>
        <v>61</v>
      </c>
      <c r="G875" s="40" t="s">
        <v>4070</v>
      </c>
      <c r="H875" s="40" t="s">
        <v>4071</v>
      </c>
      <c r="I875" s="38" t="s">
        <v>4072</v>
      </c>
      <c r="J875" s="38" t="s">
        <v>15</v>
      </c>
      <c r="K875" s="38" t="s">
        <v>4073</v>
      </c>
      <c r="L875" s="38" t="s">
        <v>54</v>
      </c>
      <c r="M875" s="37"/>
      <c r="N875" s="39" t="n">
        <v>41179</v>
      </c>
      <c r="O875" s="41" t="s">
        <v>23</v>
      </c>
      <c r="P875" s="41" t="s">
        <v>105</v>
      </c>
      <c r="Q875" s="42"/>
      <c r="R875" s="41"/>
      <c r="S875" s="42"/>
      <c r="T875" s="41"/>
    </row>
    <row r="876" customFormat="false" ht="13.5" hidden="false" customHeight="true" outlineLevel="0" collapsed="false">
      <c r="A876" s="37" t="n">
        <v>873</v>
      </c>
      <c r="B876" s="37" t="n">
        <v>3075</v>
      </c>
      <c r="C876" s="38" t="s">
        <v>4074</v>
      </c>
      <c r="D876" s="37" t="s">
        <v>100</v>
      </c>
      <c r="E876" s="39" t="n">
        <v>25689</v>
      </c>
      <c r="F876" s="37" t="n">
        <f aca="true">IFERROR(DATEDIF(E876,TODAY(),"Y"),"")</f>
        <v>56</v>
      </c>
      <c r="G876" s="40" t="s">
        <v>4075</v>
      </c>
      <c r="H876" s="40"/>
      <c r="I876" s="38" t="s">
        <v>4076</v>
      </c>
      <c r="J876" s="38" t="s">
        <v>15</v>
      </c>
      <c r="K876" s="38" t="s">
        <v>4077</v>
      </c>
      <c r="L876" s="38" t="s">
        <v>49</v>
      </c>
      <c r="M876" s="37"/>
      <c r="N876" s="39" t="n">
        <v>41184</v>
      </c>
      <c r="O876" s="41" t="s">
        <v>23</v>
      </c>
      <c r="P876" s="41" t="s">
        <v>105</v>
      </c>
      <c r="Q876" s="42"/>
      <c r="R876" s="41"/>
      <c r="S876" s="42"/>
      <c r="T876" s="41"/>
    </row>
    <row r="877" customFormat="false" ht="13.5" hidden="false" customHeight="true" outlineLevel="0" collapsed="false">
      <c r="A877" s="37" t="n">
        <v>874</v>
      </c>
      <c r="B877" s="37" t="n">
        <v>3076</v>
      </c>
      <c r="C877" s="38" t="s">
        <v>4078</v>
      </c>
      <c r="D877" s="37" t="s">
        <v>100</v>
      </c>
      <c r="E877" s="39" t="n">
        <v>26078</v>
      </c>
      <c r="F877" s="37" t="n">
        <f aca="true">IFERROR(DATEDIF(E877,TODAY(),"Y"),"")</f>
        <v>55</v>
      </c>
      <c r="G877" s="40" t="s">
        <v>4079</v>
      </c>
      <c r="H877" s="40"/>
      <c r="I877" s="38" t="s">
        <v>4080</v>
      </c>
      <c r="J877" s="38" t="s">
        <v>16</v>
      </c>
      <c r="K877" s="38" t="s">
        <v>4081</v>
      </c>
      <c r="L877" s="38" t="s">
        <v>48</v>
      </c>
      <c r="M877" s="37" t="s">
        <v>241</v>
      </c>
      <c r="N877" s="39" t="n">
        <v>41187</v>
      </c>
      <c r="O877" s="41" t="s">
        <v>23</v>
      </c>
      <c r="P877" s="41" t="s">
        <v>105</v>
      </c>
      <c r="Q877" s="42"/>
      <c r="R877" s="41"/>
      <c r="S877" s="42"/>
      <c r="T877" s="41"/>
    </row>
    <row r="878" customFormat="false" ht="13.5" hidden="false" customHeight="true" outlineLevel="0" collapsed="false">
      <c r="A878" s="37" t="n">
        <v>875</v>
      </c>
      <c r="B878" s="37" t="n">
        <v>3078</v>
      </c>
      <c r="C878" s="38" t="s">
        <v>4082</v>
      </c>
      <c r="D878" s="37" t="s">
        <v>100</v>
      </c>
      <c r="E878" s="39" t="n">
        <v>25263</v>
      </c>
      <c r="F878" s="37" t="n">
        <f aca="true">IFERROR(DATEDIF(E878,TODAY(),"Y"),"")</f>
        <v>57</v>
      </c>
      <c r="G878" s="40" t="s">
        <v>4083</v>
      </c>
      <c r="H878" s="40" t="s">
        <v>4084</v>
      </c>
      <c r="I878" s="38" t="s">
        <v>4085</v>
      </c>
      <c r="J878" s="38" t="s">
        <v>15</v>
      </c>
      <c r="K878" s="38" t="s">
        <v>4086</v>
      </c>
      <c r="L878" s="38" t="s">
        <v>46</v>
      </c>
      <c r="M878" s="37" t="s">
        <v>104</v>
      </c>
      <c r="N878" s="39" t="n">
        <v>41195</v>
      </c>
      <c r="O878" s="41" t="s">
        <v>23</v>
      </c>
      <c r="P878" s="41" t="s">
        <v>105</v>
      </c>
      <c r="Q878" s="42"/>
      <c r="R878" s="41"/>
      <c r="S878" s="42"/>
      <c r="T878" s="41"/>
    </row>
    <row r="879" customFormat="false" ht="13.5" hidden="false" customHeight="true" outlineLevel="0" collapsed="false">
      <c r="A879" s="37" t="n">
        <v>876</v>
      </c>
      <c r="B879" s="37" t="n">
        <v>3080</v>
      </c>
      <c r="C879" s="38" t="s">
        <v>4087</v>
      </c>
      <c r="D879" s="37" t="s">
        <v>100</v>
      </c>
      <c r="E879" s="39" t="n">
        <v>23013</v>
      </c>
      <c r="F879" s="37" t="n">
        <f aca="true">IFERROR(DATEDIF(E879,TODAY(),"Y"),"")</f>
        <v>63</v>
      </c>
      <c r="G879" s="40" t="s">
        <v>4088</v>
      </c>
      <c r="H879" s="40" t="s">
        <v>4089</v>
      </c>
      <c r="I879" s="38" t="s">
        <v>4090</v>
      </c>
      <c r="J879" s="38" t="s">
        <v>15</v>
      </c>
      <c r="K879" s="38" t="s">
        <v>4091</v>
      </c>
      <c r="L879" s="38" t="s">
        <v>55</v>
      </c>
      <c r="M879" s="37"/>
      <c r="N879" s="39" t="n">
        <v>41198</v>
      </c>
      <c r="O879" s="41" t="s">
        <v>23</v>
      </c>
      <c r="P879" s="41" t="s">
        <v>105</v>
      </c>
      <c r="Q879" s="42"/>
      <c r="R879" s="41"/>
      <c r="S879" s="42"/>
      <c r="T879" s="41"/>
    </row>
    <row r="880" customFormat="false" ht="13.5" hidden="false" customHeight="true" outlineLevel="0" collapsed="false">
      <c r="A880" s="37" t="n">
        <v>877</v>
      </c>
      <c r="B880" s="37" t="n">
        <v>3081</v>
      </c>
      <c r="C880" s="38" t="s">
        <v>4092</v>
      </c>
      <c r="D880" s="37" t="s">
        <v>100</v>
      </c>
      <c r="E880" s="39" t="n">
        <v>25348</v>
      </c>
      <c r="F880" s="37" t="n">
        <f aca="true">IFERROR(DATEDIF(E880,TODAY(),"Y"),"")</f>
        <v>57</v>
      </c>
      <c r="G880" s="40" t="s">
        <v>4093</v>
      </c>
      <c r="H880" s="40" t="s">
        <v>4094</v>
      </c>
      <c r="I880" s="38" t="s">
        <v>4095</v>
      </c>
      <c r="J880" s="38"/>
      <c r="K880" s="38" t="s">
        <v>4096</v>
      </c>
      <c r="L880" s="38" t="s">
        <v>49</v>
      </c>
      <c r="M880" s="37" t="s">
        <v>120</v>
      </c>
      <c r="N880" s="39" t="n">
        <v>41205</v>
      </c>
      <c r="O880" s="41" t="s">
        <v>23</v>
      </c>
      <c r="P880" s="41" t="s">
        <v>105</v>
      </c>
      <c r="Q880" s="42"/>
      <c r="R880" s="41"/>
      <c r="S880" s="42"/>
      <c r="T880" s="41"/>
    </row>
    <row r="881" customFormat="false" ht="13.5" hidden="false" customHeight="true" outlineLevel="0" collapsed="false">
      <c r="A881" s="37" t="n">
        <v>878</v>
      </c>
      <c r="B881" s="37" t="n">
        <v>3083</v>
      </c>
      <c r="C881" s="38" t="s">
        <v>4097</v>
      </c>
      <c r="D881" s="37" t="s">
        <v>100</v>
      </c>
      <c r="E881" s="39" t="n">
        <v>30444</v>
      </c>
      <c r="F881" s="37" t="n">
        <f aca="true">IFERROR(DATEDIF(E881,TODAY(),"Y"),"")</f>
        <v>43</v>
      </c>
      <c r="G881" s="40" t="s">
        <v>4098</v>
      </c>
      <c r="H881" s="40" t="s">
        <v>4099</v>
      </c>
      <c r="I881" s="38" t="s">
        <v>4100</v>
      </c>
      <c r="J881" s="38" t="s">
        <v>15</v>
      </c>
      <c r="K881" s="38" t="s">
        <v>4101</v>
      </c>
      <c r="L881" s="38" t="s">
        <v>50</v>
      </c>
      <c r="M881" s="37"/>
      <c r="N881" s="39" t="n">
        <v>41211</v>
      </c>
      <c r="O881" s="41" t="s">
        <v>23</v>
      </c>
      <c r="P881" s="41" t="s">
        <v>105</v>
      </c>
      <c r="Q881" s="42"/>
      <c r="R881" s="41"/>
      <c r="S881" s="42"/>
      <c r="T881" s="41"/>
    </row>
    <row r="882" customFormat="false" ht="13.5" hidden="false" customHeight="true" outlineLevel="0" collapsed="false">
      <c r="A882" s="37" t="n">
        <v>879</v>
      </c>
      <c r="B882" s="37" t="n">
        <v>3085</v>
      </c>
      <c r="C882" s="38" t="s">
        <v>4102</v>
      </c>
      <c r="D882" s="37" t="s">
        <v>100</v>
      </c>
      <c r="E882" s="39" t="n">
        <v>30457</v>
      </c>
      <c r="F882" s="37" t="n">
        <f aca="true">IFERROR(DATEDIF(E882,TODAY(),"Y"),"")</f>
        <v>43</v>
      </c>
      <c r="G882" s="40" t="s">
        <v>4103</v>
      </c>
      <c r="H882" s="40" t="s">
        <v>4104</v>
      </c>
      <c r="I882" s="38" t="s">
        <v>4105</v>
      </c>
      <c r="J882" s="38" t="s">
        <v>16</v>
      </c>
      <c r="K882" s="38" t="s">
        <v>4106</v>
      </c>
      <c r="L882" s="38" t="s">
        <v>48</v>
      </c>
      <c r="M882" s="37" t="s">
        <v>104</v>
      </c>
      <c r="N882" s="39" t="n">
        <v>41212</v>
      </c>
      <c r="O882" s="41" t="s">
        <v>23</v>
      </c>
      <c r="P882" s="41" t="s">
        <v>105</v>
      </c>
      <c r="Q882" s="42"/>
      <c r="R882" s="41"/>
      <c r="S882" s="42"/>
      <c r="T882" s="41"/>
    </row>
    <row r="883" customFormat="false" ht="13.5" hidden="false" customHeight="true" outlineLevel="0" collapsed="false">
      <c r="A883" s="37" t="n">
        <v>880</v>
      </c>
      <c r="B883" s="37" t="n">
        <v>3086</v>
      </c>
      <c r="C883" s="38" t="s">
        <v>4107</v>
      </c>
      <c r="D883" s="37" t="s">
        <v>100</v>
      </c>
      <c r="E883" s="39" t="n">
        <v>22426</v>
      </c>
      <c r="F883" s="37" t="n">
        <f aca="true">IFERROR(DATEDIF(E883,TODAY(),"Y"),"")</f>
        <v>65</v>
      </c>
      <c r="G883" s="40" t="s">
        <v>4108</v>
      </c>
      <c r="H883" s="40" t="s">
        <v>4109</v>
      </c>
      <c r="I883" s="38" t="s">
        <v>4110</v>
      </c>
      <c r="J883" s="38" t="s">
        <v>18</v>
      </c>
      <c r="K883" s="38" t="s">
        <v>4111</v>
      </c>
      <c r="L883" s="38" t="s">
        <v>53</v>
      </c>
      <c r="M883" s="37" t="s">
        <v>120</v>
      </c>
      <c r="N883" s="39" t="n">
        <v>41213</v>
      </c>
      <c r="O883" s="41" t="s">
        <v>23</v>
      </c>
      <c r="P883" s="41" t="s">
        <v>105</v>
      </c>
      <c r="Q883" s="42"/>
      <c r="R883" s="41"/>
      <c r="S883" s="42"/>
      <c r="T883" s="41"/>
    </row>
    <row r="884" customFormat="false" ht="13.5" hidden="false" customHeight="true" outlineLevel="0" collapsed="false">
      <c r="A884" s="37" t="n">
        <v>881</v>
      </c>
      <c r="B884" s="37" t="n">
        <v>3089</v>
      </c>
      <c r="C884" s="38" t="s">
        <v>4112</v>
      </c>
      <c r="D884" s="37" t="s">
        <v>100</v>
      </c>
      <c r="E884" s="39" t="n">
        <v>26813</v>
      </c>
      <c r="F884" s="37" t="n">
        <f aca="true">IFERROR(DATEDIF(E884,TODAY(),"Y"),"")</f>
        <v>53</v>
      </c>
      <c r="G884" s="40" t="s">
        <v>4113</v>
      </c>
      <c r="H884" s="40"/>
      <c r="I884" s="38" t="s">
        <v>4114</v>
      </c>
      <c r="J884" s="38" t="s">
        <v>16</v>
      </c>
      <c r="K884" s="38" t="s">
        <v>4115</v>
      </c>
      <c r="L884" s="38" t="s">
        <v>43</v>
      </c>
      <c r="M884" s="37" t="s">
        <v>177</v>
      </c>
      <c r="N884" s="39" t="n">
        <v>41227</v>
      </c>
      <c r="O884" s="41" t="s">
        <v>23</v>
      </c>
      <c r="P884" s="41" t="s">
        <v>105</v>
      </c>
      <c r="Q884" s="42"/>
      <c r="R884" s="41"/>
      <c r="S884" s="42"/>
      <c r="T884" s="41"/>
    </row>
    <row r="885" customFormat="false" ht="13.5" hidden="false" customHeight="true" outlineLevel="0" collapsed="false">
      <c r="A885" s="37" t="n">
        <v>882</v>
      </c>
      <c r="B885" s="37" t="n">
        <v>3090</v>
      </c>
      <c r="C885" s="38" t="s">
        <v>4116</v>
      </c>
      <c r="D885" s="37" t="s">
        <v>100</v>
      </c>
      <c r="E885" s="39" t="n">
        <v>31648</v>
      </c>
      <c r="F885" s="37" t="n">
        <f aca="true">IFERROR(DATEDIF(E885,TODAY(),"Y"),"")</f>
        <v>39</v>
      </c>
      <c r="G885" s="40" t="s">
        <v>4117</v>
      </c>
      <c r="H885" s="40" t="s">
        <v>4118</v>
      </c>
      <c r="I885" s="38" t="s">
        <v>4119</v>
      </c>
      <c r="J885" s="38" t="s">
        <v>16</v>
      </c>
      <c r="K885" s="38" t="s">
        <v>4120</v>
      </c>
      <c r="L885" s="38" t="s">
        <v>54</v>
      </c>
      <c r="M885" s="37" t="s">
        <v>120</v>
      </c>
      <c r="N885" s="39" t="n">
        <v>41231</v>
      </c>
      <c r="O885" s="41" t="s">
        <v>23</v>
      </c>
      <c r="P885" s="41" t="s">
        <v>105</v>
      </c>
      <c r="Q885" s="42"/>
      <c r="R885" s="41"/>
      <c r="S885" s="42"/>
      <c r="T885" s="41"/>
    </row>
    <row r="886" customFormat="false" ht="13.5" hidden="false" customHeight="true" outlineLevel="0" collapsed="false">
      <c r="A886" s="37" t="n">
        <v>883</v>
      </c>
      <c r="B886" s="37" t="n">
        <v>3091</v>
      </c>
      <c r="C886" s="38" t="s">
        <v>4121</v>
      </c>
      <c r="D886" s="37" t="s">
        <v>100</v>
      </c>
      <c r="E886" s="39" t="n">
        <v>32902</v>
      </c>
      <c r="F886" s="37" t="n">
        <f aca="true">IFERROR(DATEDIF(E886,TODAY(),"Y"),"")</f>
        <v>36</v>
      </c>
      <c r="G886" s="40" t="s">
        <v>4122</v>
      </c>
      <c r="H886" s="40" t="s">
        <v>4123</v>
      </c>
      <c r="I886" s="38" t="s">
        <v>4124</v>
      </c>
      <c r="J886" s="38" t="s">
        <v>16</v>
      </c>
      <c r="K886" s="38" t="s">
        <v>4125</v>
      </c>
      <c r="L886" s="38" t="s">
        <v>55</v>
      </c>
      <c r="M886" s="37" t="s">
        <v>120</v>
      </c>
      <c r="N886" s="39" t="n">
        <v>41256</v>
      </c>
      <c r="O886" s="41" t="s">
        <v>23</v>
      </c>
      <c r="P886" s="41" t="s">
        <v>105</v>
      </c>
      <c r="Q886" s="42"/>
      <c r="R886" s="41"/>
      <c r="S886" s="42"/>
      <c r="T886" s="41"/>
    </row>
    <row r="887" customFormat="false" ht="13.5" hidden="false" customHeight="true" outlineLevel="0" collapsed="false">
      <c r="A887" s="37" t="n">
        <v>884</v>
      </c>
      <c r="B887" s="37" t="n">
        <v>3092</v>
      </c>
      <c r="C887" s="38" t="s">
        <v>4126</v>
      </c>
      <c r="D887" s="37" t="s">
        <v>100</v>
      </c>
      <c r="E887" s="39" t="n">
        <v>31159</v>
      </c>
      <c r="F887" s="37" t="n">
        <f aca="true">IFERROR(DATEDIF(E887,TODAY(),"Y"),"")</f>
        <v>41</v>
      </c>
      <c r="G887" s="40" t="s">
        <v>4127</v>
      </c>
      <c r="H887" s="40" t="s">
        <v>4128</v>
      </c>
      <c r="I887" s="38" t="s">
        <v>4129</v>
      </c>
      <c r="J887" s="38" t="s">
        <v>16</v>
      </c>
      <c r="K887" s="38" t="s">
        <v>4130</v>
      </c>
      <c r="L887" s="38" t="s">
        <v>46</v>
      </c>
      <c r="M887" s="37"/>
      <c r="N887" s="39" t="n">
        <v>41234</v>
      </c>
      <c r="O887" s="41" t="s">
        <v>23</v>
      </c>
      <c r="P887" s="41" t="s">
        <v>105</v>
      </c>
      <c r="Q887" s="42"/>
      <c r="R887" s="41"/>
      <c r="S887" s="42"/>
      <c r="T887" s="41"/>
    </row>
    <row r="888" customFormat="false" ht="13.5" hidden="false" customHeight="true" outlineLevel="0" collapsed="false">
      <c r="A888" s="37" t="n">
        <v>885</v>
      </c>
      <c r="B888" s="37" t="n">
        <v>3094</v>
      </c>
      <c r="C888" s="38" t="s">
        <v>4131</v>
      </c>
      <c r="D888" s="37" t="s">
        <v>100</v>
      </c>
      <c r="E888" s="39" t="n">
        <v>26083</v>
      </c>
      <c r="F888" s="37" t="n">
        <f aca="true">IFERROR(DATEDIF(E888,TODAY(),"Y"),"")</f>
        <v>55</v>
      </c>
      <c r="G888" s="40" t="s">
        <v>4132</v>
      </c>
      <c r="H888" s="40" t="s">
        <v>4133</v>
      </c>
      <c r="I888" s="38" t="s">
        <v>4134</v>
      </c>
      <c r="J888" s="38" t="s">
        <v>16</v>
      </c>
      <c r="K888" s="38" t="s">
        <v>4135</v>
      </c>
      <c r="L888" s="38" t="s">
        <v>53</v>
      </c>
      <c r="M888" s="37" t="s">
        <v>104</v>
      </c>
      <c r="N888" s="39" t="n">
        <v>41256</v>
      </c>
      <c r="O888" s="41" t="s">
        <v>23</v>
      </c>
      <c r="P888" s="41" t="s">
        <v>105</v>
      </c>
      <c r="Q888" s="42"/>
      <c r="R888" s="41"/>
      <c r="S888" s="42"/>
      <c r="T888" s="41"/>
    </row>
    <row r="889" customFormat="false" ht="13.5" hidden="false" customHeight="true" outlineLevel="0" collapsed="false">
      <c r="A889" s="37" t="n">
        <v>886</v>
      </c>
      <c r="B889" s="37" t="n">
        <v>3095</v>
      </c>
      <c r="C889" s="38" t="s">
        <v>4136</v>
      </c>
      <c r="D889" s="37" t="s">
        <v>100</v>
      </c>
      <c r="E889" s="39" t="n">
        <v>26063</v>
      </c>
      <c r="F889" s="37" t="n">
        <f aca="true">IFERROR(DATEDIF(E889,TODAY(),"Y"),"")</f>
        <v>55</v>
      </c>
      <c r="G889" s="40" t="s">
        <v>4137</v>
      </c>
      <c r="H889" s="40" t="s">
        <v>4138</v>
      </c>
      <c r="I889" s="38" t="s">
        <v>4139</v>
      </c>
      <c r="J889" s="38" t="s">
        <v>15</v>
      </c>
      <c r="K889" s="38" t="s">
        <v>4140</v>
      </c>
      <c r="L889" s="38" t="s">
        <v>44</v>
      </c>
      <c r="M889" s="37" t="s">
        <v>120</v>
      </c>
      <c r="N889" s="39" t="n">
        <v>41259</v>
      </c>
      <c r="O889" s="41" t="s">
        <v>23</v>
      </c>
      <c r="P889" s="41" t="s">
        <v>105</v>
      </c>
      <c r="Q889" s="42"/>
      <c r="R889" s="41"/>
      <c r="S889" s="42"/>
      <c r="T889" s="41"/>
    </row>
    <row r="890" customFormat="false" ht="13.5" hidden="false" customHeight="true" outlineLevel="0" collapsed="false">
      <c r="A890" s="37" t="n">
        <v>887</v>
      </c>
      <c r="B890" s="37" t="n">
        <v>3098</v>
      </c>
      <c r="C890" s="38" t="s">
        <v>4141</v>
      </c>
      <c r="D890" s="37" t="s">
        <v>100</v>
      </c>
      <c r="E890" s="39" t="n">
        <v>27471</v>
      </c>
      <c r="F890" s="37" t="n">
        <f aca="true">IFERROR(DATEDIF(E890,TODAY(),"Y"),"")</f>
        <v>51</v>
      </c>
      <c r="G890" s="40" t="s">
        <v>4142</v>
      </c>
      <c r="H890" s="40" t="s">
        <v>4143</v>
      </c>
      <c r="I890" s="38" t="s">
        <v>4144</v>
      </c>
      <c r="J890" s="38" t="s">
        <v>15</v>
      </c>
      <c r="K890" s="38" t="s">
        <v>4145</v>
      </c>
      <c r="L890" s="38" t="s">
        <v>47</v>
      </c>
      <c r="M890" s="37" t="s">
        <v>104</v>
      </c>
      <c r="N890" s="39" t="n">
        <v>41270</v>
      </c>
      <c r="O890" s="41" t="s">
        <v>23</v>
      </c>
      <c r="P890" s="41" t="s">
        <v>105</v>
      </c>
      <c r="Q890" s="42"/>
      <c r="R890" s="41"/>
      <c r="S890" s="42"/>
      <c r="T890" s="41"/>
    </row>
    <row r="891" customFormat="false" ht="13.5" hidden="false" customHeight="true" outlineLevel="0" collapsed="false">
      <c r="A891" s="37" t="n">
        <v>888</v>
      </c>
      <c r="B891" s="37" t="n">
        <v>3099</v>
      </c>
      <c r="C891" s="38" t="s">
        <v>4146</v>
      </c>
      <c r="D891" s="37" t="s">
        <v>100</v>
      </c>
      <c r="E891" s="39" t="n">
        <v>24622</v>
      </c>
      <c r="F891" s="37" t="n">
        <f aca="true">IFERROR(DATEDIF(E891,TODAY(),"Y"),"")</f>
        <v>59</v>
      </c>
      <c r="G891" s="40" t="s">
        <v>4147</v>
      </c>
      <c r="H891" s="40" t="s">
        <v>4148</v>
      </c>
      <c r="I891" s="38" t="s">
        <v>4149</v>
      </c>
      <c r="J891" s="38"/>
      <c r="K891" s="38" t="s">
        <v>4150</v>
      </c>
      <c r="L891" s="38" t="s">
        <v>46</v>
      </c>
      <c r="M891" s="37" t="s">
        <v>120</v>
      </c>
      <c r="N891" s="39" t="n">
        <v>41273</v>
      </c>
      <c r="O891" s="41" t="s">
        <v>23</v>
      </c>
      <c r="P891" s="41" t="s">
        <v>105</v>
      </c>
      <c r="Q891" s="42"/>
      <c r="R891" s="41"/>
      <c r="S891" s="42"/>
      <c r="T891" s="41"/>
    </row>
    <row r="892" customFormat="false" ht="13.5" hidden="false" customHeight="true" outlineLevel="0" collapsed="false">
      <c r="A892" s="37" t="n">
        <v>889</v>
      </c>
      <c r="B892" s="37" t="n">
        <v>3100</v>
      </c>
      <c r="C892" s="38" t="s">
        <v>2301</v>
      </c>
      <c r="D892" s="37" t="s">
        <v>100</v>
      </c>
      <c r="E892" s="39" t="n">
        <v>22122</v>
      </c>
      <c r="F892" s="37" t="n">
        <f aca="true">IFERROR(DATEDIF(E892,TODAY(),"Y"),"")</f>
        <v>66</v>
      </c>
      <c r="G892" s="40" t="s">
        <v>4151</v>
      </c>
      <c r="H892" s="40"/>
      <c r="I892" s="38" t="s">
        <v>4152</v>
      </c>
      <c r="J892" s="38" t="s">
        <v>15</v>
      </c>
      <c r="K892" s="38" t="s">
        <v>4153</v>
      </c>
      <c r="L892" s="38" t="s">
        <v>48</v>
      </c>
      <c r="M892" s="37" t="s">
        <v>190</v>
      </c>
      <c r="N892" s="39" t="n">
        <v>41276</v>
      </c>
      <c r="O892" s="41" t="s">
        <v>23</v>
      </c>
      <c r="P892" s="41" t="s">
        <v>105</v>
      </c>
      <c r="Q892" s="42"/>
      <c r="R892" s="41"/>
      <c r="S892" s="42"/>
      <c r="T892" s="41"/>
    </row>
    <row r="893" customFormat="false" ht="13.5" hidden="false" customHeight="true" outlineLevel="0" collapsed="false">
      <c r="A893" s="37" t="n">
        <v>890</v>
      </c>
      <c r="B893" s="37" t="n">
        <v>3101</v>
      </c>
      <c r="C893" s="38" t="s">
        <v>4154</v>
      </c>
      <c r="D893" s="37" t="s">
        <v>100</v>
      </c>
      <c r="E893" s="39" t="n">
        <v>31197</v>
      </c>
      <c r="F893" s="37" t="n">
        <f aca="true">IFERROR(DATEDIF(E893,TODAY(),"Y"),"")</f>
        <v>41</v>
      </c>
      <c r="G893" s="40" t="s">
        <v>4155</v>
      </c>
      <c r="H893" s="40"/>
      <c r="I893" s="38" t="s">
        <v>4156</v>
      </c>
      <c r="J893" s="38" t="s">
        <v>16</v>
      </c>
      <c r="K893" s="38" t="s">
        <v>4157</v>
      </c>
      <c r="L893" s="38" t="s">
        <v>55</v>
      </c>
      <c r="M893" s="37" t="s">
        <v>120</v>
      </c>
      <c r="N893" s="39" t="n">
        <v>41277</v>
      </c>
      <c r="O893" s="41" t="s">
        <v>23</v>
      </c>
      <c r="P893" s="41" t="s">
        <v>105</v>
      </c>
      <c r="Q893" s="42"/>
      <c r="R893" s="41"/>
      <c r="S893" s="42"/>
      <c r="T893" s="41"/>
    </row>
    <row r="894" customFormat="false" ht="13.5" hidden="false" customHeight="true" outlineLevel="0" collapsed="false">
      <c r="A894" s="37" t="n">
        <v>891</v>
      </c>
      <c r="B894" s="37" t="n">
        <v>3102</v>
      </c>
      <c r="C894" s="38" t="s">
        <v>4158</v>
      </c>
      <c r="D894" s="37" t="s">
        <v>100</v>
      </c>
      <c r="E894" s="39" t="n">
        <v>26049</v>
      </c>
      <c r="F894" s="37" t="n">
        <f aca="true">IFERROR(DATEDIF(E894,TODAY(),"Y"),"")</f>
        <v>55</v>
      </c>
      <c r="G894" s="40" t="s">
        <v>4159</v>
      </c>
      <c r="H894" s="40" t="s">
        <v>4160</v>
      </c>
      <c r="I894" s="38" t="s">
        <v>4161</v>
      </c>
      <c r="J894" s="38" t="s">
        <v>16</v>
      </c>
      <c r="K894" s="38" t="s">
        <v>4162</v>
      </c>
      <c r="L894" s="38" t="s">
        <v>46</v>
      </c>
      <c r="M894" s="37" t="s">
        <v>120</v>
      </c>
      <c r="N894" s="39" t="n">
        <v>41279</v>
      </c>
      <c r="O894" s="41" t="s">
        <v>23</v>
      </c>
      <c r="P894" s="41" t="s">
        <v>105</v>
      </c>
      <c r="Q894" s="42"/>
      <c r="R894" s="41"/>
      <c r="S894" s="42"/>
      <c r="T894" s="41"/>
    </row>
    <row r="895" customFormat="false" ht="13.5" hidden="false" customHeight="true" outlineLevel="0" collapsed="false">
      <c r="A895" s="37" t="n">
        <v>892</v>
      </c>
      <c r="B895" s="37" t="n">
        <v>3103</v>
      </c>
      <c r="C895" s="38" t="s">
        <v>4163</v>
      </c>
      <c r="D895" s="37" t="s">
        <v>100</v>
      </c>
      <c r="E895" s="39" t="n">
        <v>26431</v>
      </c>
      <c r="F895" s="37" t="n">
        <f aca="true">IFERROR(DATEDIF(E895,TODAY(),"Y"),"")</f>
        <v>54</v>
      </c>
      <c r="G895" s="40" t="s">
        <v>4164</v>
      </c>
      <c r="H895" s="40" t="s">
        <v>4165</v>
      </c>
      <c r="I895" s="38" t="s">
        <v>4166</v>
      </c>
      <c r="J895" s="38" t="s">
        <v>18</v>
      </c>
      <c r="K895" s="38" t="s">
        <v>4167</v>
      </c>
      <c r="L895" s="38" t="s">
        <v>44</v>
      </c>
      <c r="M895" s="37" t="s">
        <v>120</v>
      </c>
      <c r="N895" s="39" t="n">
        <v>41280</v>
      </c>
      <c r="O895" s="41" t="s">
        <v>23</v>
      </c>
      <c r="P895" s="41" t="s">
        <v>105</v>
      </c>
      <c r="Q895" s="42"/>
      <c r="R895" s="41"/>
      <c r="S895" s="42"/>
      <c r="T895" s="41"/>
    </row>
    <row r="896" customFormat="false" ht="13.5" hidden="false" customHeight="true" outlineLevel="0" collapsed="false">
      <c r="A896" s="37" t="n">
        <v>893</v>
      </c>
      <c r="B896" s="37" t="n">
        <v>3105</v>
      </c>
      <c r="C896" s="38" t="s">
        <v>4168</v>
      </c>
      <c r="D896" s="37" t="s">
        <v>100</v>
      </c>
      <c r="E896" s="39" t="n">
        <v>23855</v>
      </c>
      <c r="F896" s="37" t="n">
        <f aca="true">IFERROR(DATEDIF(E896,TODAY(),"Y"),"")</f>
        <v>61</v>
      </c>
      <c r="G896" s="40" t="s">
        <v>4169</v>
      </c>
      <c r="H896" s="40"/>
      <c r="I896" s="38" t="s">
        <v>4170</v>
      </c>
      <c r="J896" s="38" t="s">
        <v>16</v>
      </c>
      <c r="K896" s="38" t="s">
        <v>4171</v>
      </c>
      <c r="L896" s="38" t="s">
        <v>46</v>
      </c>
      <c r="M896" s="37" t="s">
        <v>177</v>
      </c>
      <c r="N896" s="39" t="n">
        <v>41283</v>
      </c>
      <c r="O896" s="41" t="s">
        <v>23</v>
      </c>
      <c r="P896" s="41" t="s">
        <v>105</v>
      </c>
      <c r="Q896" s="42"/>
      <c r="R896" s="41"/>
      <c r="S896" s="42"/>
      <c r="T896" s="41"/>
    </row>
    <row r="897" customFormat="false" ht="13.5" hidden="false" customHeight="true" outlineLevel="0" collapsed="false">
      <c r="A897" s="37" t="n">
        <v>894</v>
      </c>
      <c r="B897" s="37" t="n">
        <v>3106</v>
      </c>
      <c r="C897" s="38" t="s">
        <v>4172</v>
      </c>
      <c r="D897" s="37" t="s">
        <v>100</v>
      </c>
      <c r="E897" s="39" t="n">
        <v>20782</v>
      </c>
      <c r="F897" s="37" t="n">
        <f aca="true">IFERROR(DATEDIF(E897,TODAY(),"Y"),"")</f>
        <v>69</v>
      </c>
      <c r="G897" s="40" t="s">
        <v>4173</v>
      </c>
      <c r="H897" s="40"/>
      <c r="I897" s="38" t="s">
        <v>4174</v>
      </c>
      <c r="J897" s="38" t="s">
        <v>15</v>
      </c>
      <c r="K897" s="38" t="s">
        <v>4175</v>
      </c>
      <c r="L897" s="38" t="s">
        <v>55</v>
      </c>
      <c r="M897" s="37" t="s">
        <v>120</v>
      </c>
      <c r="N897" s="39" t="n">
        <v>41284</v>
      </c>
      <c r="O897" s="41" t="s">
        <v>23</v>
      </c>
      <c r="P897" s="41" t="s">
        <v>105</v>
      </c>
      <c r="Q897" s="42"/>
      <c r="R897" s="41"/>
      <c r="S897" s="42"/>
      <c r="T897" s="41"/>
    </row>
    <row r="898" customFormat="false" ht="13.5" hidden="false" customHeight="true" outlineLevel="0" collapsed="false">
      <c r="A898" s="37" t="n">
        <v>895</v>
      </c>
      <c r="B898" s="37" t="n">
        <v>3107</v>
      </c>
      <c r="C898" s="38" t="s">
        <v>4176</v>
      </c>
      <c r="D898" s="37" t="s">
        <v>100</v>
      </c>
      <c r="E898" s="39" t="n">
        <v>29498</v>
      </c>
      <c r="F898" s="37" t="n">
        <f aca="true">IFERROR(DATEDIF(E898,TODAY(),"Y"),"")</f>
        <v>45</v>
      </c>
      <c r="G898" s="40" t="s">
        <v>4177</v>
      </c>
      <c r="H898" s="40" t="s">
        <v>4178</v>
      </c>
      <c r="I898" s="38" t="s">
        <v>4179</v>
      </c>
      <c r="J898" s="38" t="s">
        <v>15</v>
      </c>
      <c r="K898" s="38" t="s">
        <v>4180</v>
      </c>
      <c r="L898" s="38" t="s">
        <v>43</v>
      </c>
      <c r="M898" s="37" t="s">
        <v>120</v>
      </c>
      <c r="N898" s="39" t="n">
        <v>41287</v>
      </c>
      <c r="O898" s="41" t="s">
        <v>23</v>
      </c>
      <c r="P898" s="41" t="s">
        <v>105</v>
      </c>
      <c r="Q898" s="42"/>
      <c r="R898" s="41"/>
      <c r="S898" s="42"/>
      <c r="T898" s="41"/>
    </row>
    <row r="899" customFormat="false" ht="13.5" hidden="false" customHeight="true" outlineLevel="0" collapsed="false">
      <c r="A899" s="37" t="n">
        <v>896</v>
      </c>
      <c r="B899" s="37" t="n">
        <v>3108</v>
      </c>
      <c r="C899" s="38" t="s">
        <v>4181</v>
      </c>
      <c r="D899" s="37" t="s">
        <v>100</v>
      </c>
      <c r="E899" s="39" t="n">
        <v>30517</v>
      </c>
      <c r="F899" s="37" t="n">
        <f aca="true">IFERROR(DATEDIF(E899,TODAY(),"Y"),"")</f>
        <v>43</v>
      </c>
      <c r="G899" s="40" t="s">
        <v>4182</v>
      </c>
      <c r="H899" s="40" t="s">
        <v>4183</v>
      </c>
      <c r="I899" s="38" t="s">
        <v>4184</v>
      </c>
      <c r="J899" s="38" t="s">
        <v>22</v>
      </c>
      <c r="K899" s="38" t="s">
        <v>4185</v>
      </c>
      <c r="L899" s="38" t="s">
        <v>47</v>
      </c>
      <c r="M899" s="37"/>
      <c r="N899" s="39" t="n">
        <v>41293</v>
      </c>
      <c r="O899" s="41" t="s">
        <v>23</v>
      </c>
      <c r="P899" s="41" t="s">
        <v>105</v>
      </c>
      <c r="Q899" s="42"/>
      <c r="R899" s="41"/>
      <c r="S899" s="42"/>
      <c r="T899" s="41"/>
    </row>
    <row r="900" customFormat="false" ht="13.5" hidden="false" customHeight="true" outlineLevel="0" collapsed="false">
      <c r="A900" s="37" t="n">
        <v>897</v>
      </c>
      <c r="B900" s="37" t="n">
        <v>3110</v>
      </c>
      <c r="C900" s="38" t="s">
        <v>4186</v>
      </c>
      <c r="D900" s="37" t="s">
        <v>100</v>
      </c>
      <c r="E900" s="39" t="n">
        <v>27290</v>
      </c>
      <c r="F900" s="37" t="n">
        <f aca="true">IFERROR(DATEDIF(E900,TODAY(),"Y"),"")</f>
        <v>51</v>
      </c>
      <c r="G900" s="40" t="s">
        <v>4187</v>
      </c>
      <c r="H900" s="40"/>
      <c r="I900" s="38" t="s">
        <v>4188</v>
      </c>
      <c r="J900" s="38" t="s">
        <v>18</v>
      </c>
      <c r="K900" s="38" t="s">
        <v>4189</v>
      </c>
      <c r="L900" s="38" t="s">
        <v>54</v>
      </c>
      <c r="M900" s="37" t="s">
        <v>177</v>
      </c>
      <c r="N900" s="39" t="n">
        <v>41294</v>
      </c>
      <c r="O900" s="41" t="s">
        <v>23</v>
      </c>
      <c r="P900" s="41" t="s">
        <v>105</v>
      </c>
      <c r="Q900" s="42"/>
      <c r="R900" s="41"/>
      <c r="S900" s="42"/>
      <c r="T900" s="41"/>
    </row>
    <row r="901" customFormat="false" ht="13.5" hidden="false" customHeight="true" outlineLevel="0" collapsed="false">
      <c r="A901" s="37" t="n">
        <v>898</v>
      </c>
      <c r="B901" s="37" t="n">
        <v>3111</v>
      </c>
      <c r="C901" s="38" t="s">
        <v>4190</v>
      </c>
      <c r="D901" s="37" t="s">
        <v>100</v>
      </c>
      <c r="E901" s="39" t="n">
        <v>31557</v>
      </c>
      <c r="F901" s="37" t="n">
        <f aca="true">IFERROR(DATEDIF(E901,TODAY(),"Y"),"")</f>
        <v>40</v>
      </c>
      <c r="G901" s="40" t="s">
        <v>4191</v>
      </c>
      <c r="H901" s="40" t="s">
        <v>4192</v>
      </c>
      <c r="I901" s="38" t="s">
        <v>4193</v>
      </c>
      <c r="J901" s="38" t="s">
        <v>15</v>
      </c>
      <c r="K901" s="38" t="s">
        <v>4194</v>
      </c>
      <c r="L901" s="38" t="s">
        <v>48</v>
      </c>
      <c r="M901" s="37" t="s">
        <v>104</v>
      </c>
      <c r="N901" s="39" t="n">
        <v>41294</v>
      </c>
      <c r="O901" s="41" t="s">
        <v>23</v>
      </c>
      <c r="P901" s="41" t="s">
        <v>105</v>
      </c>
      <c r="Q901" s="42"/>
      <c r="R901" s="41"/>
      <c r="S901" s="42"/>
      <c r="T901" s="41"/>
    </row>
    <row r="902" customFormat="false" ht="13.5" hidden="false" customHeight="true" outlineLevel="0" collapsed="false">
      <c r="A902" s="37" t="n">
        <v>899</v>
      </c>
      <c r="B902" s="37" t="n">
        <v>3112</v>
      </c>
      <c r="C902" s="38" t="s">
        <v>4195</v>
      </c>
      <c r="D902" s="37" t="s">
        <v>100</v>
      </c>
      <c r="E902" s="39" t="n">
        <v>25976</v>
      </c>
      <c r="F902" s="37" t="n">
        <f aca="true">IFERROR(DATEDIF(E902,TODAY(),"Y"),"")</f>
        <v>55</v>
      </c>
      <c r="G902" s="40" t="s">
        <v>4196</v>
      </c>
      <c r="H902" s="40"/>
      <c r="I902" s="38" t="s">
        <v>4197</v>
      </c>
      <c r="J902" s="38" t="s">
        <v>15</v>
      </c>
      <c r="K902" s="38" t="s">
        <v>4198</v>
      </c>
      <c r="L902" s="38" t="s">
        <v>47</v>
      </c>
      <c r="M902" s="37" t="s">
        <v>120</v>
      </c>
      <c r="N902" s="39" t="n">
        <v>41295</v>
      </c>
      <c r="O902" s="41" t="s">
        <v>23</v>
      </c>
      <c r="P902" s="41" t="s">
        <v>105</v>
      </c>
      <c r="Q902" s="42"/>
      <c r="R902" s="41"/>
      <c r="S902" s="42"/>
      <c r="T902" s="41"/>
    </row>
    <row r="903" customFormat="false" ht="13.5" hidden="false" customHeight="true" outlineLevel="0" collapsed="false">
      <c r="A903" s="37" t="n">
        <v>900</v>
      </c>
      <c r="B903" s="37" t="n">
        <v>3113</v>
      </c>
      <c r="C903" s="38" t="s">
        <v>4199</v>
      </c>
      <c r="D903" s="37" t="s">
        <v>100</v>
      </c>
      <c r="E903" s="39" t="n">
        <v>26422</v>
      </c>
      <c r="F903" s="37" t="n">
        <f aca="true">IFERROR(DATEDIF(E903,TODAY(),"Y"),"")</f>
        <v>54</v>
      </c>
      <c r="G903" s="40" t="s">
        <v>4200</v>
      </c>
      <c r="H903" s="40"/>
      <c r="I903" s="38" t="s">
        <v>4201</v>
      </c>
      <c r="J903" s="38" t="s">
        <v>15</v>
      </c>
      <c r="K903" s="38" t="s">
        <v>4202</v>
      </c>
      <c r="L903" s="38" t="s">
        <v>55</v>
      </c>
      <c r="M903" s="37" t="s">
        <v>177</v>
      </c>
      <c r="N903" s="39" t="n">
        <v>41301</v>
      </c>
      <c r="O903" s="41" t="s">
        <v>23</v>
      </c>
      <c r="P903" s="41" t="s">
        <v>105</v>
      </c>
      <c r="Q903" s="42"/>
      <c r="R903" s="41"/>
      <c r="S903" s="42"/>
      <c r="T903" s="41"/>
    </row>
    <row r="904" customFormat="false" ht="13.5" hidden="false" customHeight="true" outlineLevel="0" collapsed="false">
      <c r="A904" s="37" t="n">
        <v>901</v>
      </c>
      <c r="B904" s="37" t="n">
        <v>3114</v>
      </c>
      <c r="C904" s="38" t="s">
        <v>4203</v>
      </c>
      <c r="D904" s="37" t="s">
        <v>100</v>
      </c>
      <c r="E904" s="39" t="n">
        <v>25298</v>
      </c>
      <c r="F904" s="37" t="n">
        <f aca="true">IFERROR(DATEDIF(E904,TODAY(),"Y"),"")</f>
        <v>57</v>
      </c>
      <c r="G904" s="40" t="s">
        <v>4204</v>
      </c>
      <c r="H904" s="40" t="s">
        <v>4205</v>
      </c>
      <c r="I904" s="38" t="s">
        <v>4206</v>
      </c>
      <c r="J904" s="38"/>
      <c r="K904" s="38" t="s">
        <v>4207</v>
      </c>
      <c r="L904" s="38" t="s">
        <v>43</v>
      </c>
      <c r="M904" s="37" t="s">
        <v>177</v>
      </c>
      <c r="N904" s="39" t="n">
        <v>41302</v>
      </c>
      <c r="O904" s="41" t="s">
        <v>23</v>
      </c>
      <c r="P904" s="41" t="s">
        <v>105</v>
      </c>
      <c r="Q904" s="42"/>
      <c r="R904" s="41"/>
      <c r="S904" s="42"/>
      <c r="T904" s="41"/>
    </row>
    <row r="905" customFormat="false" ht="13.5" hidden="false" customHeight="true" outlineLevel="0" collapsed="false">
      <c r="A905" s="37" t="n">
        <v>902</v>
      </c>
      <c r="B905" s="37" t="n">
        <v>3115</v>
      </c>
      <c r="C905" s="38" t="s">
        <v>4208</v>
      </c>
      <c r="D905" s="37" t="s">
        <v>100</v>
      </c>
      <c r="E905" s="39" t="n">
        <v>25692</v>
      </c>
      <c r="F905" s="37" t="n">
        <f aca="true">IFERROR(DATEDIF(E905,TODAY(),"Y"),"")</f>
        <v>56</v>
      </c>
      <c r="G905" s="40" t="s">
        <v>4209</v>
      </c>
      <c r="H905" s="40" t="s">
        <v>4210</v>
      </c>
      <c r="I905" s="38" t="s">
        <v>4211</v>
      </c>
      <c r="J905" s="38" t="s">
        <v>16</v>
      </c>
      <c r="K905" s="38" t="s">
        <v>4212</v>
      </c>
      <c r="L905" s="38" t="s">
        <v>46</v>
      </c>
      <c r="M905" s="37" t="s">
        <v>120</v>
      </c>
      <c r="N905" s="39" t="n">
        <v>41302</v>
      </c>
      <c r="O905" s="41" t="s">
        <v>23</v>
      </c>
      <c r="P905" s="41" t="s">
        <v>105</v>
      </c>
      <c r="Q905" s="42"/>
      <c r="R905" s="41"/>
      <c r="S905" s="42"/>
      <c r="T905" s="41"/>
    </row>
    <row r="906" customFormat="false" ht="13.5" hidden="false" customHeight="true" outlineLevel="0" collapsed="false">
      <c r="A906" s="37" t="n">
        <v>903</v>
      </c>
      <c r="B906" s="37" t="n">
        <v>3117</v>
      </c>
      <c r="C906" s="38" t="s">
        <v>4213</v>
      </c>
      <c r="D906" s="37" t="s">
        <v>100</v>
      </c>
      <c r="E906" s="39" t="n">
        <v>31184</v>
      </c>
      <c r="F906" s="37" t="n">
        <f aca="true">IFERROR(DATEDIF(E906,TODAY(),"Y"),"")</f>
        <v>41</v>
      </c>
      <c r="G906" s="40" t="s">
        <v>4214</v>
      </c>
      <c r="H906" s="40" t="s">
        <v>4215</v>
      </c>
      <c r="I906" s="38" t="s">
        <v>4216</v>
      </c>
      <c r="J906" s="38" t="s">
        <v>15</v>
      </c>
      <c r="K906" s="38" t="s">
        <v>4217</v>
      </c>
      <c r="L906" s="38" t="s">
        <v>47</v>
      </c>
      <c r="M906" s="37" t="s">
        <v>120</v>
      </c>
      <c r="N906" s="39" t="n">
        <v>41319</v>
      </c>
      <c r="O906" s="41" t="s">
        <v>23</v>
      </c>
      <c r="P906" s="41" t="s">
        <v>105</v>
      </c>
      <c r="Q906" s="42"/>
      <c r="R906" s="41"/>
      <c r="S906" s="42"/>
      <c r="T906" s="41"/>
    </row>
    <row r="907" customFormat="false" ht="13.5" hidden="false" customHeight="true" outlineLevel="0" collapsed="false">
      <c r="A907" s="37" t="n">
        <v>904</v>
      </c>
      <c r="B907" s="37" t="n">
        <v>3119</v>
      </c>
      <c r="C907" s="38" t="s">
        <v>4218</v>
      </c>
      <c r="D907" s="37" t="s">
        <v>100</v>
      </c>
      <c r="E907" s="39" t="n">
        <v>30444</v>
      </c>
      <c r="F907" s="37" t="n">
        <f aca="true">IFERROR(DATEDIF(E907,TODAY(),"Y"),"")</f>
        <v>43</v>
      </c>
      <c r="G907" s="40" t="s">
        <v>4219</v>
      </c>
      <c r="H907" s="40" t="s">
        <v>4220</v>
      </c>
      <c r="I907" s="38" t="s">
        <v>4221</v>
      </c>
      <c r="J907" s="38" t="s">
        <v>15</v>
      </c>
      <c r="K907" s="38" t="s">
        <v>4222</v>
      </c>
      <c r="L907" s="43" t="s">
        <v>58</v>
      </c>
      <c r="M907" s="37" t="s">
        <v>745</v>
      </c>
      <c r="N907" s="39" t="n">
        <v>41328</v>
      </c>
      <c r="O907" s="41" t="s">
        <v>23</v>
      </c>
      <c r="P907" s="41" t="s">
        <v>105</v>
      </c>
      <c r="Q907" s="42"/>
      <c r="R907" s="41"/>
      <c r="S907" s="42"/>
      <c r="T907" s="41"/>
    </row>
    <row r="908" customFormat="false" ht="13.5" hidden="false" customHeight="true" outlineLevel="0" collapsed="false">
      <c r="A908" s="37" t="n">
        <v>905</v>
      </c>
      <c r="B908" s="37" t="n">
        <v>3121</v>
      </c>
      <c r="C908" s="38" t="s">
        <v>4223</v>
      </c>
      <c r="D908" s="37" t="s">
        <v>100</v>
      </c>
      <c r="E908" s="39" t="n">
        <v>27541</v>
      </c>
      <c r="F908" s="37" t="n">
        <f aca="true">IFERROR(DATEDIF(E908,TODAY(),"Y"),"")</f>
        <v>51</v>
      </c>
      <c r="G908" s="40" t="s">
        <v>4224</v>
      </c>
      <c r="H908" s="40" t="s">
        <v>4225</v>
      </c>
      <c r="I908" s="38" t="s">
        <v>4226</v>
      </c>
      <c r="J908" s="38" t="s">
        <v>15</v>
      </c>
      <c r="K908" s="38" t="s">
        <v>4227</v>
      </c>
      <c r="L908" s="38" t="s">
        <v>52</v>
      </c>
      <c r="M908" s="37"/>
      <c r="N908" s="39" t="n">
        <v>41333</v>
      </c>
      <c r="O908" s="41" t="s">
        <v>23</v>
      </c>
      <c r="P908" s="41" t="s">
        <v>105</v>
      </c>
      <c r="Q908" s="42"/>
      <c r="R908" s="41"/>
      <c r="S908" s="42"/>
      <c r="T908" s="41"/>
    </row>
    <row r="909" customFormat="false" ht="13.5" hidden="false" customHeight="true" outlineLevel="0" collapsed="false">
      <c r="A909" s="37" t="n">
        <v>906</v>
      </c>
      <c r="B909" s="37" t="n">
        <v>3122</v>
      </c>
      <c r="C909" s="38" t="s">
        <v>4228</v>
      </c>
      <c r="D909" s="37" t="s">
        <v>100</v>
      </c>
      <c r="E909" s="39" t="n">
        <v>22403</v>
      </c>
      <c r="F909" s="37" t="n">
        <f aca="true">IFERROR(DATEDIF(E909,TODAY(),"Y"),"")</f>
        <v>65</v>
      </c>
      <c r="G909" s="40" t="s">
        <v>4229</v>
      </c>
      <c r="H909" s="40" t="s">
        <v>4230</v>
      </c>
      <c r="I909" s="38" t="s">
        <v>4231</v>
      </c>
      <c r="J909" s="38" t="s">
        <v>15</v>
      </c>
      <c r="K909" s="38" t="s">
        <v>4232</v>
      </c>
      <c r="L909" s="38" t="s">
        <v>54</v>
      </c>
      <c r="M909" s="37" t="s">
        <v>120</v>
      </c>
      <c r="N909" s="39" t="n">
        <v>41333</v>
      </c>
      <c r="O909" s="41" t="s">
        <v>23</v>
      </c>
      <c r="P909" s="41" t="s">
        <v>105</v>
      </c>
      <c r="Q909" s="42"/>
      <c r="R909" s="41"/>
      <c r="S909" s="42"/>
      <c r="T909" s="41"/>
    </row>
    <row r="910" customFormat="false" ht="13.5" hidden="false" customHeight="true" outlineLevel="0" collapsed="false">
      <c r="A910" s="37" t="n">
        <v>907</v>
      </c>
      <c r="B910" s="37" t="n">
        <v>3123</v>
      </c>
      <c r="C910" s="38" t="s">
        <v>4233</v>
      </c>
      <c r="D910" s="37" t="s">
        <v>100</v>
      </c>
      <c r="E910" s="39" t="n">
        <v>27491</v>
      </c>
      <c r="F910" s="37" t="n">
        <f aca="true">IFERROR(DATEDIF(E910,TODAY(),"Y"),"")</f>
        <v>51</v>
      </c>
      <c r="G910" s="40" t="s">
        <v>4234</v>
      </c>
      <c r="H910" s="40"/>
      <c r="I910" s="38" t="s">
        <v>4235</v>
      </c>
      <c r="J910" s="38" t="s">
        <v>16</v>
      </c>
      <c r="K910" s="38" t="s">
        <v>4236</v>
      </c>
      <c r="L910" s="38" t="s">
        <v>46</v>
      </c>
      <c r="M910" s="37" t="s">
        <v>120</v>
      </c>
      <c r="N910" s="39" t="n">
        <v>41335</v>
      </c>
      <c r="O910" s="41" t="s">
        <v>23</v>
      </c>
      <c r="P910" s="41" t="s">
        <v>105</v>
      </c>
      <c r="Q910" s="42"/>
      <c r="R910" s="41"/>
      <c r="S910" s="42"/>
      <c r="T910" s="41"/>
    </row>
    <row r="911" customFormat="false" ht="13.5" hidden="false" customHeight="true" outlineLevel="0" collapsed="false">
      <c r="A911" s="37" t="n">
        <v>908</v>
      </c>
      <c r="B911" s="37" t="n">
        <v>3124</v>
      </c>
      <c r="C911" s="38" t="s">
        <v>4237</v>
      </c>
      <c r="D911" s="37" t="s">
        <v>100</v>
      </c>
      <c r="E911" s="39" t="n">
        <v>25592</v>
      </c>
      <c r="F911" s="37" t="n">
        <f aca="true">IFERROR(DATEDIF(E911,TODAY(),"Y"),"")</f>
        <v>56</v>
      </c>
      <c r="G911" s="40" t="s">
        <v>4238</v>
      </c>
      <c r="H911" s="40"/>
      <c r="I911" s="38" t="s">
        <v>4239</v>
      </c>
      <c r="J911" s="38"/>
      <c r="K911" s="38" t="s">
        <v>4240</v>
      </c>
      <c r="L911" s="38" t="s">
        <v>54</v>
      </c>
      <c r="M911" s="37" t="s">
        <v>104</v>
      </c>
      <c r="N911" s="39" t="n">
        <v>41335</v>
      </c>
      <c r="O911" s="41" t="s">
        <v>23</v>
      </c>
      <c r="P911" s="41" t="s">
        <v>105</v>
      </c>
      <c r="Q911" s="42"/>
      <c r="R911" s="41"/>
      <c r="S911" s="42"/>
      <c r="T911" s="41"/>
    </row>
    <row r="912" customFormat="false" ht="13.5" hidden="false" customHeight="true" outlineLevel="0" collapsed="false">
      <c r="A912" s="37" t="n">
        <v>909</v>
      </c>
      <c r="B912" s="37" t="n">
        <v>3126</v>
      </c>
      <c r="C912" s="38" t="s">
        <v>4241</v>
      </c>
      <c r="D912" s="37" t="s">
        <v>100</v>
      </c>
      <c r="E912" s="39" t="n">
        <v>28958</v>
      </c>
      <c r="F912" s="37" t="n">
        <f aca="true">IFERROR(DATEDIF(E912,TODAY(),"Y"),"")</f>
        <v>47</v>
      </c>
      <c r="G912" s="40" t="s">
        <v>4242</v>
      </c>
      <c r="H912" s="40" t="s">
        <v>4243</v>
      </c>
      <c r="I912" s="38" t="s">
        <v>4244</v>
      </c>
      <c r="J912" s="38" t="s">
        <v>15</v>
      </c>
      <c r="K912" s="38" t="s">
        <v>4245</v>
      </c>
      <c r="L912" s="38" t="s">
        <v>55</v>
      </c>
      <c r="M912" s="37" t="s">
        <v>731</v>
      </c>
      <c r="N912" s="39" t="n">
        <v>41337</v>
      </c>
      <c r="O912" s="41" t="s">
        <v>23</v>
      </c>
      <c r="P912" s="41" t="s">
        <v>105</v>
      </c>
      <c r="Q912" s="42"/>
      <c r="R912" s="41"/>
      <c r="S912" s="42"/>
      <c r="T912" s="41"/>
    </row>
    <row r="913" customFormat="false" ht="13.5" hidden="false" customHeight="true" outlineLevel="0" collapsed="false">
      <c r="A913" s="37" t="n">
        <v>910</v>
      </c>
      <c r="B913" s="37" t="n">
        <v>3127</v>
      </c>
      <c r="C913" s="38" t="s">
        <v>4246</v>
      </c>
      <c r="D913" s="37" t="s">
        <v>100</v>
      </c>
      <c r="E913" s="39" t="n">
        <v>24943</v>
      </c>
      <c r="F913" s="37" t="n">
        <f aca="true">IFERROR(DATEDIF(E913,TODAY(),"Y"),"")</f>
        <v>58</v>
      </c>
      <c r="G913" s="40" t="s">
        <v>4247</v>
      </c>
      <c r="H913" s="40" t="s">
        <v>4248</v>
      </c>
      <c r="I913" s="38" t="s">
        <v>4249</v>
      </c>
      <c r="J913" s="38" t="s">
        <v>18</v>
      </c>
      <c r="K913" s="38" t="s">
        <v>4250</v>
      </c>
      <c r="L913" s="38" t="s">
        <v>50</v>
      </c>
      <c r="M913" s="37" t="s">
        <v>104</v>
      </c>
      <c r="N913" s="39" t="n">
        <v>41359</v>
      </c>
      <c r="O913" s="41" t="s">
        <v>23</v>
      </c>
      <c r="P913" s="41" t="s">
        <v>105</v>
      </c>
      <c r="Q913" s="42"/>
      <c r="R913" s="41"/>
      <c r="S913" s="42"/>
      <c r="T913" s="41"/>
    </row>
    <row r="914" customFormat="false" ht="13.5" hidden="false" customHeight="true" outlineLevel="0" collapsed="false">
      <c r="A914" s="37" t="n">
        <v>911</v>
      </c>
      <c r="B914" s="37" t="n">
        <v>3128</v>
      </c>
      <c r="C914" s="38" t="s">
        <v>4251</v>
      </c>
      <c r="D914" s="37" t="s">
        <v>100</v>
      </c>
      <c r="E914" s="39" t="n">
        <v>27786</v>
      </c>
      <c r="F914" s="37" t="n">
        <f aca="true">IFERROR(DATEDIF(E914,TODAY(),"Y"),"")</f>
        <v>50</v>
      </c>
      <c r="G914" s="40" t="s">
        <v>4252</v>
      </c>
      <c r="H914" s="40"/>
      <c r="I914" s="38" t="s">
        <v>4253</v>
      </c>
      <c r="J914" s="38" t="s">
        <v>15</v>
      </c>
      <c r="K914" s="38" t="s">
        <v>4254</v>
      </c>
      <c r="L914" s="38" t="s">
        <v>50</v>
      </c>
      <c r="M914" s="37" t="s">
        <v>177</v>
      </c>
      <c r="N914" s="39" t="n">
        <v>41360</v>
      </c>
      <c r="O914" s="41" t="s">
        <v>23</v>
      </c>
      <c r="P914" s="41" t="s">
        <v>105</v>
      </c>
      <c r="Q914" s="42"/>
      <c r="R914" s="41"/>
      <c r="S914" s="42"/>
      <c r="T914" s="41"/>
    </row>
    <row r="915" customFormat="false" ht="13.5" hidden="false" customHeight="true" outlineLevel="0" collapsed="false">
      <c r="A915" s="37" t="n">
        <v>912</v>
      </c>
      <c r="B915" s="37" t="n">
        <v>3130</v>
      </c>
      <c r="C915" s="38" t="s">
        <v>4255</v>
      </c>
      <c r="D915" s="37" t="s">
        <v>100</v>
      </c>
      <c r="E915" s="39" t="n">
        <v>24764</v>
      </c>
      <c r="F915" s="37" t="n">
        <f aca="true">IFERROR(DATEDIF(E915,TODAY(),"Y"),"")</f>
        <v>58</v>
      </c>
      <c r="G915" s="40" t="s">
        <v>4256</v>
      </c>
      <c r="H915" s="40" t="s">
        <v>4257</v>
      </c>
      <c r="I915" s="38" t="s">
        <v>4258</v>
      </c>
      <c r="J915" s="38" t="s">
        <v>15</v>
      </c>
      <c r="K915" s="38" t="s">
        <v>4259</v>
      </c>
      <c r="L915" s="38" t="s">
        <v>57</v>
      </c>
      <c r="M915" s="37" t="s">
        <v>788</v>
      </c>
      <c r="N915" s="39" t="n">
        <v>41361</v>
      </c>
      <c r="O915" s="41" t="s">
        <v>23</v>
      </c>
      <c r="P915" s="41" t="s">
        <v>105</v>
      </c>
      <c r="Q915" s="42"/>
      <c r="R915" s="41"/>
      <c r="S915" s="42"/>
      <c r="T915" s="41"/>
    </row>
    <row r="916" customFormat="false" ht="13.5" hidden="false" customHeight="true" outlineLevel="0" collapsed="false">
      <c r="A916" s="37" t="n">
        <v>913</v>
      </c>
      <c r="B916" s="37" t="n">
        <v>3131</v>
      </c>
      <c r="C916" s="38" t="s">
        <v>4260</v>
      </c>
      <c r="D916" s="37" t="s">
        <v>100</v>
      </c>
      <c r="E916" s="39" t="n">
        <v>29849</v>
      </c>
      <c r="F916" s="37" t="n">
        <f aca="true">IFERROR(DATEDIF(E916,TODAY(),"Y"),"")</f>
        <v>44</v>
      </c>
      <c r="G916" s="40" t="s">
        <v>4261</v>
      </c>
      <c r="H916" s="40" t="s">
        <v>4262</v>
      </c>
      <c r="I916" s="38" t="s">
        <v>4263</v>
      </c>
      <c r="J916" s="38" t="s">
        <v>16</v>
      </c>
      <c r="K916" s="38" t="s">
        <v>4264</v>
      </c>
      <c r="L916" s="38" t="s">
        <v>54</v>
      </c>
      <c r="M916" s="37" t="s">
        <v>104</v>
      </c>
      <c r="N916" s="39" t="n">
        <v>41361</v>
      </c>
      <c r="O916" s="41" t="s">
        <v>23</v>
      </c>
      <c r="P916" s="41" t="s">
        <v>105</v>
      </c>
      <c r="Q916" s="42"/>
      <c r="R916" s="41"/>
      <c r="S916" s="42"/>
      <c r="T916" s="41"/>
    </row>
    <row r="917" customFormat="false" ht="13.5" hidden="false" customHeight="true" outlineLevel="0" collapsed="false">
      <c r="A917" s="37" t="n">
        <v>914</v>
      </c>
      <c r="B917" s="37" t="n">
        <v>3132</v>
      </c>
      <c r="C917" s="38" t="s">
        <v>4265</v>
      </c>
      <c r="D917" s="37" t="s">
        <v>100</v>
      </c>
      <c r="E917" s="39" t="n">
        <v>25584</v>
      </c>
      <c r="F917" s="37" t="n">
        <f aca="true">IFERROR(DATEDIF(E917,TODAY(),"Y"),"")</f>
        <v>56</v>
      </c>
      <c r="G917" s="40" t="s">
        <v>4266</v>
      </c>
      <c r="H917" s="40" t="s">
        <v>4267</v>
      </c>
      <c r="I917" s="38" t="s">
        <v>4268</v>
      </c>
      <c r="J917" s="38" t="s">
        <v>15</v>
      </c>
      <c r="K917" s="38" t="s">
        <v>4269</v>
      </c>
      <c r="L917" s="38" t="s">
        <v>44</v>
      </c>
      <c r="M917" s="37" t="s">
        <v>120</v>
      </c>
      <c r="N917" s="39" t="n">
        <v>41361</v>
      </c>
      <c r="O917" s="41" t="s">
        <v>23</v>
      </c>
      <c r="P917" s="41" t="s">
        <v>105</v>
      </c>
      <c r="Q917" s="42"/>
      <c r="R917" s="41"/>
      <c r="S917" s="42"/>
      <c r="T917" s="41"/>
    </row>
    <row r="918" customFormat="false" ht="13.5" hidden="false" customHeight="true" outlineLevel="0" collapsed="false">
      <c r="A918" s="37" t="n">
        <v>915</v>
      </c>
      <c r="B918" s="37" t="n">
        <v>3134</v>
      </c>
      <c r="C918" s="38" t="s">
        <v>4270</v>
      </c>
      <c r="D918" s="37" t="s">
        <v>100</v>
      </c>
      <c r="E918" s="39" t="n">
        <v>27540</v>
      </c>
      <c r="F918" s="37" t="n">
        <f aca="true">IFERROR(DATEDIF(E918,TODAY(),"Y"),"")</f>
        <v>51</v>
      </c>
      <c r="G918" s="40" t="s">
        <v>4271</v>
      </c>
      <c r="H918" s="40"/>
      <c r="I918" s="38" t="s">
        <v>4272</v>
      </c>
      <c r="J918" s="38" t="s">
        <v>16</v>
      </c>
      <c r="K918" s="38" t="s">
        <v>4273</v>
      </c>
      <c r="L918" s="38" t="s">
        <v>51</v>
      </c>
      <c r="M918" s="37" t="s">
        <v>177</v>
      </c>
      <c r="N918" s="39" t="n">
        <v>41363</v>
      </c>
      <c r="O918" s="41" t="s">
        <v>23</v>
      </c>
      <c r="P918" s="41" t="s">
        <v>105</v>
      </c>
      <c r="Q918" s="42"/>
      <c r="R918" s="41"/>
      <c r="S918" s="42"/>
      <c r="T918" s="41"/>
    </row>
    <row r="919" customFormat="false" ht="13.5" hidden="false" customHeight="true" outlineLevel="0" collapsed="false">
      <c r="A919" s="37" t="n">
        <v>916</v>
      </c>
      <c r="B919" s="37" t="n">
        <v>3135</v>
      </c>
      <c r="C919" s="38" t="s">
        <v>4274</v>
      </c>
      <c r="D919" s="37" t="s">
        <v>100</v>
      </c>
      <c r="E919" s="39" t="n">
        <v>31131</v>
      </c>
      <c r="F919" s="37" t="n">
        <f aca="true">IFERROR(DATEDIF(E919,TODAY(),"Y"),"")</f>
        <v>41</v>
      </c>
      <c r="G919" s="40" t="s">
        <v>4275</v>
      </c>
      <c r="H919" s="40" t="s">
        <v>4276</v>
      </c>
      <c r="I919" s="38" t="s">
        <v>4277</v>
      </c>
      <c r="J919" s="38" t="s">
        <v>15</v>
      </c>
      <c r="K919" s="38" t="s">
        <v>4278</v>
      </c>
      <c r="L919" s="38" t="s">
        <v>54</v>
      </c>
      <c r="M919" s="37"/>
      <c r="N919" s="39" t="n">
        <v>41363</v>
      </c>
      <c r="O919" s="41" t="s">
        <v>23</v>
      </c>
      <c r="P919" s="41" t="s">
        <v>105</v>
      </c>
      <c r="Q919" s="42"/>
      <c r="R919" s="41"/>
      <c r="S919" s="42"/>
      <c r="T919" s="41"/>
    </row>
    <row r="920" customFormat="false" ht="13.5" hidden="false" customHeight="true" outlineLevel="0" collapsed="false">
      <c r="A920" s="37" t="n">
        <v>917</v>
      </c>
      <c r="B920" s="37" t="n">
        <v>3136</v>
      </c>
      <c r="C920" s="38" t="s">
        <v>4279</v>
      </c>
      <c r="D920" s="37" t="s">
        <v>100</v>
      </c>
      <c r="E920" s="39" t="n">
        <v>28412</v>
      </c>
      <c r="F920" s="37" t="n">
        <f aca="true">IFERROR(DATEDIF(E920,TODAY(),"Y"),"")</f>
        <v>48</v>
      </c>
      <c r="G920" s="40" t="s">
        <v>4280</v>
      </c>
      <c r="H920" s="40"/>
      <c r="I920" s="38" t="s">
        <v>4281</v>
      </c>
      <c r="J920" s="38" t="s">
        <v>16</v>
      </c>
      <c r="K920" s="38" t="s">
        <v>4282</v>
      </c>
      <c r="L920" s="38" t="s">
        <v>54</v>
      </c>
      <c r="M920" s="37" t="s">
        <v>120</v>
      </c>
      <c r="N920" s="39" t="n">
        <v>41365</v>
      </c>
      <c r="O920" s="41" t="s">
        <v>23</v>
      </c>
      <c r="P920" s="41" t="s">
        <v>105</v>
      </c>
      <c r="Q920" s="42"/>
      <c r="R920" s="41"/>
      <c r="S920" s="42"/>
      <c r="T920" s="41"/>
    </row>
    <row r="921" customFormat="false" ht="13.5" hidden="false" customHeight="true" outlineLevel="0" collapsed="false">
      <c r="A921" s="37" t="n">
        <v>918</v>
      </c>
      <c r="B921" s="37" t="n">
        <v>3138</v>
      </c>
      <c r="C921" s="38" t="s">
        <v>4283</v>
      </c>
      <c r="D921" s="37" t="s">
        <v>100</v>
      </c>
      <c r="E921" s="39" t="n">
        <v>26611</v>
      </c>
      <c r="F921" s="37" t="n">
        <f aca="true">IFERROR(DATEDIF(E921,TODAY(),"Y"),"")</f>
        <v>53</v>
      </c>
      <c r="G921" s="40" t="s">
        <v>4284</v>
      </c>
      <c r="H921" s="40"/>
      <c r="I921" s="38" t="s">
        <v>4285</v>
      </c>
      <c r="J921" s="38" t="s">
        <v>15</v>
      </c>
      <c r="K921" s="38" t="s">
        <v>4286</v>
      </c>
      <c r="L921" s="38" t="s">
        <v>55</v>
      </c>
      <c r="M921" s="37" t="s">
        <v>231</v>
      </c>
      <c r="N921" s="39" t="n">
        <v>41368</v>
      </c>
      <c r="O921" s="41" t="s">
        <v>23</v>
      </c>
      <c r="P921" s="41" t="s">
        <v>105</v>
      </c>
      <c r="Q921" s="42"/>
      <c r="R921" s="41"/>
      <c r="S921" s="42"/>
      <c r="T921" s="41"/>
    </row>
    <row r="922" customFormat="false" ht="13.5" hidden="false" customHeight="true" outlineLevel="0" collapsed="false">
      <c r="A922" s="37" t="n">
        <v>919</v>
      </c>
      <c r="B922" s="37" t="n">
        <v>3139</v>
      </c>
      <c r="C922" s="38" t="s">
        <v>4287</v>
      </c>
      <c r="D922" s="37" t="s">
        <v>100</v>
      </c>
      <c r="E922" s="39" t="n">
        <v>23502</v>
      </c>
      <c r="F922" s="37" t="n">
        <f aca="true">IFERROR(DATEDIF(E922,TODAY(),"Y"),"")</f>
        <v>62</v>
      </c>
      <c r="G922" s="40" t="s">
        <v>4288</v>
      </c>
      <c r="H922" s="40"/>
      <c r="I922" s="38" t="s">
        <v>4289</v>
      </c>
      <c r="J922" s="38" t="s">
        <v>15</v>
      </c>
      <c r="K922" s="38" t="s">
        <v>4290</v>
      </c>
      <c r="L922" s="38" t="s">
        <v>46</v>
      </c>
      <c r="M922" s="37" t="s">
        <v>104</v>
      </c>
      <c r="N922" s="39" t="n">
        <v>41374</v>
      </c>
      <c r="O922" s="41" t="s">
        <v>23</v>
      </c>
      <c r="P922" s="41" t="s">
        <v>105</v>
      </c>
      <c r="Q922" s="42"/>
      <c r="R922" s="41"/>
      <c r="S922" s="42"/>
      <c r="T922" s="41"/>
    </row>
    <row r="923" customFormat="false" ht="13.5" hidden="false" customHeight="true" outlineLevel="0" collapsed="false">
      <c r="A923" s="37" t="n">
        <v>920</v>
      </c>
      <c r="B923" s="37" t="n">
        <v>3140</v>
      </c>
      <c r="C923" s="38" t="s">
        <v>4291</v>
      </c>
      <c r="D923" s="37" t="s">
        <v>100</v>
      </c>
      <c r="E923" s="39" t="n">
        <v>26084</v>
      </c>
      <c r="F923" s="37" t="n">
        <f aca="true">IFERROR(DATEDIF(E923,TODAY(),"Y"),"")</f>
        <v>55</v>
      </c>
      <c r="G923" s="40" t="s">
        <v>4292</v>
      </c>
      <c r="H923" s="40" t="s">
        <v>4293</v>
      </c>
      <c r="I923" s="38" t="s">
        <v>4294</v>
      </c>
      <c r="J923" s="38"/>
      <c r="K923" s="38" t="s">
        <v>4295</v>
      </c>
      <c r="L923" s="38" t="s">
        <v>51</v>
      </c>
      <c r="M923" s="37" t="s">
        <v>104</v>
      </c>
      <c r="N923" s="39" t="n">
        <v>41385</v>
      </c>
      <c r="O923" s="41" t="s">
        <v>23</v>
      </c>
      <c r="P923" s="41" t="s">
        <v>105</v>
      </c>
      <c r="Q923" s="42"/>
      <c r="R923" s="41"/>
      <c r="S923" s="42"/>
      <c r="T923" s="41"/>
    </row>
    <row r="924" customFormat="false" ht="13.5" hidden="false" customHeight="true" outlineLevel="0" collapsed="false">
      <c r="A924" s="37" t="n">
        <v>921</v>
      </c>
      <c r="B924" s="37" t="n">
        <v>3141</v>
      </c>
      <c r="C924" s="38" t="s">
        <v>4296</v>
      </c>
      <c r="D924" s="37" t="s">
        <v>100</v>
      </c>
      <c r="E924" s="39" t="n">
        <v>26141</v>
      </c>
      <c r="F924" s="37" t="n">
        <f aca="true">IFERROR(DATEDIF(E924,TODAY(),"Y"),"")</f>
        <v>55</v>
      </c>
      <c r="G924" s="40" t="s">
        <v>4297</v>
      </c>
      <c r="H924" s="40"/>
      <c r="I924" s="38" t="s">
        <v>4298</v>
      </c>
      <c r="J924" s="38" t="s">
        <v>15</v>
      </c>
      <c r="K924" s="38" t="s">
        <v>4299</v>
      </c>
      <c r="L924" s="38" t="s">
        <v>55</v>
      </c>
      <c r="M924" s="37"/>
      <c r="N924" s="39" t="n">
        <v>41385</v>
      </c>
      <c r="O924" s="41" t="s">
        <v>23</v>
      </c>
      <c r="P924" s="41" t="s">
        <v>105</v>
      </c>
      <c r="Q924" s="42"/>
      <c r="R924" s="41"/>
      <c r="S924" s="42"/>
      <c r="T924" s="41"/>
    </row>
    <row r="925" customFormat="false" ht="13.5" hidden="false" customHeight="true" outlineLevel="0" collapsed="false">
      <c r="A925" s="37" t="n">
        <v>922</v>
      </c>
      <c r="B925" s="37" t="n">
        <v>3142</v>
      </c>
      <c r="C925" s="38" t="s">
        <v>4300</v>
      </c>
      <c r="D925" s="37" t="s">
        <v>100</v>
      </c>
      <c r="E925" s="39" t="n">
        <v>22852</v>
      </c>
      <c r="F925" s="37" t="n">
        <f aca="true">IFERROR(DATEDIF(E925,TODAY(),"Y"),"")</f>
        <v>64</v>
      </c>
      <c r="G925" s="40" t="s">
        <v>4301</v>
      </c>
      <c r="H925" s="40"/>
      <c r="I925" s="38" t="s">
        <v>4302</v>
      </c>
      <c r="J925" s="38" t="s">
        <v>15</v>
      </c>
      <c r="K925" s="38" t="s">
        <v>4303</v>
      </c>
      <c r="L925" s="38" t="s">
        <v>54</v>
      </c>
      <c r="M925" s="37" t="s">
        <v>120</v>
      </c>
      <c r="N925" s="39" t="n">
        <v>41394</v>
      </c>
      <c r="O925" s="41" t="s">
        <v>23</v>
      </c>
      <c r="P925" s="41" t="s">
        <v>105</v>
      </c>
      <c r="Q925" s="42"/>
      <c r="R925" s="41"/>
      <c r="S925" s="42"/>
      <c r="T925" s="41"/>
    </row>
    <row r="926" customFormat="false" ht="13.5" hidden="false" customHeight="true" outlineLevel="0" collapsed="false">
      <c r="A926" s="37" t="n">
        <v>923</v>
      </c>
      <c r="B926" s="37" t="n">
        <v>3144</v>
      </c>
      <c r="C926" s="38" t="s">
        <v>4304</v>
      </c>
      <c r="D926" s="37" t="s">
        <v>100</v>
      </c>
      <c r="E926" s="39" t="n">
        <v>21397</v>
      </c>
      <c r="F926" s="37" t="n">
        <f aca="true">IFERROR(DATEDIF(E926,TODAY(),"Y"),"")</f>
        <v>68</v>
      </c>
      <c r="G926" s="40" t="s">
        <v>4305</v>
      </c>
      <c r="H926" s="40"/>
      <c r="I926" s="38"/>
      <c r="J926" s="38" t="s">
        <v>15</v>
      </c>
      <c r="K926" s="38" t="s">
        <v>4306</v>
      </c>
      <c r="L926" s="38" t="s">
        <v>44</v>
      </c>
      <c r="M926" s="37" t="s">
        <v>177</v>
      </c>
      <c r="N926" s="39" t="n">
        <v>41395</v>
      </c>
      <c r="O926" s="41" t="s">
        <v>23</v>
      </c>
      <c r="P926" s="41" t="s">
        <v>105</v>
      </c>
      <c r="Q926" s="42"/>
      <c r="R926" s="41"/>
      <c r="S926" s="42"/>
      <c r="T926" s="41"/>
    </row>
    <row r="927" customFormat="false" ht="13.5" hidden="false" customHeight="true" outlineLevel="0" collapsed="false">
      <c r="A927" s="37" t="n">
        <v>924</v>
      </c>
      <c r="B927" s="37" t="n">
        <v>3145</v>
      </c>
      <c r="C927" s="38" t="s">
        <v>4307</v>
      </c>
      <c r="D927" s="37" t="s">
        <v>100</v>
      </c>
      <c r="E927" s="39" t="n">
        <v>32037</v>
      </c>
      <c r="F927" s="37" t="n">
        <f aca="true">IFERROR(DATEDIF(E927,TODAY(),"Y"),"")</f>
        <v>38</v>
      </c>
      <c r="G927" s="40" t="s">
        <v>4308</v>
      </c>
      <c r="H927" s="40"/>
      <c r="I927" s="38" t="s">
        <v>4309</v>
      </c>
      <c r="J927" s="38" t="s">
        <v>15</v>
      </c>
      <c r="K927" s="38" t="s">
        <v>4310</v>
      </c>
      <c r="L927" s="38" t="s">
        <v>47</v>
      </c>
      <c r="M927" s="37" t="s">
        <v>120</v>
      </c>
      <c r="N927" s="39" t="n">
        <v>41395</v>
      </c>
      <c r="O927" s="41" t="s">
        <v>23</v>
      </c>
      <c r="P927" s="41" t="s">
        <v>105</v>
      </c>
      <c r="Q927" s="42"/>
      <c r="R927" s="41"/>
      <c r="S927" s="42"/>
      <c r="T927" s="41"/>
    </row>
    <row r="928" customFormat="false" ht="13.5" hidden="false" customHeight="true" outlineLevel="0" collapsed="false">
      <c r="A928" s="37" t="n">
        <v>925</v>
      </c>
      <c r="B928" s="37" t="n">
        <v>3147</v>
      </c>
      <c r="C928" s="38" t="s">
        <v>4311</v>
      </c>
      <c r="D928" s="37" t="s">
        <v>100</v>
      </c>
      <c r="E928" s="39" t="n">
        <v>29485</v>
      </c>
      <c r="F928" s="37" t="n">
        <f aca="true">IFERROR(DATEDIF(E928,TODAY(),"Y"),"")</f>
        <v>45</v>
      </c>
      <c r="G928" s="40" t="s">
        <v>4312</v>
      </c>
      <c r="H928" s="40" t="s">
        <v>4313</v>
      </c>
      <c r="I928" s="38" t="s">
        <v>4314</v>
      </c>
      <c r="J928" s="38" t="s">
        <v>15</v>
      </c>
      <c r="K928" s="38" t="s">
        <v>4315</v>
      </c>
      <c r="L928" s="38" t="s">
        <v>53</v>
      </c>
      <c r="M928" s="37" t="s">
        <v>788</v>
      </c>
      <c r="N928" s="39" t="n">
        <v>41407</v>
      </c>
      <c r="O928" s="41" t="s">
        <v>23</v>
      </c>
      <c r="P928" s="41" t="s">
        <v>105</v>
      </c>
      <c r="Q928" s="42"/>
      <c r="R928" s="41"/>
      <c r="S928" s="42"/>
      <c r="T928" s="41"/>
    </row>
    <row r="929" customFormat="false" ht="13.5" hidden="false" customHeight="true" outlineLevel="0" collapsed="false">
      <c r="A929" s="37" t="n">
        <v>926</v>
      </c>
      <c r="B929" s="37" t="n">
        <v>3149</v>
      </c>
      <c r="C929" s="38" t="s">
        <v>4316</v>
      </c>
      <c r="D929" s="37" t="s">
        <v>100</v>
      </c>
      <c r="E929" s="39" t="n">
        <v>26691</v>
      </c>
      <c r="F929" s="37" t="n">
        <f aca="true">IFERROR(DATEDIF(E929,TODAY(),"Y"),"")</f>
        <v>53</v>
      </c>
      <c r="G929" s="40" t="s">
        <v>4317</v>
      </c>
      <c r="H929" s="40" t="s">
        <v>4318</v>
      </c>
      <c r="I929" s="38" t="s">
        <v>4319</v>
      </c>
      <c r="J929" s="38" t="s">
        <v>15</v>
      </c>
      <c r="K929" s="38" t="s">
        <v>4320</v>
      </c>
      <c r="L929" s="38" t="s">
        <v>48</v>
      </c>
      <c r="M929" s="37" t="s">
        <v>104</v>
      </c>
      <c r="N929" s="39" t="n">
        <v>41427</v>
      </c>
      <c r="O929" s="41" t="s">
        <v>23</v>
      </c>
      <c r="P929" s="41" t="s">
        <v>105</v>
      </c>
      <c r="Q929" s="42"/>
      <c r="R929" s="41"/>
      <c r="S929" s="42"/>
      <c r="T929" s="41"/>
    </row>
    <row r="930" customFormat="false" ht="13.5" hidden="false" customHeight="true" outlineLevel="0" collapsed="false">
      <c r="A930" s="37" t="n">
        <v>927</v>
      </c>
      <c r="B930" s="37" t="n">
        <v>3150</v>
      </c>
      <c r="C930" s="38" t="s">
        <v>4321</v>
      </c>
      <c r="D930" s="37" t="s">
        <v>100</v>
      </c>
      <c r="E930" s="39" t="n">
        <v>23894</v>
      </c>
      <c r="F930" s="37" t="n">
        <f aca="true">IFERROR(DATEDIF(E930,TODAY(),"Y"),"")</f>
        <v>61</v>
      </c>
      <c r="G930" s="40" t="s">
        <v>4322</v>
      </c>
      <c r="H930" s="40" t="s">
        <v>4323</v>
      </c>
      <c r="I930" s="38" t="s">
        <v>4324</v>
      </c>
      <c r="J930" s="38" t="s">
        <v>15</v>
      </c>
      <c r="K930" s="38" t="s">
        <v>4325</v>
      </c>
      <c r="L930" s="38" t="s">
        <v>46</v>
      </c>
      <c r="M930" s="37" t="s">
        <v>104</v>
      </c>
      <c r="N930" s="39" t="n">
        <v>41428</v>
      </c>
      <c r="O930" s="41" t="s">
        <v>23</v>
      </c>
      <c r="P930" s="41" t="s">
        <v>105</v>
      </c>
      <c r="Q930" s="42"/>
      <c r="R930" s="41"/>
      <c r="S930" s="42"/>
      <c r="T930" s="41"/>
    </row>
    <row r="931" customFormat="false" ht="13.5" hidden="false" customHeight="true" outlineLevel="0" collapsed="false">
      <c r="A931" s="37" t="n">
        <v>928</v>
      </c>
      <c r="B931" s="37" t="n">
        <v>3151</v>
      </c>
      <c r="C931" s="38" t="s">
        <v>4326</v>
      </c>
      <c r="D931" s="37" t="s">
        <v>100</v>
      </c>
      <c r="E931" s="39" t="n">
        <v>25333</v>
      </c>
      <c r="F931" s="37" t="n">
        <f aca="true">IFERROR(DATEDIF(E931,TODAY(),"Y"),"")</f>
        <v>57</v>
      </c>
      <c r="G931" s="40" t="s">
        <v>4327</v>
      </c>
      <c r="H931" s="40"/>
      <c r="I931" s="38" t="s">
        <v>4328</v>
      </c>
      <c r="J931" s="38" t="s">
        <v>15</v>
      </c>
      <c r="K931" s="38" t="s">
        <v>4329</v>
      </c>
      <c r="L931" s="38" t="s">
        <v>47</v>
      </c>
      <c r="M931" s="37" t="s">
        <v>120</v>
      </c>
      <c r="N931" s="39" t="n">
        <v>41430</v>
      </c>
      <c r="O931" s="41" t="s">
        <v>23</v>
      </c>
      <c r="P931" s="41" t="s">
        <v>105</v>
      </c>
      <c r="Q931" s="42"/>
      <c r="R931" s="41"/>
      <c r="S931" s="42"/>
      <c r="T931" s="41"/>
    </row>
    <row r="932" customFormat="false" ht="13.5" hidden="false" customHeight="true" outlineLevel="0" collapsed="false">
      <c r="A932" s="37" t="n">
        <v>929</v>
      </c>
      <c r="B932" s="37" t="n">
        <v>3152</v>
      </c>
      <c r="C932" s="38" t="s">
        <v>4330</v>
      </c>
      <c r="D932" s="37" t="s">
        <v>100</v>
      </c>
      <c r="E932" s="39" t="n">
        <v>25673</v>
      </c>
      <c r="F932" s="37" t="n">
        <f aca="true">IFERROR(DATEDIF(E932,TODAY(),"Y"),"")</f>
        <v>56</v>
      </c>
      <c r="G932" s="40" t="s">
        <v>4331</v>
      </c>
      <c r="H932" s="40" t="s">
        <v>4332</v>
      </c>
      <c r="I932" s="38" t="s">
        <v>4333</v>
      </c>
      <c r="J932" s="38" t="s">
        <v>15</v>
      </c>
      <c r="K932" s="38" t="s">
        <v>4334</v>
      </c>
      <c r="L932" s="38" t="s">
        <v>53</v>
      </c>
      <c r="M932" s="37" t="s">
        <v>177</v>
      </c>
      <c r="N932" s="39" t="n">
        <v>41430</v>
      </c>
      <c r="O932" s="41" t="s">
        <v>23</v>
      </c>
      <c r="P932" s="41" t="s">
        <v>105</v>
      </c>
      <c r="Q932" s="42"/>
      <c r="R932" s="41"/>
      <c r="S932" s="42"/>
      <c r="T932" s="41"/>
    </row>
    <row r="933" customFormat="false" ht="13.5" hidden="false" customHeight="true" outlineLevel="0" collapsed="false">
      <c r="A933" s="37" t="n">
        <v>930</v>
      </c>
      <c r="B933" s="37" t="n">
        <v>3154</v>
      </c>
      <c r="C933" s="38" t="s">
        <v>4335</v>
      </c>
      <c r="D933" s="37" t="s">
        <v>100</v>
      </c>
      <c r="E933" s="39" t="n">
        <v>24983</v>
      </c>
      <c r="F933" s="37" t="n">
        <f aca="true">IFERROR(DATEDIF(E933,TODAY(),"Y"),"")</f>
        <v>58</v>
      </c>
      <c r="G933" s="40" t="s">
        <v>4336</v>
      </c>
      <c r="H933" s="40" t="s">
        <v>4337</v>
      </c>
      <c r="I933" s="38" t="s">
        <v>4338</v>
      </c>
      <c r="J933" s="38" t="s">
        <v>18</v>
      </c>
      <c r="K933" s="38" t="s">
        <v>4339</v>
      </c>
      <c r="L933" s="38" t="s">
        <v>43</v>
      </c>
      <c r="M933" s="37" t="s">
        <v>120</v>
      </c>
      <c r="N933" s="39" t="n">
        <v>41440</v>
      </c>
      <c r="O933" s="41" t="s">
        <v>23</v>
      </c>
      <c r="P933" s="41" t="s">
        <v>105</v>
      </c>
      <c r="Q933" s="42"/>
      <c r="R933" s="41"/>
      <c r="S933" s="42"/>
      <c r="T933" s="41"/>
    </row>
    <row r="934" customFormat="false" ht="13.5" hidden="false" customHeight="true" outlineLevel="0" collapsed="false">
      <c r="A934" s="37" t="n">
        <v>931</v>
      </c>
      <c r="B934" s="37" t="n">
        <v>3155</v>
      </c>
      <c r="C934" s="38" t="s">
        <v>4340</v>
      </c>
      <c r="D934" s="37" t="s">
        <v>100</v>
      </c>
      <c r="E934" s="39" t="n">
        <v>30260</v>
      </c>
      <c r="F934" s="37" t="n">
        <f aca="true">IFERROR(DATEDIF(E934,TODAY(),"Y"),"")</f>
        <v>43</v>
      </c>
      <c r="G934" s="40" t="s">
        <v>4341</v>
      </c>
      <c r="H934" s="40" t="s">
        <v>4342</v>
      </c>
      <c r="I934" s="38" t="s">
        <v>4343</v>
      </c>
      <c r="J934" s="38" t="s">
        <v>15</v>
      </c>
      <c r="K934" s="38" t="s">
        <v>4344</v>
      </c>
      <c r="L934" s="38" t="s">
        <v>55</v>
      </c>
      <c r="M934" s="37" t="s">
        <v>104</v>
      </c>
      <c r="N934" s="39" t="n">
        <v>41451</v>
      </c>
      <c r="O934" s="41" t="s">
        <v>23</v>
      </c>
      <c r="P934" s="41" t="s">
        <v>105</v>
      </c>
      <c r="Q934" s="42"/>
      <c r="R934" s="41"/>
      <c r="S934" s="42"/>
      <c r="T934" s="41"/>
    </row>
    <row r="935" customFormat="false" ht="13.5" hidden="false" customHeight="true" outlineLevel="0" collapsed="false">
      <c r="A935" s="37" t="n">
        <v>932</v>
      </c>
      <c r="B935" s="37" t="n">
        <v>3156</v>
      </c>
      <c r="C935" s="38" t="s">
        <v>4345</v>
      </c>
      <c r="D935" s="37" t="s">
        <v>100</v>
      </c>
      <c r="E935" s="39" t="n">
        <v>20970</v>
      </c>
      <c r="F935" s="37" t="n">
        <f aca="true">IFERROR(DATEDIF(E935,TODAY(),"Y"),"")</f>
        <v>69</v>
      </c>
      <c r="G935" s="40" t="s">
        <v>4346</v>
      </c>
      <c r="H935" s="40"/>
      <c r="I935" s="38" t="s">
        <v>4347</v>
      </c>
      <c r="J935" s="38" t="s">
        <v>16</v>
      </c>
      <c r="K935" s="38" t="s">
        <v>4348</v>
      </c>
      <c r="L935" s="38" t="s">
        <v>53</v>
      </c>
      <c r="M935" s="37" t="s">
        <v>177</v>
      </c>
      <c r="N935" s="39" t="n">
        <v>41451</v>
      </c>
      <c r="O935" s="41" t="s">
        <v>23</v>
      </c>
      <c r="P935" s="41" t="s">
        <v>105</v>
      </c>
      <c r="Q935" s="42"/>
      <c r="R935" s="41"/>
      <c r="S935" s="42"/>
      <c r="T935" s="41"/>
    </row>
    <row r="936" customFormat="false" ht="13.5" hidden="false" customHeight="true" outlineLevel="0" collapsed="false">
      <c r="A936" s="37" t="n">
        <v>933</v>
      </c>
      <c r="B936" s="37" t="n">
        <v>3157</v>
      </c>
      <c r="C936" s="38" t="s">
        <v>4349</v>
      </c>
      <c r="D936" s="37" t="s">
        <v>100</v>
      </c>
      <c r="E936" s="39" t="n">
        <v>31192</v>
      </c>
      <c r="F936" s="37" t="n">
        <f aca="true">IFERROR(DATEDIF(E936,TODAY(),"Y"),"")</f>
        <v>41</v>
      </c>
      <c r="G936" s="40" t="s">
        <v>4350</v>
      </c>
      <c r="H936" s="40"/>
      <c r="I936" s="38" t="s">
        <v>4351</v>
      </c>
      <c r="J936" s="38" t="s">
        <v>16</v>
      </c>
      <c r="K936" s="38" t="s">
        <v>4352</v>
      </c>
      <c r="L936" s="38" t="s">
        <v>48</v>
      </c>
      <c r="M936" s="37" t="s">
        <v>177</v>
      </c>
      <c r="N936" s="39" t="n">
        <v>41452</v>
      </c>
      <c r="O936" s="41" t="s">
        <v>23</v>
      </c>
      <c r="P936" s="41" t="s">
        <v>105</v>
      </c>
      <c r="Q936" s="42"/>
      <c r="R936" s="41"/>
      <c r="S936" s="42"/>
      <c r="T936" s="41"/>
    </row>
    <row r="937" customFormat="false" ht="13.5" hidden="false" customHeight="true" outlineLevel="0" collapsed="false">
      <c r="A937" s="37" t="n">
        <v>934</v>
      </c>
      <c r="B937" s="37" t="n">
        <v>3158</v>
      </c>
      <c r="C937" s="38" t="s">
        <v>4353</v>
      </c>
      <c r="D937" s="37" t="s">
        <v>100</v>
      </c>
      <c r="E937" s="39" t="n">
        <v>25354</v>
      </c>
      <c r="F937" s="37" t="n">
        <f aca="true">IFERROR(DATEDIF(E937,TODAY(),"Y"),"")</f>
        <v>57</v>
      </c>
      <c r="G937" s="40" t="s">
        <v>4354</v>
      </c>
      <c r="H937" s="40" t="s">
        <v>4355</v>
      </c>
      <c r="I937" s="38" t="s">
        <v>4356</v>
      </c>
      <c r="J937" s="38" t="s">
        <v>16</v>
      </c>
      <c r="K937" s="38" t="s">
        <v>4357</v>
      </c>
      <c r="L937" s="38" t="s">
        <v>53</v>
      </c>
      <c r="M937" s="37" t="s">
        <v>120</v>
      </c>
      <c r="N937" s="39" t="n">
        <v>41464</v>
      </c>
      <c r="O937" s="41" t="s">
        <v>23</v>
      </c>
      <c r="P937" s="41" t="s">
        <v>105</v>
      </c>
      <c r="Q937" s="42"/>
      <c r="R937" s="41"/>
      <c r="S937" s="42"/>
      <c r="T937" s="41"/>
    </row>
    <row r="938" customFormat="false" ht="13.5" hidden="false" customHeight="true" outlineLevel="0" collapsed="false">
      <c r="A938" s="37" t="n">
        <v>935</v>
      </c>
      <c r="B938" s="37" t="n">
        <v>3161</v>
      </c>
      <c r="C938" s="38" t="s">
        <v>4358</v>
      </c>
      <c r="D938" s="37" t="s">
        <v>100</v>
      </c>
      <c r="E938" s="39" t="n">
        <v>23853</v>
      </c>
      <c r="F938" s="37" t="n">
        <f aca="true">IFERROR(DATEDIF(E938,TODAY(),"Y"),"")</f>
        <v>61</v>
      </c>
      <c r="G938" s="40" t="s">
        <v>4359</v>
      </c>
      <c r="H938" s="40"/>
      <c r="I938" s="38"/>
      <c r="J938" s="38" t="s">
        <v>15</v>
      </c>
      <c r="K938" s="38" t="s">
        <v>4360</v>
      </c>
      <c r="L938" s="38" t="s">
        <v>54</v>
      </c>
      <c r="M938" s="37" t="s">
        <v>177</v>
      </c>
      <c r="N938" s="39" t="n">
        <v>41468</v>
      </c>
      <c r="O938" s="41" t="s">
        <v>23</v>
      </c>
      <c r="P938" s="41" t="s">
        <v>105</v>
      </c>
      <c r="Q938" s="42"/>
      <c r="R938" s="41"/>
      <c r="S938" s="42"/>
      <c r="T938" s="41"/>
    </row>
    <row r="939" customFormat="false" ht="13.5" hidden="false" customHeight="true" outlineLevel="0" collapsed="false">
      <c r="A939" s="37" t="n">
        <v>936</v>
      </c>
      <c r="B939" s="37" t="n">
        <v>3162</v>
      </c>
      <c r="C939" s="38" t="s">
        <v>4361</v>
      </c>
      <c r="D939" s="37" t="s">
        <v>100</v>
      </c>
      <c r="E939" s="39" t="n">
        <v>24609</v>
      </c>
      <c r="F939" s="37" t="n">
        <f aca="true">IFERROR(DATEDIF(E939,TODAY(),"Y"),"")</f>
        <v>59</v>
      </c>
      <c r="G939" s="40" t="s">
        <v>4362</v>
      </c>
      <c r="H939" s="40"/>
      <c r="I939" s="38" t="s">
        <v>4363</v>
      </c>
      <c r="J939" s="38" t="s">
        <v>15</v>
      </c>
      <c r="K939" s="38" t="s">
        <v>4364</v>
      </c>
      <c r="L939" s="38" t="s">
        <v>43</v>
      </c>
      <c r="M939" s="37" t="s">
        <v>120</v>
      </c>
      <c r="N939" s="39" t="n">
        <v>41514</v>
      </c>
      <c r="O939" s="41" t="s">
        <v>23</v>
      </c>
      <c r="P939" s="41" t="s">
        <v>105</v>
      </c>
      <c r="Q939" s="42"/>
      <c r="R939" s="41"/>
      <c r="S939" s="42"/>
      <c r="T939" s="41"/>
    </row>
    <row r="940" customFormat="false" ht="13.5" hidden="false" customHeight="true" outlineLevel="0" collapsed="false">
      <c r="A940" s="37" t="n">
        <v>937</v>
      </c>
      <c r="B940" s="37" t="n">
        <v>3163</v>
      </c>
      <c r="C940" s="38" t="s">
        <v>4365</v>
      </c>
      <c r="D940" s="37" t="s">
        <v>100</v>
      </c>
      <c r="E940" s="39" t="n">
        <v>25570</v>
      </c>
      <c r="F940" s="37" t="n">
        <f aca="true">IFERROR(DATEDIF(E940,TODAY(),"Y"),"")</f>
        <v>56</v>
      </c>
      <c r="G940" s="40" t="s">
        <v>4366</v>
      </c>
      <c r="H940" s="40" t="s">
        <v>4367</v>
      </c>
      <c r="I940" s="38" t="s">
        <v>4368</v>
      </c>
      <c r="J940" s="38" t="s">
        <v>15</v>
      </c>
      <c r="K940" s="38" t="s">
        <v>4369</v>
      </c>
      <c r="L940" s="38" t="s">
        <v>47</v>
      </c>
      <c r="M940" s="37" t="s">
        <v>177</v>
      </c>
      <c r="N940" s="39" t="n">
        <v>41476</v>
      </c>
      <c r="O940" s="41" t="s">
        <v>23</v>
      </c>
      <c r="P940" s="41" t="s">
        <v>105</v>
      </c>
      <c r="Q940" s="42"/>
      <c r="R940" s="41"/>
      <c r="S940" s="42"/>
      <c r="T940" s="41"/>
    </row>
    <row r="941" customFormat="false" ht="13.5" hidden="false" customHeight="true" outlineLevel="0" collapsed="false">
      <c r="A941" s="37" t="n">
        <v>938</v>
      </c>
      <c r="B941" s="37" t="n">
        <v>3165</v>
      </c>
      <c r="C941" s="38" t="s">
        <v>4370</v>
      </c>
      <c r="D941" s="37" t="s">
        <v>100</v>
      </c>
      <c r="E941" s="39" t="n">
        <v>30658</v>
      </c>
      <c r="F941" s="37" t="n">
        <f aca="true">IFERROR(DATEDIF(E941,TODAY(),"Y"),"")</f>
        <v>42</v>
      </c>
      <c r="G941" s="40" t="s">
        <v>4371</v>
      </c>
      <c r="H941" s="40" t="s">
        <v>4372</v>
      </c>
      <c r="I941" s="38" t="s">
        <v>4373</v>
      </c>
      <c r="J941" s="38" t="s">
        <v>16</v>
      </c>
      <c r="K941" s="38" t="s">
        <v>4374</v>
      </c>
      <c r="L941" s="38" t="s">
        <v>44</v>
      </c>
      <c r="M941" s="37" t="s">
        <v>104</v>
      </c>
      <c r="N941" s="39" t="n">
        <v>41511</v>
      </c>
      <c r="O941" s="41" t="s">
        <v>23</v>
      </c>
      <c r="P941" s="41" t="s">
        <v>105</v>
      </c>
      <c r="Q941" s="42"/>
      <c r="R941" s="41"/>
      <c r="S941" s="42"/>
      <c r="T941" s="41"/>
    </row>
    <row r="942" customFormat="false" ht="13.5" hidden="false" customHeight="true" outlineLevel="0" collapsed="false">
      <c r="A942" s="37" t="n">
        <v>939</v>
      </c>
      <c r="B942" s="37" t="n">
        <v>3167</v>
      </c>
      <c r="C942" s="38" t="s">
        <v>4375</v>
      </c>
      <c r="D942" s="37" t="s">
        <v>100</v>
      </c>
      <c r="E942" s="39" t="n">
        <v>30874</v>
      </c>
      <c r="F942" s="37" t="n">
        <f aca="true">IFERROR(DATEDIF(E942,TODAY(),"Y"),"")</f>
        <v>42</v>
      </c>
      <c r="G942" s="40" t="s">
        <v>4376</v>
      </c>
      <c r="H942" s="40"/>
      <c r="I942" s="38" t="s">
        <v>4377</v>
      </c>
      <c r="J942" s="38" t="s">
        <v>15</v>
      </c>
      <c r="K942" s="38" t="s">
        <v>4378</v>
      </c>
      <c r="L942" s="38" t="s">
        <v>52</v>
      </c>
      <c r="M942" s="37" t="s">
        <v>745</v>
      </c>
      <c r="N942" s="39" t="n">
        <v>41534</v>
      </c>
      <c r="O942" s="41" t="s">
        <v>23</v>
      </c>
      <c r="P942" s="41" t="s">
        <v>105</v>
      </c>
      <c r="Q942" s="42"/>
      <c r="R942" s="41"/>
      <c r="S942" s="42"/>
      <c r="T942" s="41"/>
    </row>
    <row r="943" customFormat="false" ht="13.5" hidden="false" customHeight="true" outlineLevel="0" collapsed="false">
      <c r="A943" s="37" t="n">
        <v>940</v>
      </c>
      <c r="B943" s="37" t="n">
        <v>3171</v>
      </c>
      <c r="C943" s="38" t="s">
        <v>4379</v>
      </c>
      <c r="D943" s="37" t="s">
        <v>100</v>
      </c>
      <c r="E943" s="39" t="n">
        <v>24598</v>
      </c>
      <c r="F943" s="37" t="n">
        <f aca="true">IFERROR(DATEDIF(E943,TODAY(),"Y"),"")</f>
        <v>59</v>
      </c>
      <c r="G943" s="40" t="s">
        <v>4380</v>
      </c>
      <c r="H943" s="40" t="s">
        <v>4381</v>
      </c>
      <c r="I943" s="38" t="s">
        <v>4382</v>
      </c>
      <c r="J943" s="38" t="s">
        <v>15</v>
      </c>
      <c r="K943" s="38" t="s">
        <v>4383</v>
      </c>
      <c r="L943" s="38" t="s">
        <v>44</v>
      </c>
      <c r="M943" s="37"/>
      <c r="N943" s="39" t="n">
        <v>41571</v>
      </c>
      <c r="O943" s="41" t="s">
        <v>23</v>
      </c>
      <c r="P943" s="41" t="s">
        <v>105</v>
      </c>
      <c r="Q943" s="42"/>
      <c r="R943" s="41"/>
      <c r="S943" s="42"/>
      <c r="T943" s="41"/>
    </row>
    <row r="944" customFormat="false" ht="13.5" hidden="false" customHeight="true" outlineLevel="0" collapsed="false">
      <c r="A944" s="37" t="n">
        <v>941</v>
      </c>
      <c r="B944" s="37" t="n">
        <v>3172</v>
      </c>
      <c r="C944" s="38" t="s">
        <v>4384</v>
      </c>
      <c r="D944" s="37" t="s">
        <v>100</v>
      </c>
      <c r="E944" s="39" t="n">
        <v>21371</v>
      </c>
      <c r="F944" s="37" t="n">
        <f aca="true">IFERROR(DATEDIF(E944,TODAY(),"Y"),"")</f>
        <v>68</v>
      </c>
      <c r="G944" s="40" t="s">
        <v>4385</v>
      </c>
      <c r="H944" s="40" t="s">
        <v>4386</v>
      </c>
      <c r="I944" s="38" t="s">
        <v>4387</v>
      </c>
      <c r="J944" s="38" t="s">
        <v>15</v>
      </c>
      <c r="K944" s="38" t="s">
        <v>4388</v>
      </c>
      <c r="L944" s="38" t="s">
        <v>55</v>
      </c>
      <c r="M944" s="37" t="s">
        <v>177</v>
      </c>
      <c r="N944" s="39" t="n">
        <v>41573</v>
      </c>
      <c r="O944" s="41" t="s">
        <v>23</v>
      </c>
      <c r="P944" s="41" t="s">
        <v>105</v>
      </c>
      <c r="Q944" s="42"/>
      <c r="R944" s="41"/>
      <c r="S944" s="42"/>
      <c r="T944" s="41"/>
    </row>
    <row r="945" customFormat="false" ht="13.5" hidden="false" customHeight="true" outlineLevel="0" collapsed="false">
      <c r="A945" s="37" t="n">
        <v>942</v>
      </c>
      <c r="B945" s="37" t="n">
        <v>3174</v>
      </c>
      <c r="C945" s="38" t="s">
        <v>4389</v>
      </c>
      <c r="D945" s="37" t="s">
        <v>100</v>
      </c>
      <c r="E945" s="39" t="n">
        <v>21332</v>
      </c>
      <c r="F945" s="37" t="n">
        <f aca="true">IFERROR(DATEDIF(E945,TODAY(),"Y"),"")</f>
        <v>68</v>
      </c>
      <c r="G945" s="40" t="s">
        <v>4390</v>
      </c>
      <c r="H945" s="40" t="s">
        <v>4391</v>
      </c>
      <c r="I945" s="38" t="s">
        <v>4392</v>
      </c>
      <c r="J945" s="38" t="s">
        <v>16</v>
      </c>
      <c r="K945" s="38" t="s">
        <v>4393</v>
      </c>
      <c r="L945" s="38" t="s">
        <v>54</v>
      </c>
      <c r="M945" s="37" t="s">
        <v>177</v>
      </c>
      <c r="N945" s="39" t="n">
        <v>41589</v>
      </c>
      <c r="O945" s="41" t="s">
        <v>23</v>
      </c>
      <c r="P945" s="41" t="s">
        <v>105</v>
      </c>
      <c r="Q945" s="42"/>
      <c r="R945" s="41"/>
      <c r="S945" s="42"/>
      <c r="T945" s="41"/>
    </row>
    <row r="946" customFormat="false" ht="13.5" hidden="false" customHeight="true" outlineLevel="0" collapsed="false">
      <c r="A946" s="37" t="n">
        <v>943</v>
      </c>
      <c r="B946" s="37" t="n">
        <v>3175</v>
      </c>
      <c r="C946" s="38" t="s">
        <v>4394</v>
      </c>
      <c r="D946" s="37" t="s">
        <v>100</v>
      </c>
      <c r="E946" s="39" t="n">
        <v>26444</v>
      </c>
      <c r="F946" s="37" t="n">
        <f aca="true">IFERROR(DATEDIF(E946,TODAY(),"Y"),"")</f>
        <v>54</v>
      </c>
      <c r="G946" s="40" t="s">
        <v>4395</v>
      </c>
      <c r="H946" s="40" t="s">
        <v>4396</v>
      </c>
      <c r="I946" s="38" t="s">
        <v>4397</v>
      </c>
      <c r="J946" s="38" t="s">
        <v>15</v>
      </c>
      <c r="K946" s="38" t="s">
        <v>4398</v>
      </c>
      <c r="L946" s="38" t="s">
        <v>55</v>
      </c>
      <c r="M946" s="37" t="s">
        <v>745</v>
      </c>
      <c r="N946" s="39" t="n">
        <v>41594</v>
      </c>
      <c r="O946" s="41" t="s">
        <v>23</v>
      </c>
      <c r="P946" s="41" t="s">
        <v>105</v>
      </c>
      <c r="Q946" s="42"/>
      <c r="R946" s="41"/>
      <c r="S946" s="42"/>
      <c r="T946" s="41"/>
    </row>
    <row r="947" customFormat="false" ht="13.5" hidden="false" customHeight="true" outlineLevel="0" collapsed="false">
      <c r="A947" s="37" t="n">
        <v>944</v>
      </c>
      <c r="B947" s="37" t="n">
        <v>3178</v>
      </c>
      <c r="C947" s="38" t="s">
        <v>4399</v>
      </c>
      <c r="D947" s="37" t="s">
        <v>100</v>
      </c>
      <c r="E947" s="39" t="n">
        <v>21620</v>
      </c>
      <c r="F947" s="37" t="n">
        <f aca="true">IFERROR(DATEDIF(E947,TODAY(),"Y"),"")</f>
        <v>67</v>
      </c>
      <c r="G947" s="40" t="s">
        <v>4400</v>
      </c>
      <c r="H947" s="40" t="s">
        <v>4401</v>
      </c>
      <c r="I947" s="38" t="s">
        <v>4402</v>
      </c>
      <c r="J947" s="38" t="s">
        <v>15</v>
      </c>
      <c r="K947" s="38" t="s">
        <v>4403</v>
      </c>
      <c r="L947" s="38" t="s">
        <v>48</v>
      </c>
      <c r="M947" s="37" t="s">
        <v>177</v>
      </c>
      <c r="N947" s="39" t="n">
        <v>41601</v>
      </c>
      <c r="O947" s="41" t="s">
        <v>23</v>
      </c>
      <c r="P947" s="41" t="s">
        <v>105</v>
      </c>
      <c r="Q947" s="42"/>
      <c r="R947" s="41"/>
      <c r="S947" s="42"/>
      <c r="T947" s="41"/>
    </row>
    <row r="948" customFormat="false" ht="13.5" hidden="false" customHeight="true" outlineLevel="0" collapsed="false">
      <c r="A948" s="37" t="n">
        <v>945</v>
      </c>
      <c r="B948" s="37" t="n">
        <v>3179</v>
      </c>
      <c r="C948" s="38" t="s">
        <v>4404</v>
      </c>
      <c r="D948" s="37" t="s">
        <v>100</v>
      </c>
      <c r="E948" s="39" t="n">
        <v>26080</v>
      </c>
      <c r="F948" s="37" t="n">
        <f aca="true">IFERROR(DATEDIF(E948,TODAY(),"Y"),"")</f>
        <v>55</v>
      </c>
      <c r="G948" s="40" t="s">
        <v>4405</v>
      </c>
      <c r="H948" s="40"/>
      <c r="I948" s="38" t="s">
        <v>4406</v>
      </c>
      <c r="J948" s="38" t="s">
        <v>15</v>
      </c>
      <c r="K948" s="38" t="s">
        <v>4407</v>
      </c>
      <c r="L948" s="38" t="s">
        <v>48</v>
      </c>
      <c r="M948" s="37" t="s">
        <v>120</v>
      </c>
      <c r="N948" s="39" t="n">
        <v>41609</v>
      </c>
      <c r="O948" s="41" t="s">
        <v>23</v>
      </c>
      <c r="P948" s="41" t="s">
        <v>105</v>
      </c>
      <c r="Q948" s="42"/>
      <c r="R948" s="41"/>
      <c r="S948" s="42"/>
      <c r="T948" s="41"/>
    </row>
    <row r="949" customFormat="false" ht="13.5" hidden="false" customHeight="true" outlineLevel="0" collapsed="false">
      <c r="A949" s="37" t="n">
        <v>946</v>
      </c>
      <c r="B949" s="37" t="n">
        <v>3180</v>
      </c>
      <c r="C949" s="38" t="s">
        <v>4408</v>
      </c>
      <c r="D949" s="37" t="s">
        <v>100</v>
      </c>
      <c r="E949" s="39" t="n">
        <v>26478</v>
      </c>
      <c r="F949" s="37" t="n">
        <f aca="true">IFERROR(DATEDIF(E949,TODAY(),"Y"),"")</f>
        <v>54</v>
      </c>
      <c r="G949" s="40" t="s">
        <v>4409</v>
      </c>
      <c r="H949" s="40"/>
      <c r="I949" s="38" t="s">
        <v>4410</v>
      </c>
      <c r="J949" s="38" t="s">
        <v>16</v>
      </c>
      <c r="K949" s="38" t="s">
        <v>4411</v>
      </c>
      <c r="L949" s="38" t="s">
        <v>47</v>
      </c>
      <c r="M949" s="37" t="s">
        <v>120</v>
      </c>
      <c r="N949" s="39" t="n">
        <v>41611</v>
      </c>
      <c r="O949" s="41" t="s">
        <v>23</v>
      </c>
      <c r="P949" s="41" t="s">
        <v>105</v>
      </c>
      <c r="Q949" s="42"/>
      <c r="R949" s="41"/>
      <c r="S949" s="42"/>
      <c r="T949" s="41"/>
    </row>
    <row r="950" customFormat="false" ht="13.5" hidden="false" customHeight="true" outlineLevel="0" collapsed="false">
      <c r="A950" s="37" t="n">
        <v>947</v>
      </c>
      <c r="B950" s="37" t="n">
        <v>3181</v>
      </c>
      <c r="C950" s="38" t="s">
        <v>4412</v>
      </c>
      <c r="D950" s="37" t="s">
        <v>100</v>
      </c>
      <c r="E950" s="39" t="n">
        <v>22000</v>
      </c>
      <c r="F950" s="37" t="n">
        <f aca="true">IFERROR(DATEDIF(E950,TODAY(),"Y"),"")</f>
        <v>66</v>
      </c>
      <c r="G950" s="40" t="s">
        <v>4413</v>
      </c>
      <c r="H950" s="40" t="s">
        <v>4414</v>
      </c>
      <c r="I950" s="38" t="s">
        <v>4415</v>
      </c>
      <c r="J950" s="38" t="s">
        <v>16</v>
      </c>
      <c r="K950" s="38" t="s">
        <v>4416</v>
      </c>
      <c r="L950" s="38" t="s">
        <v>54</v>
      </c>
      <c r="M950" s="37"/>
      <c r="N950" s="39" t="n">
        <v>41612</v>
      </c>
      <c r="O950" s="41" t="s">
        <v>23</v>
      </c>
      <c r="P950" s="41" t="s">
        <v>105</v>
      </c>
      <c r="Q950" s="42"/>
      <c r="R950" s="41"/>
      <c r="S950" s="42"/>
      <c r="T950" s="41"/>
    </row>
    <row r="951" customFormat="false" ht="13.5" hidden="false" customHeight="true" outlineLevel="0" collapsed="false">
      <c r="A951" s="37" t="n">
        <v>948</v>
      </c>
      <c r="B951" s="37" t="n">
        <v>3183</v>
      </c>
      <c r="C951" s="38" t="s">
        <v>4417</v>
      </c>
      <c r="D951" s="37" t="s">
        <v>100</v>
      </c>
      <c r="E951" s="39" t="n">
        <v>23212</v>
      </c>
      <c r="F951" s="37" t="n">
        <f aca="true">IFERROR(DATEDIF(E951,TODAY(),"Y"),"")</f>
        <v>63</v>
      </c>
      <c r="G951" s="40" t="s">
        <v>4418</v>
      </c>
      <c r="H951" s="40" t="s">
        <v>4419</v>
      </c>
      <c r="I951" s="38" t="s">
        <v>4420</v>
      </c>
      <c r="J951" s="38" t="s">
        <v>15</v>
      </c>
      <c r="K951" s="38" t="s">
        <v>4421</v>
      </c>
      <c r="L951" s="38" t="s">
        <v>47</v>
      </c>
      <c r="M951" s="37" t="s">
        <v>104</v>
      </c>
      <c r="N951" s="39" t="n">
        <v>41619</v>
      </c>
      <c r="O951" s="41" t="s">
        <v>23</v>
      </c>
      <c r="P951" s="41" t="s">
        <v>105</v>
      </c>
      <c r="Q951" s="42"/>
      <c r="R951" s="41"/>
      <c r="S951" s="42"/>
      <c r="T951" s="41"/>
    </row>
    <row r="952" customFormat="false" ht="13.5" hidden="false" customHeight="true" outlineLevel="0" collapsed="false">
      <c r="A952" s="37" t="n">
        <v>949</v>
      </c>
      <c r="B952" s="37" t="n">
        <v>3185</v>
      </c>
      <c r="C952" s="38" t="s">
        <v>4422</v>
      </c>
      <c r="D952" s="37" t="s">
        <v>100</v>
      </c>
      <c r="E952" s="39" t="n">
        <v>31138</v>
      </c>
      <c r="F952" s="37" t="n">
        <f aca="true">IFERROR(DATEDIF(E952,TODAY(),"Y"),"")</f>
        <v>41</v>
      </c>
      <c r="G952" s="40" t="s">
        <v>4423</v>
      </c>
      <c r="H952" s="40" t="s">
        <v>4424</v>
      </c>
      <c r="I952" s="38" t="s">
        <v>4425</v>
      </c>
      <c r="J952" s="38" t="s">
        <v>18</v>
      </c>
      <c r="K952" s="38" t="s">
        <v>4426</v>
      </c>
      <c r="L952" s="38" t="s">
        <v>55</v>
      </c>
      <c r="M952" s="37" t="s">
        <v>104</v>
      </c>
      <c r="N952" s="39" t="n">
        <v>41623</v>
      </c>
      <c r="O952" s="41" t="s">
        <v>23</v>
      </c>
      <c r="P952" s="41" t="s">
        <v>105</v>
      </c>
      <c r="Q952" s="42"/>
      <c r="R952" s="41"/>
      <c r="S952" s="42"/>
      <c r="T952" s="41"/>
    </row>
    <row r="953" customFormat="false" ht="13.5" hidden="false" customHeight="true" outlineLevel="0" collapsed="false">
      <c r="A953" s="37" t="n">
        <v>950</v>
      </c>
      <c r="B953" s="37" t="n">
        <v>3187</v>
      </c>
      <c r="C953" s="38" t="s">
        <v>4427</v>
      </c>
      <c r="D953" s="37" t="s">
        <v>100</v>
      </c>
      <c r="E953" s="39" t="n">
        <v>30389</v>
      </c>
      <c r="F953" s="37" t="n">
        <f aca="true">IFERROR(DATEDIF(E953,TODAY(),"Y"),"")</f>
        <v>43</v>
      </c>
      <c r="G953" s="40" t="s">
        <v>4428</v>
      </c>
      <c r="H953" s="40" t="s">
        <v>4429</v>
      </c>
      <c r="I953" s="38" t="s">
        <v>4430</v>
      </c>
      <c r="J953" s="38" t="s">
        <v>16</v>
      </c>
      <c r="K953" s="38" t="s">
        <v>4431</v>
      </c>
      <c r="L953" s="38" t="s">
        <v>46</v>
      </c>
      <c r="M953" s="37" t="s">
        <v>104</v>
      </c>
      <c r="N953" s="39" t="n">
        <v>41623</v>
      </c>
      <c r="O953" s="41" t="s">
        <v>23</v>
      </c>
      <c r="P953" s="41" t="s">
        <v>105</v>
      </c>
      <c r="Q953" s="42"/>
      <c r="R953" s="41"/>
      <c r="S953" s="42"/>
      <c r="T953" s="41"/>
    </row>
    <row r="954" customFormat="false" ht="13.5" hidden="false" customHeight="true" outlineLevel="0" collapsed="false">
      <c r="A954" s="37" t="n">
        <v>951</v>
      </c>
      <c r="B954" s="37" t="n">
        <v>3188</v>
      </c>
      <c r="C954" s="38" t="s">
        <v>4432</v>
      </c>
      <c r="D954" s="37" t="s">
        <v>100</v>
      </c>
      <c r="E954" s="39" t="n">
        <v>28340</v>
      </c>
      <c r="F954" s="37" t="n">
        <f aca="true">IFERROR(DATEDIF(E954,TODAY(),"Y"),"")</f>
        <v>49</v>
      </c>
      <c r="G954" s="40" t="s">
        <v>4433</v>
      </c>
      <c r="H954" s="40" t="s">
        <v>4434</v>
      </c>
      <c r="I954" s="38" t="s">
        <v>4435</v>
      </c>
      <c r="J954" s="38" t="s">
        <v>15</v>
      </c>
      <c r="K954" s="38" t="s">
        <v>4436</v>
      </c>
      <c r="L954" s="38" t="s">
        <v>48</v>
      </c>
      <c r="M954" s="37" t="s">
        <v>120</v>
      </c>
      <c r="N954" s="39" t="n">
        <v>41627</v>
      </c>
      <c r="O954" s="41" t="s">
        <v>23</v>
      </c>
      <c r="P954" s="41" t="s">
        <v>105</v>
      </c>
      <c r="Q954" s="42"/>
      <c r="R954" s="41"/>
      <c r="S954" s="42"/>
      <c r="T954" s="41"/>
    </row>
    <row r="955" customFormat="false" ht="13.5" hidden="false" customHeight="true" outlineLevel="0" collapsed="false">
      <c r="A955" s="37" t="n">
        <v>952</v>
      </c>
      <c r="B955" s="37" t="n">
        <v>3189</v>
      </c>
      <c r="C955" s="38" t="s">
        <v>4437</v>
      </c>
      <c r="D955" s="37" t="s">
        <v>100</v>
      </c>
      <c r="E955" s="39" t="n">
        <v>28974</v>
      </c>
      <c r="F955" s="37" t="n">
        <f aca="true">IFERROR(DATEDIF(E955,TODAY(),"Y"),"")</f>
        <v>47</v>
      </c>
      <c r="G955" s="40" t="s">
        <v>4438</v>
      </c>
      <c r="H955" s="40"/>
      <c r="I955" s="38"/>
      <c r="J955" s="38" t="s">
        <v>15</v>
      </c>
      <c r="K955" s="38" t="s">
        <v>4439</v>
      </c>
      <c r="L955" s="38" t="s">
        <v>46</v>
      </c>
      <c r="M955" s="37"/>
      <c r="N955" s="39" t="n">
        <v>41632</v>
      </c>
      <c r="O955" s="41" t="s">
        <v>23</v>
      </c>
      <c r="P955" s="41" t="s">
        <v>105</v>
      </c>
      <c r="Q955" s="42"/>
      <c r="R955" s="41"/>
      <c r="S955" s="42"/>
      <c r="T955" s="41"/>
    </row>
    <row r="956" customFormat="false" ht="13.5" hidden="false" customHeight="true" outlineLevel="0" collapsed="false">
      <c r="A956" s="37" t="n">
        <v>953</v>
      </c>
      <c r="B956" s="37" t="n">
        <v>3190</v>
      </c>
      <c r="C956" s="38" t="s">
        <v>4440</v>
      </c>
      <c r="D956" s="37" t="s">
        <v>100</v>
      </c>
      <c r="E956" s="39" t="n">
        <v>28135</v>
      </c>
      <c r="F956" s="37" t="n">
        <f aca="true">IFERROR(DATEDIF(E956,TODAY(),"Y"),"")</f>
        <v>49</v>
      </c>
      <c r="G956" s="40" t="s">
        <v>4441</v>
      </c>
      <c r="H956" s="40"/>
      <c r="I956" s="38" t="s">
        <v>4442</v>
      </c>
      <c r="J956" s="38" t="s">
        <v>15</v>
      </c>
      <c r="K956" s="38" t="s">
        <v>4443</v>
      </c>
      <c r="L956" s="38" t="s">
        <v>46</v>
      </c>
      <c r="M956" s="37" t="s">
        <v>120</v>
      </c>
      <c r="N956" s="39" t="n">
        <v>41641</v>
      </c>
      <c r="O956" s="41" t="s">
        <v>23</v>
      </c>
      <c r="P956" s="41" t="s">
        <v>105</v>
      </c>
      <c r="Q956" s="42"/>
      <c r="R956" s="41"/>
      <c r="S956" s="42"/>
      <c r="T956" s="41"/>
    </row>
    <row r="957" customFormat="false" ht="13.5" hidden="false" customHeight="true" outlineLevel="0" collapsed="false">
      <c r="A957" s="37" t="n">
        <v>954</v>
      </c>
      <c r="B957" s="37" t="n">
        <v>3191</v>
      </c>
      <c r="C957" s="38" t="s">
        <v>4444</v>
      </c>
      <c r="D957" s="37" t="s">
        <v>100</v>
      </c>
      <c r="E957" s="39" t="n">
        <v>25687</v>
      </c>
      <c r="F957" s="37" t="n">
        <f aca="true">IFERROR(DATEDIF(E957,TODAY(),"Y"),"")</f>
        <v>56</v>
      </c>
      <c r="G957" s="40" t="s">
        <v>4445</v>
      </c>
      <c r="H957" s="40" t="s">
        <v>4446</v>
      </c>
      <c r="I957" s="38"/>
      <c r="J957" s="38" t="s">
        <v>16</v>
      </c>
      <c r="K957" s="38" t="s">
        <v>4447</v>
      </c>
      <c r="L957" s="38" t="s">
        <v>47</v>
      </c>
      <c r="M957" s="37"/>
      <c r="N957" s="39" t="n">
        <v>41643</v>
      </c>
      <c r="O957" s="41" t="s">
        <v>23</v>
      </c>
      <c r="P957" s="41" t="s">
        <v>105</v>
      </c>
      <c r="Q957" s="42"/>
      <c r="R957" s="41"/>
      <c r="S957" s="42"/>
      <c r="T957" s="41"/>
    </row>
    <row r="958" customFormat="false" ht="13.5" hidden="false" customHeight="true" outlineLevel="0" collapsed="false">
      <c r="A958" s="37" t="n">
        <v>955</v>
      </c>
      <c r="B958" s="37" t="n">
        <v>3192</v>
      </c>
      <c r="C958" s="38" t="s">
        <v>4448</v>
      </c>
      <c r="D958" s="37" t="s">
        <v>100</v>
      </c>
      <c r="E958" s="39" t="n">
        <v>25948</v>
      </c>
      <c r="F958" s="37" t="n">
        <f aca="true">IFERROR(DATEDIF(E958,TODAY(),"Y"),"")</f>
        <v>55</v>
      </c>
      <c r="G958" s="40" t="s">
        <v>4449</v>
      </c>
      <c r="H958" s="40" t="s">
        <v>4450</v>
      </c>
      <c r="I958" s="38" t="s">
        <v>4451</v>
      </c>
      <c r="J958" s="38" t="s">
        <v>18</v>
      </c>
      <c r="K958" s="38" t="s">
        <v>4452</v>
      </c>
      <c r="L958" s="38" t="s">
        <v>46</v>
      </c>
      <c r="M958" s="37" t="s">
        <v>104</v>
      </c>
      <c r="N958" s="39" t="n">
        <v>41645</v>
      </c>
      <c r="O958" s="41" t="s">
        <v>23</v>
      </c>
      <c r="P958" s="41" t="s">
        <v>105</v>
      </c>
      <c r="Q958" s="42"/>
      <c r="R958" s="41"/>
      <c r="S958" s="42"/>
      <c r="T958" s="41"/>
    </row>
    <row r="959" customFormat="false" ht="13.5" hidden="false" customHeight="true" outlineLevel="0" collapsed="false">
      <c r="A959" s="37" t="n">
        <v>956</v>
      </c>
      <c r="B959" s="37" t="n">
        <v>3195</v>
      </c>
      <c r="C959" s="38" t="s">
        <v>4453</v>
      </c>
      <c r="D959" s="37" t="s">
        <v>100</v>
      </c>
      <c r="E959" s="39" t="n">
        <v>23525</v>
      </c>
      <c r="F959" s="37" t="n">
        <f aca="true">IFERROR(DATEDIF(E959,TODAY(),"Y"),"")</f>
        <v>62</v>
      </c>
      <c r="G959" s="40" t="s">
        <v>4454</v>
      </c>
      <c r="H959" s="40" t="s">
        <v>4455</v>
      </c>
      <c r="I959" s="38" t="s">
        <v>4456</v>
      </c>
      <c r="J959" s="38" t="s">
        <v>16</v>
      </c>
      <c r="K959" s="38" t="s">
        <v>4457</v>
      </c>
      <c r="L959" s="38" t="s">
        <v>53</v>
      </c>
      <c r="M959" s="37" t="s">
        <v>120</v>
      </c>
      <c r="N959" s="39" t="n">
        <v>41653</v>
      </c>
      <c r="O959" s="41" t="s">
        <v>23</v>
      </c>
      <c r="P959" s="41" t="s">
        <v>105</v>
      </c>
      <c r="Q959" s="42"/>
      <c r="R959" s="41"/>
      <c r="S959" s="42"/>
      <c r="T959" s="41"/>
    </row>
    <row r="960" customFormat="false" ht="13.5" hidden="false" customHeight="true" outlineLevel="0" collapsed="false">
      <c r="A960" s="37" t="n">
        <v>957</v>
      </c>
      <c r="B960" s="37" t="n">
        <v>3196</v>
      </c>
      <c r="C960" s="38" t="s">
        <v>4458</v>
      </c>
      <c r="D960" s="37" t="s">
        <v>100</v>
      </c>
      <c r="E960" s="39" t="n">
        <v>23223</v>
      </c>
      <c r="F960" s="37" t="n">
        <f aca="true">IFERROR(DATEDIF(E960,TODAY(),"Y"),"")</f>
        <v>63</v>
      </c>
      <c r="G960" s="40" t="s">
        <v>4459</v>
      </c>
      <c r="H960" s="40"/>
      <c r="I960" s="38" t="s">
        <v>4460</v>
      </c>
      <c r="J960" s="38" t="s">
        <v>15</v>
      </c>
      <c r="K960" s="38" t="s">
        <v>4461</v>
      </c>
      <c r="L960" s="43" t="s">
        <v>58</v>
      </c>
      <c r="M960" s="37"/>
      <c r="N960" s="39" t="n">
        <v>41655</v>
      </c>
      <c r="O960" s="41" t="s">
        <v>23</v>
      </c>
      <c r="P960" s="41" t="s">
        <v>105</v>
      </c>
      <c r="Q960" s="42"/>
      <c r="R960" s="41"/>
      <c r="S960" s="42"/>
      <c r="T960" s="41"/>
    </row>
    <row r="961" customFormat="false" ht="13.5" hidden="false" customHeight="true" outlineLevel="0" collapsed="false">
      <c r="A961" s="37" t="n">
        <v>958</v>
      </c>
      <c r="B961" s="37" t="n">
        <v>3197</v>
      </c>
      <c r="C961" s="38" t="s">
        <v>4462</v>
      </c>
      <c r="D961" s="37" t="s">
        <v>100</v>
      </c>
      <c r="E961" s="39" t="n">
        <v>27493</v>
      </c>
      <c r="F961" s="37" t="n">
        <f aca="true">IFERROR(DATEDIF(E961,TODAY(),"Y"),"")</f>
        <v>51</v>
      </c>
      <c r="G961" s="40" t="s">
        <v>4463</v>
      </c>
      <c r="H961" s="40" t="s">
        <v>4464</v>
      </c>
      <c r="I961" s="38" t="s">
        <v>4465</v>
      </c>
      <c r="J961" s="38" t="s">
        <v>15</v>
      </c>
      <c r="K961" s="38" t="s">
        <v>4466</v>
      </c>
      <c r="L961" s="38" t="s">
        <v>55</v>
      </c>
      <c r="M961" s="37" t="s">
        <v>177</v>
      </c>
      <c r="N961" s="39" t="n">
        <v>41659</v>
      </c>
      <c r="O961" s="41" t="s">
        <v>23</v>
      </c>
      <c r="P961" s="41" t="s">
        <v>105</v>
      </c>
      <c r="Q961" s="42"/>
      <c r="R961" s="41"/>
      <c r="S961" s="42"/>
      <c r="T961" s="41"/>
    </row>
    <row r="962" customFormat="false" ht="13.5" hidden="false" customHeight="true" outlineLevel="0" collapsed="false">
      <c r="A962" s="37" t="n">
        <v>959</v>
      </c>
      <c r="B962" s="37" t="n">
        <v>3199</v>
      </c>
      <c r="C962" s="38" t="s">
        <v>4467</v>
      </c>
      <c r="D962" s="37" t="s">
        <v>100</v>
      </c>
      <c r="E962" s="39" t="n">
        <v>26449</v>
      </c>
      <c r="F962" s="37" t="n">
        <f aca="true">IFERROR(DATEDIF(E962,TODAY(),"Y"),"")</f>
        <v>54</v>
      </c>
      <c r="G962" s="40" t="s">
        <v>4468</v>
      </c>
      <c r="H962" s="40" t="s">
        <v>4469</v>
      </c>
      <c r="I962" s="38" t="s">
        <v>4470</v>
      </c>
      <c r="J962" s="38" t="s">
        <v>16</v>
      </c>
      <c r="K962" s="38" t="s">
        <v>4471</v>
      </c>
      <c r="L962" s="43" t="s">
        <v>58</v>
      </c>
      <c r="M962" s="37"/>
      <c r="N962" s="39" t="n">
        <v>41680</v>
      </c>
      <c r="O962" s="41" t="s">
        <v>23</v>
      </c>
      <c r="P962" s="41" t="s">
        <v>105</v>
      </c>
      <c r="Q962" s="42"/>
      <c r="R962" s="41"/>
      <c r="S962" s="42"/>
      <c r="T962" s="41"/>
    </row>
    <row r="963" customFormat="false" ht="13.5" hidden="false" customHeight="true" outlineLevel="0" collapsed="false">
      <c r="A963" s="37" t="n">
        <v>960</v>
      </c>
      <c r="B963" s="37" t="n">
        <v>3200</v>
      </c>
      <c r="C963" s="38" t="s">
        <v>4472</v>
      </c>
      <c r="D963" s="37" t="s">
        <v>100</v>
      </c>
      <c r="E963" s="39" t="n">
        <v>31287</v>
      </c>
      <c r="F963" s="37" t="n">
        <f aca="true">IFERROR(DATEDIF(E963,TODAY(),"Y"),"")</f>
        <v>40</v>
      </c>
      <c r="G963" s="40" t="s">
        <v>4473</v>
      </c>
      <c r="H963" s="40" t="s">
        <v>4474</v>
      </c>
      <c r="I963" s="38" t="s">
        <v>4475</v>
      </c>
      <c r="J963" s="38" t="s">
        <v>15</v>
      </c>
      <c r="K963" s="38" t="s">
        <v>4476</v>
      </c>
      <c r="L963" s="38" t="s">
        <v>47</v>
      </c>
      <c r="M963" s="37" t="s">
        <v>104</v>
      </c>
      <c r="N963" s="39" t="n">
        <v>41681</v>
      </c>
      <c r="O963" s="41" t="s">
        <v>23</v>
      </c>
      <c r="P963" s="41" t="s">
        <v>105</v>
      </c>
      <c r="Q963" s="42"/>
      <c r="R963" s="41"/>
      <c r="S963" s="42"/>
      <c r="T963" s="41"/>
    </row>
    <row r="964" customFormat="false" ht="13.5" hidden="false" customHeight="true" outlineLevel="0" collapsed="false">
      <c r="A964" s="37" t="n">
        <v>961</v>
      </c>
      <c r="B964" s="37" t="n">
        <v>3202</v>
      </c>
      <c r="C964" s="38" t="s">
        <v>4477</v>
      </c>
      <c r="D964" s="37" t="s">
        <v>100</v>
      </c>
      <c r="E964" s="39" t="n">
        <v>22745</v>
      </c>
      <c r="F964" s="37" t="n">
        <f aca="true">IFERROR(DATEDIF(E964,TODAY(),"Y"),"")</f>
        <v>64</v>
      </c>
      <c r="G964" s="40" t="s">
        <v>4478</v>
      </c>
      <c r="H964" s="40" t="s">
        <v>4479</v>
      </c>
      <c r="I964" s="38"/>
      <c r="J964" s="38"/>
      <c r="K964" s="38" t="s">
        <v>4480</v>
      </c>
      <c r="L964" s="38" t="s">
        <v>50</v>
      </c>
      <c r="M964" s="37" t="s">
        <v>120</v>
      </c>
      <c r="N964" s="39" t="n">
        <v>41685</v>
      </c>
      <c r="O964" s="41" t="s">
        <v>23</v>
      </c>
      <c r="P964" s="41" t="s">
        <v>105</v>
      </c>
      <c r="Q964" s="42"/>
      <c r="R964" s="41"/>
      <c r="S964" s="42"/>
      <c r="T964" s="41"/>
    </row>
    <row r="965" customFormat="false" ht="13.5" hidden="false" customHeight="true" outlineLevel="0" collapsed="false">
      <c r="A965" s="37" t="n">
        <v>962</v>
      </c>
      <c r="B965" s="37" t="n">
        <v>3203</v>
      </c>
      <c r="C965" s="38" t="s">
        <v>4481</v>
      </c>
      <c r="D965" s="37" t="s">
        <v>100</v>
      </c>
      <c r="E965" s="39" t="n">
        <v>22681</v>
      </c>
      <c r="F965" s="37" t="n">
        <f aca="true">IFERROR(DATEDIF(E965,TODAY(),"Y"),"")</f>
        <v>64</v>
      </c>
      <c r="G965" s="40" t="s">
        <v>4482</v>
      </c>
      <c r="H965" s="40"/>
      <c r="I965" s="38" t="s">
        <v>4483</v>
      </c>
      <c r="J965" s="38" t="s">
        <v>18</v>
      </c>
      <c r="K965" s="38" t="s">
        <v>4484</v>
      </c>
      <c r="L965" s="38" t="s">
        <v>44</v>
      </c>
      <c r="M965" s="37"/>
      <c r="N965" s="39" t="n">
        <v>41686</v>
      </c>
      <c r="O965" s="41" t="s">
        <v>23</v>
      </c>
      <c r="P965" s="41" t="s">
        <v>105</v>
      </c>
      <c r="Q965" s="42"/>
      <c r="R965" s="41"/>
      <c r="S965" s="42"/>
      <c r="T965" s="41"/>
    </row>
    <row r="966" customFormat="false" ht="13.5" hidden="false" customHeight="true" outlineLevel="0" collapsed="false">
      <c r="A966" s="37" t="n">
        <v>963</v>
      </c>
      <c r="B966" s="37" t="n">
        <v>3204</v>
      </c>
      <c r="C966" s="38" t="s">
        <v>4485</v>
      </c>
      <c r="D966" s="37" t="s">
        <v>100</v>
      </c>
      <c r="E966" s="39" t="n">
        <v>30216</v>
      </c>
      <c r="F966" s="37" t="n">
        <f aca="true">IFERROR(DATEDIF(E966,TODAY(),"Y"),"")</f>
        <v>43</v>
      </c>
      <c r="G966" s="40" t="s">
        <v>4486</v>
      </c>
      <c r="H966" s="40"/>
      <c r="I966" s="38" t="s">
        <v>4487</v>
      </c>
      <c r="J966" s="38" t="s">
        <v>15</v>
      </c>
      <c r="K966" s="38" t="s">
        <v>4488</v>
      </c>
      <c r="L966" s="38" t="s">
        <v>43</v>
      </c>
      <c r="M966" s="37" t="s">
        <v>120</v>
      </c>
      <c r="N966" s="39" t="n">
        <v>41687</v>
      </c>
      <c r="O966" s="41" t="s">
        <v>23</v>
      </c>
      <c r="P966" s="41" t="s">
        <v>105</v>
      </c>
      <c r="Q966" s="42"/>
      <c r="R966" s="41"/>
      <c r="S966" s="42"/>
      <c r="T966" s="41"/>
    </row>
    <row r="967" customFormat="false" ht="13.5" hidden="false" customHeight="true" outlineLevel="0" collapsed="false">
      <c r="A967" s="37" t="n">
        <v>964</v>
      </c>
      <c r="B967" s="37" t="n">
        <v>3205</v>
      </c>
      <c r="C967" s="38" t="s">
        <v>4489</v>
      </c>
      <c r="D967" s="37" t="s">
        <v>100</v>
      </c>
      <c r="E967" s="39" t="n">
        <v>24578</v>
      </c>
      <c r="F967" s="37" t="n">
        <f aca="true">IFERROR(DATEDIF(E967,TODAY(),"Y"),"")</f>
        <v>59</v>
      </c>
      <c r="G967" s="40" t="s">
        <v>4490</v>
      </c>
      <c r="H967" s="40" t="s">
        <v>4491</v>
      </c>
      <c r="I967" s="38" t="s">
        <v>4492</v>
      </c>
      <c r="J967" s="38" t="s">
        <v>16</v>
      </c>
      <c r="K967" s="38" t="s">
        <v>4493</v>
      </c>
      <c r="L967" s="38" t="s">
        <v>55</v>
      </c>
      <c r="M967" s="37" t="s">
        <v>241</v>
      </c>
      <c r="N967" s="39" t="n">
        <v>41689</v>
      </c>
      <c r="O967" s="41" t="s">
        <v>23</v>
      </c>
      <c r="P967" s="41" t="s">
        <v>105</v>
      </c>
      <c r="Q967" s="42"/>
      <c r="R967" s="41"/>
      <c r="S967" s="42"/>
      <c r="T967" s="41"/>
    </row>
    <row r="968" customFormat="false" ht="13.5" hidden="false" customHeight="true" outlineLevel="0" collapsed="false">
      <c r="A968" s="37" t="n">
        <v>965</v>
      </c>
      <c r="B968" s="37" t="n">
        <v>3206</v>
      </c>
      <c r="C968" s="38" t="s">
        <v>4494</v>
      </c>
      <c r="D968" s="37" t="s">
        <v>100</v>
      </c>
      <c r="E968" s="39" t="n">
        <v>27363</v>
      </c>
      <c r="F968" s="37" t="n">
        <f aca="true">IFERROR(DATEDIF(E968,TODAY(),"Y"),"")</f>
        <v>51</v>
      </c>
      <c r="G968" s="40" t="s">
        <v>4495</v>
      </c>
      <c r="H968" s="40" t="s">
        <v>4496</v>
      </c>
      <c r="I968" s="38" t="s">
        <v>4497</v>
      </c>
      <c r="J968" s="38" t="s">
        <v>16</v>
      </c>
      <c r="K968" s="38" t="s">
        <v>4498</v>
      </c>
      <c r="L968" s="38" t="s">
        <v>55</v>
      </c>
      <c r="M968" s="37" t="s">
        <v>177</v>
      </c>
      <c r="N968" s="39" t="n">
        <v>41690</v>
      </c>
      <c r="O968" s="41" t="s">
        <v>23</v>
      </c>
      <c r="P968" s="41" t="s">
        <v>105</v>
      </c>
      <c r="Q968" s="42"/>
      <c r="R968" s="41"/>
      <c r="S968" s="42"/>
      <c r="T968" s="41"/>
    </row>
    <row r="969" customFormat="false" ht="13.5" hidden="false" customHeight="true" outlineLevel="0" collapsed="false">
      <c r="A969" s="37" t="n">
        <v>966</v>
      </c>
      <c r="B969" s="37" t="n">
        <v>3207</v>
      </c>
      <c r="C969" s="38" t="s">
        <v>4499</v>
      </c>
      <c r="D969" s="37" t="s">
        <v>100</v>
      </c>
      <c r="E969" s="39" t="n">
        <v>26431</v>
      </c>
      <c r="F969" s="37" t="n">
        <f aca="true">IFERROR(DATEDIF(E969,TODAY(),"Y"),"")</f>
        <v>54</v>
      </c>
      <c r="G969" s="40" t="s">
        <v>4500</v>
      </c>
      <c r="H969" s="40" t="s">
        <v>4501</v>
      </c>
      <c r="I969" s="38" t="s">
        <v>4502</v>
      </c>
      <c r="J969" s="38" t="s">
        <v>16</v>
      </c>
      <c r="K969" s="38" t="s">
        <v>4503</v>
      </c>
      <c r="L969" s="38" t="s">
        <v>43</v>
      </c>
      <c r="M969" s="37" t="s">
        <v>104</v>
      </c>
      <c r="N969" s="39" t="n">
        <v>38520</v>
      </c>
      <c r="O969" s="41" t="s">
        <v>23</v>
      </c>
      <c r="P969" s="41" t="s">
        <v>105</v>
      </c>
      <c r="Q969" s="42"/>
      <c r="R969" s="41"/>
      <c r="S969" s="42"/>
      <c r="T969" s="41"/>
    </row>
    <row r="970" customFormat="false" ht="13.5" hidden="false" customHeight="true" outlineLevel="0" collapsed="false">
      <c r="A970" s="37" t="n">
        <v>967</v>
      </c>
      <c r="B970" s="37" t="n">
        <v>3208</v>
      </c>
      <c r="C970" s="38" t="s">
        <v>4504</v>
      </c>
      <c r="D970" s="37" t="s">
        <v>100</v>
      </c>
      <c r="E970" s="39" t="n">
        <v>24568</v>
      </c>
      <c r="F970" s="37" t="n">
        <f aca="true">IFERROR(DATEDIF(E970,TODAY(),"Y"),"")</f>
        <v>59</v>
      </c>
      <c r="G970" s="40" t="s">
        <v>4505</v>
      </c>
      <c r="H970" s="40" t="s">
        <v>4506</v>
      </c>
      <c r="I970" s="38" t="s">
        <v>4507</v>
      </c>
      <c r="J970" s="38" t="s">
        <v>18</v>
      </c>
      <c r="K970" s="38" t="s">
        <v>4508</v>
      </c>
      <c r="L970" s="38" t="s">
        <v>44</v>
      </c>
      <c r="M970" s="37"/>
      <c r="N970" s="39" t="n">
        <v>41692</v>
      </c>
      <c r="O970" s="41" t="s">
        <v>23</v>
      </c>
      <c r="P970" s="41" t="s">
        <v>105</v>
      </c>
      <c r="Q970" s="42"/>
      <c r="R970" s="41"/>
      <c r="S970" s="42"/>
      <c r="T970" s="41"/>
    </row>
    <row r="971" customFormat="false" ht="13.5" hidden="false" customHeight="true" outlineLevel="0" collapsed="false">
      <c r="A971" s="37" t="n">
        <v>968</v>
      </c>
      <c r="B971" s="37" t="n">
        <v>3209</v>
      </c>
      <c r="C971" s="38" t="s">
        <v>4509</v>
      </c>
      <c r="D971" s="37" t="s">
        <v>100</v>
      </c>
      <c r="E971" s="39" t="n">
        <v>26124</v>
      </c>
      <c r="F971" s="37" t="n">
        <f aca="true">IFERROR(DATEDIF(E971,TODAY(),"Y"),"")</f>
        <v>55</v>
      </c>
      <c r="G971" s="40" t="s">
        <v>4510</v>
      </c>
      <c r="H971" s="40" t="s">
        <v>4511</v>
      </c>
      <c r="I971" s="38" t="s">
        <v>4512</v>
      </c>
      <c r="J971" s="38" t="s">
        <v>16</v>
      </c>
      <c r="K971" s="38" t="s">
        <v>4513</v>
      </c>
      <c r="L971" s="38" t="s">
        <v>47</v>
      </c>
      <c r="M971" s="37"/>
      <c r="N971" s="39" t="n">
        <v>41697</v>
      </c>
      <c r="O971" s="41" t="s">
        <v>23</v>
      </c>
      <c r="P971" s="41" t="s">
        <v>105</v>
      </c>
      <c r="Q971" s="42"/>
      <c r="R971" s="41"/>
      <c r="S971" s="42"/>
      <c r="T971" s="41"/>
    </row>
    <row r="972" customFormat="false" ht="13.5" hidden="false" customHeight="true" outlineLevel="0" collapsed="false">
      <c r="A972" s="37" t="n">
        <v>969</v>
      </c>
      <c r="B972" s="37" t="n">
        <v>3211</v>
      </c>
      <c r="C972" s="38" t="s">
        <v>4514</v>
      </c>
      <c r="D972" s="37" t="s">
        <v>100</v>
      </c>
      <c r="E972" s="39" t="n">
        <v>20403</v>
      </c>
      <c r="F972" s="37" t="n">
        <f aca="true">IFERROR(DATEDIF(E972,TODAY(),"Y"),"")</f>
        <v>70</v>
      </c>
      <c r="G972" s="40" t="s">
        <v>4515</v>
      </c>
      <c r="H972" s="40" t="s">
        <v>4516</v>
      </c>
      <c r="I972" s="38" t="s">
        <v>4517</v>
      </c>
      <c r="J972" s="38" t="s">
        <v>18</v>
      </c>
      <c r="K972" s="38" t="s">
        <v>4518</v>
      </c>
      <c r="L972" s="38" t="s">
        <v>48</v>
      </c>
      <c r="M972" s="37" t="s">
        <v>104</v>
      </c>
      <c r="N972" s="39" t="n">
        <v>41711</v>
      </c>
      <c r="O972" s="41" t="s">
        <v>23</v>
      </c>
      <c r="P972" s="41" t="s">
        <v>105</v>
      </c>
      <c r="Q972" s="42"/>
      <c r="R972" s="41"/>
      <c r="S972" s="42"/>
      <c r="T972" s="41"/>
    </row>
    <row r="973" customFormat="false" ht="13.5" hidden="false" customHeight="true" outlineLevel="0" collapsed="false">
      <c r="A973" s="37" t="n">
        <v>970</v>
      </c>
      <c r="B973" s="37" t="n">
        <v>3212</v>
      </c>
      <c r="C973" s="38" t="s">
        <v>4519</v>
      </c>
      <c r="D973" s="37" t="s">
        <v>100</v>
      </c>
      <c r="E973" s="39" t="n">
        <v>23321</v>
      </c>
      <c r="F973" s="37" t="n">
        <f aca="true">IFERROR(DATEDIF(E973,TODAY(),"Y"),"")</f>
        <v>62</v>
      </c>
      <c r="G973" s="40" t="s">
        <v>4520</v>
      </c>
      <c r="H973" s="40" t="s">
        <v>4521</v>
      </c>
      <c r="I973" s="38" t="s">
        <v>4522</v>
      </c>
      <c r="J973" s="38" t="s">
        <v>16</v>
      </c>
      <c r="K973" s="38" t="s">
        <v>4523</v>
      </c>
      <c r="L973" s="38" t="s">
        <v>53</v>
      </c>
      <c r="M973" s="37" t="s">
        <v>120</v>
      </c>
      <c r="N973" s="39" t="n">
        <v>41718</v>
      </c>
      <c r="O973" s="41" t="s">
        <v>23</v>
      </c>
      <c r="P973" s="41" t="s">
        <v>105</v>
      </c>
      <c r="Q973" s="42"/>
      <c r="R973" s="41"/>
      <c r="S973" s="42"/>
      <c r="T973" s="41"/>
    </row>
    <row r="974" customFormat="false" ht="13.5" hidden="false" customHeight="true" outlineLevel="0" collapsed="false">
      <c r="A974" s="37" t="n">
        <v>971</v>
      </c>
      <c r="B974" s="37" t="n">
        <v>3213</v>
      </c>
      <c r="C974" s="38" t="s">
        <v>4524</v>
      </c>
      <c r="D974" s="37" t="s">
        <v>100</v>
      </c>
      <c r="E974" s="39" t="n">
        <v>29111</v>
      </c>
      <c r="F974" s="37" t="n">
        <f aca="true">IFERROR(DATEDIF(E974,TODAY(),"Y"),"")</f>
        <v>46</v>
      </c>
      <c r="G974" s="40" t="s">
        <v>4525</v>
      </c>
      <c r="H974" s="40" t="s">
        <v>4526</v>
      </c>
      <c r="I974" s="38" t="s">
        <v>4527</v>
      </c>
      <c r="J974" s="38" t="s">
        <v>16</v>
      </c>
      <c r="K974" s="38" t="s">
        <v>4528</v>
      </c>
      <c r="L974" s="38" t="s">
        <v>53</v>
      </c>
      <c r="M974" s="37" t="s">
        <v>231</v>
      </c>
      <c r="N974" s="39" t="n">
        <v>41720</v>
      </c>
      <c r="O974" s="41" t="s">
        <v>23</v>
      </c>
      <c r="P974" s="41" t="s">
        <v>105</v>
      </c>
      <c r="Q974" s="42"/>
      <c r="R974" s="41"/>
      <c r="S974" s="42"/>
      <c r="T974" s="41"/>
    </row>
    <row r="975" customFormat="false" ht="13.5" hidden="false" customHeight="true" outlineLevel="0" collapsed="false">
      <c r="A975" s="37" t="n">
        <v>972</v>
      </c>
      <c r="B975" s="37" t="n">
        <v>3214</v>
      </c>
      <c r="C975" s="38" t="s">
        <v>4529</v>
      </c>
      <c r="D975" s="37" t="s">
        <v>100</v>
      </c>
      <c r="E975" s="39" t="n">
        <v>29351</v>
      </c>
      <c r="F975" s="37" t="n">
        <f aca="true">IFERROR(DATEDIF(E975,TODAY(),"Y"),"")</f>
        <v>46</v>
      </c>
      <c r="G975" s="40" t="s">
        <v>4530</v>
      </c>
      <c r="H975" s="40"/>
      <c r="I975" s="38" t="s">
        <v>4531</v>
      </c>
      <c r="J975" s="38" t="s">
        <v>16</v>
      </c>
      <c r="K975" s="38" t="s">
        <v>4532</v>
      </c>
      <c r="L975" s="38" t="s">
        <v>43</v>
      </c>
      <c r="M975" s="37" t="s">
        <v>120</v>
      </c>
      <c r="N975" s="39" t="n">
        <v>41721</v>
      </c>
      <c r="O975" s="41" t="s">
        <v>23</v>
      </c>
      <c r="P975" s="41" t="s">
        <v>105</v>
      </c>
      <c r="Q975" s="42"/>
      <c r="R975" s="41"/>
      <c r="S975" s="42"/>
      <c r="T975" s="41"/>
    </row>
    <row r="976" customFormat="false" ht="13.5" hidden="false" customHeight="true" outlineLevel="0" collapsed="false">
      <c r="A976" s="37" t="n">
        <v>973</v>
      </c>
      <c r="B976" s="37" t="n">
        <v>3215</v>
      </c>
      <c r="C976" s="38" t="s">
        <v>4533</v>
      </c>
      <c r="D976" s="37" t="s">
        <v>100</v>
      </c>
      <c r="E976" s="39" t="n">
        <v>28480</v>
      </c>
      <c r="F976" s="37" t="n">
        <f aca="true">IFERROR(DATEDIF(E976,TODAY(),"Y"),"")</f>
        <v>48</v>
      </c>
      <c r="G976" s="40" t="s">
        <v>4534</v>
      </c>
      <c r="H976" s="40"/>
      <c r="I976" s="38" t="s">
        <v>4535</v>
      </c>
      <c r="J976" s="38" t="s">
        <v>15</v>
      </c>
      <c r="K976" s="38" t="s">
        <v>4536</v>
      </c>
      <c r="L976" s="38" t="s">
        <v>53</v>
      </c>
      <c r="M976" s="37" t="s">
        <v>120</v>
      </c>
      <c r="N976" s="39" t="n">
        <v>41727</v>
      </c>
      <c r="O976" s="41" t="s">
        <v>23</v>
      </c>
      <c r="P976" s="41" t="s">
        <v>105</v>
      </c>
      <c r="Q976" s="42"/>
      <c r="R976" s="41"/>
      <c r="S976" s="42"/>
      <c r="T976" s="41"/>
    </row>
    <row r="977" customFormat="false" ht="13.5" hidden="false" customHeight="true" outlineLevel="0" collapsed="false">
      <c r="A977" s="37" t="n">
        <v>974</v>
      </c>
      <c r="B977" s="37" t="n">
        <v>3216</v>
      </c>
      <c r="C977" s="38" t="s">
        <v>4537</v>
      </c>
      <c r="D977" s="37" t="s">
        <v>100</v>
      </c>
      <c r="E977" s="39" t="n">
        <v>29919</v>
      </c>
      <c r="F977" s="37" t="n">
        <f aca="true">IFERROR(DATEDIF(E977,TODAY(),"Y"),"")</f>
        <v>44</v>
      </c>
      <c r="G977" s="40" t="s">
        <v>4538</v>
      </c>
      <c r="H977" s="40" t="s">
        <v>4539</v>
      </c>
      <c r="I977" s="38" t="s">
        <v>4540</v>
      </c>
      <c r="J977" s="38" t="s">
        <v>16</v>
      </c>
      <c r="K977" s="38" t="s">
        <v>4541</v>
      </c>
      <c r="L977" s="38" t="s">
        <v>48</v>
      </c>
      <c r="M977" s="37" t="s">
        <v>177</v>
      </c>
      <c r="N977" s="39" t="n">
        <v>41727</v>
      </c>
      <c r="O977" s="41" t="s">
        <v>23</v>
      </c>
      <c r="P977" s="41" t="s">
        <v>105</v>
      </c>
      <c r="Q977" s="42"/>
      <c r="R977" s="41"/>
      <c r="S977" s="42"/>
      <c r="T977" s="41"/>
    </row>
    <row r="978" customFormat="false" ht="13.5" hidden="false" customHeight="true" outlineLevel="0" collapsed="false">
      <c r="A978" s="37" t="n">
        <v>975</v>
      </c>
      <c r="B978" s="37" t="n">
        <v>3217</v>
      </c>
      <c r="C978" s="38" t="s">
        <v>4542</v>
      </c>
      <c r="D978" s="37" t="s">
        <v>100</v>
      </c>
      <c r="E978" s="39" t="n">
        <v>26740</v>
      </c>
      <c r="F978" s="37" t="n">
        <f aca="true">IFERROR(DATEDIF(E978,TODAY(),"Y"),"")</f>
        <v>53</v>
      </c>
      <c r="G978" s="40" t="s">
        <v>159</v>
      </c>
      <c r="H978" s="40" t="s">
        <v>4543</v>
      </c>
      <c r="I978" s="38" t="s">
        <v>4544</v>
      </c>
      <c r="J978" s="38" t="s">
        <v>15</v>
      </c>
      <c r="K978" s="38" t="s">
        <v>4545</v>
      </c>
      <c r="L978" s="38" t="s">
        <v>55</v>
      </c>
      <c r="M978" s="37" t="s">
        <v>120</v>
      </c>
      <c r="N978" s="39" t="n">
        <v>41728</v>
      </c>
      <c r="O978" s="41" t="s">
        <v>23</v>
      </c>
      <c r="P978" s="41" t="s">
        <v>105</v>
      </c>
      <c r="Q978" s="42"/>
      <c r="R978" s="41"/>
      <c r="S978" s="42"/>
      <c r="T978" s="41"/>
    </row>
    <row r="979" customFormat="false" ht="13.5" hidden="false" customHeight="true" outlineLevel="0" collapsed="false">
      <c r="A979" s="37" t="n">
        <v>976</v>
      </c>
      <c r="B979" s="37" t="n">
        <v>3218</v>
      </c>
      <c r="C979" s="38" t="s">
        <v>4546</v>
      </c>
      <c r="D979" s="37" t="s">
        <v>100</v>
      </c>
      <c r="E979" s="39" t="n">
        <v>30606</v>
      </c>
      <c r="F979" s="37" t="n">
        <f aca="true">IFERROR(DATEDIF(E979,TODAY(),"Y"),"")</f>
        <v>42</v>
      </c>
      <c r="G979" s="40" t="s">
        <v>4547</v>
      </c>
      <c r="H979" s="40" t="s">
        <v>1794</v>
      </c>
      <c r="I979" s="38" t="s">
        <v>4548</v>
      </c>
      <c r="J979" s="38" t="s">
        <v>18</v>
      </c>
      <c r="K979" s="38" t="s">
        <v>4549</v>
      </c>
      <c r="L979" s="38" t="s">
        <v>46</v>
      </c>
      <c r="M979" s="37" t="s">
        <v>177</v>
      </c>
      <c r="N979" s="39" t="n">
        <v>41734</v>
      </c>
      <c r="O979" s="41" t="s">
        <v>23</v>
      </c>
      <c r="P979" s="41" t="s">
        <v>105</v>
      </c>
      <c r="Q979" s="42"/>
      <c r="R979" s="41"/>
      <c r="S979" s="42"/>
      <c r="T979" s="41"/>
    </row>
    <row r="980" customFormat="false" ht="13.5" hidden="false" customHeight="true" outlineLevel="0" collapsed="false">
      <c r="A980" s="37" t="n">
        <v>977</v>
      </c>
      <c r="B980" s="37" t="n">
        <v>3219</v>
      </c>
      <c r="C980" s="38" t="s">
        <v>4550</v>
      </c>
      <c r="D980" s="37" t="s">
        <v>100</v>
      </c>
      <c r="E980" s="39" t="n">
        <v>22039</v>
      </c>
      <c r="F980" s="37" t="n">
        <f aca="true">IFERROR(DATEDIF(E980,TODAY(),"Y"),"")</f>
        <v>66</v>
      </c>
      <c r="G980" s="40" t="s">
        <v>4551</v>
      </c>
      <c r="H980" s="40" t="s">
        <v>4552</v>
      </c>
      <c r="I980" s="38" t="s">
        <v>4553</v>
      </c>
      <c r="J980" s="38" t="s">
        <v>15</v>
      </c>
      <c r="K980" s="38" t="s">
        <v>4554</v>
      </c>
      <c r="L980" s="38" t="s">
        <v>48</v>
      </c>
      <c r="M980" s="37" t="s">
        <v>120</v>
      </c>
      <c r="N980" s="39" t="n">
        <v>41735</v>
      </c>
      <c r="O980" s="41" t="s">
        <v>23</v>
      </c>
      <c r="P980" s="41" t="s">
        <v>105</v>
      </c>
      <c r="Q980" s="42"/>
      <c r="R980" s="41"/>
      <c r="S980" s="42"/>
      <c r="T980" s="41"/>
    </row>
    <row r="981" customFormat="false" ht="13.5" hidden="false" customHeight="true" outlineLevel="0" collapsed="false">
      <c r="A981" s="37" t="n">
        <v>978</v>
      </c>
      <c r="B981" s="37" t="n">
        <v>3220</v>
      </c>
      <c r="C981" s="38" t="s">
        <v>4555</v>
      </c>
      <c r="D981" s="37" t="s">
        <v>100</v>
      </c>
      <c r="E981" s="39" t="n">
        <v>27905</v>
      </c>
      <c r="F981" s="37" t="n">
        <f aca="true">IFERROR(DATEDIF(E981,TODAY(),"Y"),"")</f>
        <v>50</v>
      </c>
      <c r="G981" s="40" t="s">
        <v>4556</v>
      </c>
      <c r="H981" s="40" t="s">
        <v>4557</v>
      </c>
      <c r="I981" s="38" t="s">
        <v>4558</v>
      </c>
      <c r="J981" s="38" t="s">
        <v>15</v>
      </c>
      <c r="K981" s="38" t="s">
        <v>4559</v>
      </c>
      <c r="L981" s="38" t="s">
        <v>50</v>
      </c>
      <c r="M981" s="37" t="s">
        <v>120</v>
      </c>
      <c r="N981" s="39" t="n">
        <v>41738</v>
      </c>
      <c r="O981" s="41" t="s">
        <v>23</v>
      </c>
      <c r="P981" s="41" t="s">
        <v>105</v>
      </c>
      <c r="Q981" s="42"/>
      <c r="R981" s="41"/>
      <c r="S981" s="42"/>
      <c r="T981" s="41"/>
    </row>
    <row r="982" customFormat="false" ht="13.5" hidden="false" customHeight="true" outlineLevel="0" collapsed="false">
      <c r="A982" s="37" t="n">
        <v>979</v>
      </c>
      <c r="B982" s="37" t="n">
        <v>3221</v>
      </c>
      <c r="C982" s="38" t="s">
        <v>4560</v>
      </c>
      <c r="D982" s="37" t="s">
        <v>100</v>
      </c>
      <c r="E982" s="39" t="n">
        <v>26803</v>
      </c>
      <c r="F982" s="37" t="n">
        <f aca="true">IFERROR(DATEDIF(E982,TODAY(),"Y"),"")</f>
        <v>53</v>
      </c>
      <c r="G982" s="40" t="s">
        <v>4561</v>
      </c>
      <c r="H982" s="40" t="s">
        <v>4562</v>
      </c>
      <c r="I982" s="38" t="s">
        <v>4563</v>
      </c>
      <c r="J982" s="38" t="s">
        <v>16</v>
      </c>
      <c r="K982" s="38" t="s">
        <v>4564</v>
      </c>
      <c r="L982" s="38" t="s">
        <v>51</v>
      </c>
      <c r="M982" s="37" t="s">
        <v>104</v>
      </c>
      <c r="N982" s="39" t="n">
        <v>41748</v>
      </c>
      <c r="O982" s="41" t="s">
        <v>23</v>
      </c>
      <c r="P982" s="41" t="s">
        <v>105</v>
      </c>
      <c r="Q982" s="42"/>
      <c r="R982" s="41"/>
      <c r="S982" s="42"/>
      <c r="T982" s="41"/>
    </row>
    <row r="983" customFormat="false" ht="13.5" hidden="false" customHeight="true" outlineLevel="0" collapsed="false">
      <c r="A983" s="37" t="n">
        <v>980</v>
      </c>
      <c r="B983" s="37" t="n">
        <v>3222</v>
      </c>
      <c r="C983" s="38" t="s">
        <v>4565</v>
      </c>
      <c r="D983" s="37" t="s">
        <v>100</v>
      </c>
      <c r="E983" s="39" t="n">
        <v>27503</v>
      </c>
      <c r="F983" s="37" t="n">
        <f aca="true">IFERROR(DATEDIF(E983,TODAY(),"Y"),"")</f>
        <v>51</v>
      </c>
      <c r="G983" s="40" t="s">
        <v>4566</v>
      </c>
      <c r="H983" s="40" t="s">
        <v>4567</v>
      </c>
      <c r="I983" s="38" t="s">
        <v>4568</v>
      </c>
      <c r="J983" s="38" t="s">
        <v>15</v>
      </c>
      <c r="K983" s="38" t="s">
        <v>4569</v>
      </c>
      <c r="L983" s="38" t="s">
        <v>49</v>
      </c>
      <c r="M983" s="37"/>
      <c r="N983" s="39" t="n">
        <v>41755</v>
      </c>
      <c r="O983" s="41" t="s">
        <v>23</v>
      </c>
      <c r="P983" s="41" t="s">
        <v>105</v>
      </c>
      <c r="Q983" s="42"/>
      <c r="R983" s="41"/>
      <c r="S983" s="42"/>
      <c r="T983" s="41"/>
    </row>
    <row r="984" customFormat="false" ht="13.5" hidden="false" customHeight="true" outlineLevel="0" collapsed="false">
      <c r="A984" s="37" t="n">
        <v>981</v>
      </c>
      <c r="B984" s="37" t="n">
        <v>3223</v>
      </c>
      <c r="C984" s="38" t="s">
        <v>4570</v>
      </c>
      <c r="D984" s="37" t="s">
        <v>100</v>
      </c>
      <c r="E984" s="39" t="n">
        <v>29371</v>
      </c>
      <c r="F984" s="37" t="n">
        <f aca="true">IFERROR(DATEDIF(E984,TODAY(),"Y"),"")</f>
        <v>46</v>
      </c>
      <c r="G984" s="40" t="s">
        <v>4571</v>
      </c>
      <c r="H984" s="40" t="s">
        <v>4572</v>
      </c>
      <c r="I984" s="38" t="s">
        <v>4573</v>
      </c>
      <c r="J984" s="38" t="s">
        <v>16</v>
      </c>
      <c r="K984" s="38" t="s">
        <v>4574</v>
      </c>
      <c r="L984" s="38" t="s">
        <v>48</v>
      </c>
      <c r="M984" s="37" t="s">
        <v>104</v>
      </c>
      <c r="N984" s="39" t="n">
        <v>41755</v>
      </c>
      <c r="O984" s="41" t="s">
        <v>23</v>
      </c>
      <c r="P984" s="41" t="s">
        <v>105</v>
      </c>
      <c r="Q984" s="42"/>
      <c r="R984" s="41"/>
      <c r="S984" s="42"/>
      <c r="T984" s="41"/>
    </row>
    <row r="985" customFormat="false" ht="13.5" hidden="false" customHeight="true" outlineLevel="0" collapsed="false">
      <c r="A985" s="37" t="n">
        <v>982</v>
      </c>
      <c r="B985" s="37" t="n">
        <v>3224</v>
      </c>
      <c r="C985" s="38" t="s">
        <v>4575</v>
      </c>
      <c r="D985" s="37" t="s">
        <v>100</v>
      </c>
      <c r="E985" s="39" t="n">
        <v>24211</v>
      </c>
      <c r="F985" s="37" t="n">
        <f aca="true">IFERROR(DATEDIF(E985,TODAY(),"Y"),"")</f>
        <v>60</v>
      </c>
      <c r="G985" s="40" t="s">
        <v>4576</v>
      </c>
      <c r="H985" s="40"/>
      <c r="I985" s="38" t="s">
        <v>4577</v>
      </c>
      <c r="J985" s="38" t="s">
        <v>15</v>
      </c>
      <c r="K985" s="38" t="s">
        <v>4578</v>
      </c>
      <c r="L985" s="38" t="s">
        <v>53</v>
      </c>
      <c r="M985" s="37" t="s">
        <v>104</v>
      </c>
      <c r="N985" s="39" t="n">
        <v>41759</v>
      </c>
      <c r="O985" s="41" t="s">
        <v>23</v>
      </c>
      <c r="P985" s="41" t="s">
        <v>105</v>
      </c>
      <c r="Q985" s="42"/>
      <c r="R985" s="41"/>
      <c r="S985" s="42"/>
      <c r="T985" s="41"/>
    </row>
    <row r="986" customFormat="false" ht="13.5" hidden="false" customHeight="true" outlineLevel="0" collapsed="false">
      <c r="A986" s="37" t="n">
        <v>983</v>
      </c>
      <c r="B986" s="37" t="n">
        <v>3225</v>
      </c>
      <c r="C986" s="38" t="s">
        <v>4579</v>
      </c>
      <c r="D986" s="37" t="s">
        <v>100</v>
      </c>
      <c r="E986" s="39" t="n">
        <v>27798</v>
      </c>
      <c r="F986" s="37" t="n">
        <f aca="true">IFERROR(DATEDIF(E986,TODAY(),"Y"),"")</f>
        <v>50</v>
      </c>
      <c r="G986" s="40" t="s">
        <v>4580</v>
      </c>
      <c r="H986" s="40"/>
      <c r="I986" s="38"/>
      <c r="J986" s="38" t="s">
        <v>18</v>
      </c>
      <c r="K986" s="38" t="s">
        <v>4581</v>
      </c>
      <c r="L986" s="38" t="s">
        <v>44</v>
      </c>
      <c r="M986" s="37"/>
      <c r="N986" s="39" t="n">
        <v>41764</v>
      </c>
      <c r="O986" s="41" t="s">
        <v>23</v>
      </c>
      <c r="P986" s="41" t="s">
        <v>105</v>
      </c>
      <c r="Q986" s="42"/>
      <c r="R986" s="41"/>
      <c r="S986" s="42"/>
      <c r="T986" s="41"/>
    </row>
    <row r="987" customFormat="false" ht="13.5" hidden="false" customHeight="true" outlineLevel="0" collapsed="false">
      <c r="A987" s="37" t="n">
        <v>984</v>
      </c>
      <c r="B987" s="37" t="n">
        <v>3226</v>
      </c>
      <c r="C987" s="38" t="s">
        <v>4582</v>
      </c>
      <c r="D987" s="37" t="s">
        <v>100</v>
      </c>
      <c r="E987" s="39" t="n">
        <v>24123</v>
      </c>
      <c r="F987" s="37" t="n">
        <f aca="true">IFERROR(DATEDIF(E987,TODAY(),"Y"),"")</f>
        <v>60</v>
      </c>
      <c r="G987" s="40" t="s">
        <v>4583</v>
      </c>
      <c r="H987" s="40" t="s">
        <v>4584</v>
      </c>
      <c r="I987" s="38" t="s">
        <v>4585</v>
      </c>
      <c r="J987" s="38" t="s">
        <v>15</v>
      </c>
      <c r="K987" s="38" t="s">
        <v>4586</v>
      </c>
      <c r="L987" s="38" t="s">
        <v>55</v>
      </c>
      <c r="M987" s="37" t="s">
        <v>104</v>
      </c>
      <c r="N987" s="39" t="n">
        <v>41774</v>
      </c>
      <c r="O987" s="41" t="s">
        <v>23</v>
      </c>
      <c r="P987" s="41" t="s">
        <v>105</v>
      </c>
      <c r="Q987" s="42"/>
      <c r="R987" s="41"/>
      <c r="S987" s="42"/>
      <c r="T987" s="41"/>
    </row>
    <row r="988" customFormat="false" ht="13.5" hidden="false" customHeight="true" outlineLevel="0" collapsed="false">
      <c r="A988" s="37" t="n">
        <v>985</v>
      </c>
      <c r="B988" s="37" t="n">
        <v>3229</v>
      </c>
      <c r="C988" s="38" t="s">
        <v>4587</v>
      </c>
      <c r="D988" s="37" t="s">
        <v>100</v>
      </c>
      <c r="E988" s="39" t="n">
        <v>23419</v>
      </c>
      <c r="F988" s="37" t="n">
        <f aca="true">IFERROR(DATEDIF(E988,TODAY(),"Y"),"")</f>
        <v>62</v>
      </c>
      <c r="G988" s="40" t="s">
        <v>4588</v>
      </c>
      <c r="H988" s="40" t="s">
        <v>4589</v>
      </c>
      <c r="I988" s="38" t="s">
        <v>4590</v>
      </c>
      <c r="J988" s="38" t="s">
        <v>15</v>
      </c>
      <c r="K988" s="38" t="s">
        <v>4591</v>
      </c>
      <c r="L988" s="38" t="s">
        <v>55</v>
      </c>
      <c r="M988" s="37" t="s">
        <v>120</v>
      </c>
      <c r="N988" s="39" t="n">
        <v>41805</v>
      </c>
      <c r="O988" s="41" t="s">
        <v>23</v>
      </c>
      <c r="P988" s="41" t="s">
        <v>105</v>
      </c>
      <c r="Q988" s="42"/>
      <c r="R988" s="41"/>
      <c r="S988" s="42"/>
      <c r="T988" s="41"/>
    </row>
    <row r="989" customFormat="false" ht="13.5" hidden="false" customHeight="true" outlineLevel="0" collapsed="false">
      <c r="A989" s="37" t="n">
        <v>986</v>
      </c>
      <c r="B989" s="37" t="n">
        <v>3230</v>
      </c>
      <c r="C989" s="38" t="s">
        <v>4592</v>
      </c>
      <c r="D989" s="37" t="s">
        <v>100</v>
      </c>
      <c r="E989" s="39" t="n">
        <v>29211</v>
      </c>
      <c r="F989" s="37" t="n">
        <f aca="true">IFERROR(DATEDIF(E989,TODAY(),"Y"),"")</f>
        <v>46</v>
      </c>
      <c r="G989" s="40" t="s">
        <v>4593</v>
      </c>
      <c r="H989" s="40" t="s">
        <v>4594</v>
      </c>
      <c r="I989" s="38" t="s">
        <v>4595</v>
      </c>
      <c r="J989" s="38" t="s">
        <v>15</v>
      </c>
      <c r="K989" s="38" t="s">
        <v>4596</v>
      </c>
      <c r="L989" s="38" t="s">
        <v>55</v>
      </c>
      <c r="M989" s="37" t="s">
        <v>104</v>
      </c>
      <c r="N989" s="39" t="n">
        <v>41805</v>
      </c>
      <c r="O989" s="41" t="s">
        <v>23</v>
      </c>
      <c r="P989" s="41" t="s">
        <v>105</v>
      </c>
      <c r="Q989" s="42"/>
      <c r="R989" s="41"/>
      <c r="S989" s="42"/>
      <c r="T989" s="41"/>
    </row>
    <row r="990" customFormat="false" ht="13.5" hidden="false" customHeight="true" outlineLevel="0" collapsed="false">
      <c r="A990" s="37" t="n">
        <v>987</v>
      </c>
      <c r="B990" s="37" t="n">
        <v>3231</v>
      </c>
      <c r="C990" s="38" t="s">
        <v>4597</v>
      </c>
      <c r="D990" s="37" t="s">
        <v>100</v>
      </c>
      <c r="E990" s="39" t="n">
        <v>23819</v>
      </c>
      <c r="F990" s="37" t="n">
        <f aca="true">IFERROR(DATEDIF(E990,TODAY(),"Y"),"")</f>
        <v>61</v>
      </c>
      <c r="G990" s="40" t="s">
        <v>4598</v>
      </c>
      <c r="H990" s="40" t="s">
        <v>4599</v>
      </c>
      <c r="I990" s="38" t="s">
        <v>4600</v>
      </c>
      <c r="J990" s="38" t="s">
        <v>16</v>
      </c>
      <c r="K990" s="38" t="s">
        <v>4601</v>
      </c>
      <c r="L990" s="38" t="s">
        <v>43</v>
      </c>
      <c r="M990" s="37" t="s">
        <v>177</v>
      </c>
      <c r="N990" s="39" t="n">
        <v>41806</v>
      </c>
      <c r="O990" s="41" t="s">
        <v>23</v>
      </c>
      <c r="P990" s="41" t="s">
        <v>105</v>
      </c>
      <c r="Q990" s="42"/>
      <c r="R990" s="41"/>
      <c r="S990" s="42"/>
      <c r="T990" s="41"/>
    </row>
    <row r="991" customFormat="false" ht="13.5" hidden="false" customHeight="true" outlineLevel="0" collapsed="false">
      <c r="A991" s="37" t="n">
        <v>988</v>
      </c>
      <c r="B991" s="37" t="n">
        <v>3233</v>
      </c>
      <c r="C991" s="38" t="s">
        <v>4602</v>
      </c>
      <c r="D991" s="37" t="s">
        <v>100</v>
      </c>
      <c r="E991" s="39" t="n">
        <v>28985</v>
      </c>
      <c r="F991" s="37" t="n">
        <f aca="true">IFERROR(DATEDIF(E991,TODAY(),"Y"),"")</f>
        <v>47</v>
      </c>
      <c r="G991" s="40" t="s">
        <v>4603</v>
      </c>
      <c r="H991" s="40" t="s">
        <v>4604</v>
      </c>
      <c r="I991" s="38" t="s">
        <v>4605</v>
      </c>
      <c r="J991" s="38" t="s">
        <v>16</v>
      </c>
      <c r="K991" s="38" t="s">
        <v>4606</v>
      </c>
      <c r="L991" s="38" t="s">
        <v>55</v>
      </c>
      <c r="M991" s="37" t="s">
        <v>120</v>
      </c>
      <c r="N991" s="39" t="n">
        <v>41825</v>
      </c>
      <c r="O991" s="41" t="s">
        <v>23</v>
      </c>
      <c r="P991" s="41" t="s">
        <v>105</v>
      </c>
      <c r="Q991" s="42"/>
      <c r="R991" s="41"/>
      <c r="S991" s="42"/>
      <c r="T991" s="41"/>
    </row>
    <row r="992" customFormat="false" ht="13.5" hidden="false" customHeight="true" outlineLevel="0" collapsed="false">
      <c r="A992" s="37" t="n">
        <v>989</v>
      </c>
      <c r="B992" s="37" t="n">
        <v>3234</v>
      </c>
      <c r="C992" s="38" t="s">
        <v>4607</v>
      </c>
      <c r="D992" s="37" t="s">
        <v>100</v>
      </c>
      <c r="E992" s="39" t="n">
        <v>24989</v>
      </c>
      <c r="F992" s="37" t="n">
        <f aca="true">IFERROR(DATEDIF(E992,TODAY(),"Y"),"")</f>
        <v>58</v>
      </c>
      <c r="G992" s="40" t="s">
        <v>4608</v>
      </c>
      <c r="H992" s="40" t="s">
        <v>4609</v>
      </c>
      <c r="I992" s="38" t="s">
        <v>4610</v>
      </c>
      <c r="J992" s="38" t="s">
        <v>15</v>
      </c>
      <c r="K992" s="38" t="s">
        <v>4611</v>
      </c>
      <c r="L992" s="38" t="s">
        <v>43</v>
      </c>
      <c r="M992" s="37" t="s">
        <v>104</v>
      </c>
      <c r="N992" s="39" t="n">
        <v>41828</v>
      </c>
      <c r="O992" s="41" t="s">
        <v>23</v>
      </c>
      <c r="P992" s="41" t="s">
        <v>105</v>
      </c>
      <c r="Q992" s="42"/>
      <c r="R992" s="41"/>
      <c r="S992" s="42"/>
      <c r="T992" s="41"/>
    </row>
    <row r="993" customFormat="false" ht="13.5" hidden="false" customHeight="true" outlineLevel="0" collapsed="false">
      <c r="A993" s="37" t="n">
        <v>990</v>
      </c>
      <c r="B993" s="37" t="n">
        <v>3237</v>
      </c>
      <c r="C993" s="38" t="s">
        <v>4612</v>
      </c>
      <c r="D993" s="37" t="s">
        <v>100</v>
      </c>
      <c r="E993" s="39" t="n">
        <v>26063</v>
      </c>
      <c r="F993" s="37" t="n">
        <f aca="true">IFERROR(DATEDIF(E993,TODAY(),"Y"),"")</f>
        <v>55</v>
      </c>
      <c r="G993" s="40" t="s">
        <v>4613</v>
      </c>
      <c r="H993" s="40"/>
      <c r="I993" s="38" t="s">
        <v>4614</v>
      </c>
      <c r="J993" s="38" t="s">
        <v>15</v>
      </c>
      <c r="K993" s="38" t="s">
        <v>4615</v>
      </c>
      <c r="L993" s="38" t="s">
        <v>44</v>
      </c>
      <c r="M993" s="37" t="s">
        <v>177</v>
      </c>
      <c r="N993" s="39" t="n">
        <v>41842</v>
      </c>
      <c r="O993" s="41" t="s">
        <v>23</v>
      </c>
      <c r="P993" s="41" t="s">
        <v>105</v>
      </c>
      <c r="Q993" s="42"/>
      <c r="R993" s="41"/>
      <c r="S993" s="42"/>
      <c r="T993" s="41"/>
    </row>
    <row r="994" customFormat="false" ht="13.5" hidden="false" customHeight="true" outlineLevel="0" collapsed="false">
      <c r="A994" s="37" t="n">
        <v>991</v>
      </c>
      <c r="B994" s="37" t="n">
        <v>3238</v>
      </c>
      <c r="C994" s="38" t="s">
        <v>4616</v>
      </c>
      <c r="D994" s="37" t="s">
        <v>100</v>
      </c>
      <c r="E994" s="39" t="n">
        <v>21702</v>
      </c>
      <c r="F994" s="37" t="n">
        <f aca="true">IFERROR(DATEDIF(E994,TODAY(),"Y"),"")</f>
        <v>67</v>
      </c>
      <c r="G994" s="40" t="s">
        <v>4617</v>
      </c>
      <c r="H994" s="40"/>
      <c r="I994" s="38" t="s">
        <v>4618</v>
      </c>
      <c r="J994" s="38" t="s">
        <v>15</v>
      </c>
      <c r="K994" s="38" t="s">
        <v>4619</v>
      </c>
      <c r="L994" s="38" t="s">
        <v>47</v>
      </c>
      <c r="M994" s="37" t="s">
        <v>177</v>
      </c>
      <c r="N994" s="39" t="n">
        <v>41872</v>
      </c>
      <c r="O994" s="41" t="s">
        <v>23</v>
      </c>
      <c r="P994" s="41" t="s">
        <v>105</v>
      </c>
      <c r="Q994" s="42"/>
      <c r="R994" s="41"/>
      <c r="S994" s="42"/>
      <c r="T994" s="41"/>
    </row>
    <row r="995" customFormat="false" ht="13.5" hidden="false" customHeight="true" outlineLevel="0" collapsed="false">
      <c r="A995" s="37" t="n">
        <v>992</v>
      </c>
      <c r="B995" s="37" t="n">
        <v>3239</v>
      </c>
      <c r="C995" s="38" t="s">
        <v>4620</v>
      </c>
      <c r="D995" s="37" t="s">
        <v>100</v>
      </c>
      <c r="E995" s="39" t="n">
        <v>23796</v>
      </c>
      <c r="F995" s="37" t="n">
        <f aca="true">IFERROR(DATEDIF(E995,TODAY(),"Y"),"")</f>
        <v>61</v>
      </c>
      <c r="G995" s="40" t="s">
        <v>4621</v>
      </c>
      <c r="H995" s="40" t="s">
        <v>4622</v>
      </c>
      <c r="I995" s="38" t="s">
        <v>4623</v>
      </c>
      <c r="J995" s="38" t="s">
        <v>15</v>
      </c>
      <c r="K995" s="38" t="s">
        <v>4624</v>
      </c>
      <c r="L995" s="38" t="s">
        <v>53</v>
      </c>
      <c r="M995" s="37"/>
      <c r="N995" s="39" t="n">
        <v>41872</v>
      </c>
      <c r="O995" s="41" t="s">
        <v>23</v>
      </c>
      <c r="P995" s="41" t="s">
        <v>105</v>
      </c>
      <c r="Q995" s="42"/>
      <c r="R995" s="41"/>
      <c r="S995" s="42"/>
      <c r="T995" s="41"/>
    </row>
    <row r="996" customFormat="false" ht="13.5" hidden="false" customHeight="true" outlineLevel="0" collapsed="false">
      <c r="A996" s="37" t="n">
        <v>993</v>
      </c>
      <c r="B996" s="37" t="n">
        <v>3240</v>
      </c>
      <c r="C996" s="38" t="s">
        <v>4625</v>
      </c>
      <c r="D996" s="37" t="s">
        <v>100</v>
      </c>
      <c r="E996" s="39" t="n">
        <v>23450</v>
      </c>
      <c r="F996" s="37" t="n">
        <f aca="true">IFERROR(DATEDIF(E996,TODAY(),"Y"),"")</f>
        <v>62</v>
      </c>
      <c r="G996" s="40" t="s">
        <v>4626</v>
      </c>
      <c r="H996" s="40" t="s">
        <v>4627</v>
      </c>
      <c r="I996" s="38" t="s">
        <v>4628</v>
      </c>
      <c r="J996" s="38" t="s">
        <v>16</v>
      </c>
      <c r="K996" s="38" t="s">
        <v>4629</v>
      </c>
      <c r="L996" s="38" t="s">
        <v>50</v>
      </c>
      <c r="M996" s="37"/>
      <c r="N996" s="39" t="n">
        <v>41892</v>
      </c>
      <c r="O996" s="41" t="s">
        <v>23</v>
      </c>
      <c r="P996" s="41" t="s">
        <v>105</v>
      </c>
      <c r="Q996" s="42"/>
      <c r="R996" s="41"/>
      <c r="S996" s="42"/>
      <c r="T996" s="41"/>
    </row>
    <row r="997" customFormat="false" ht="13.5" hidden="false" customHeight="true" outlineLevel="0" collapsed="false">
      <c r="A997" s="37" t="n">
        <v>994</v>
      </c>
      <c r="B997" s="37" t="n">
        <v>3241</v>
      </c>
      <c r="C997" s="38" t="s">
        <v>4630</v>
      </c>
      <c r="D997" s="37" t="s">
        <v>100</v>
      </c>
      <c r="E997" s="39" t="n">
        <v>24587</v>
      </c>
      <c r="F997" s="37" t="n">
        <f aca="true">IFERROR(DATEDIF(E997,TODAY(),"Y"),"")</f>
        <v>59</v>
      </c>
      <c r="G997" s="40" t="s">
        <v>4631</v>
      </c>
      <c r="H997" s="40" t="s">
        <v>4632</v>
      </c>
      <c r="I997" s="38" t="s">
        <v>4633</v>
      </c>
      <c r="J997" s="38"/>
      <c r="K997" s="38" t="s">
        <v>4634</v>
      </c>
      <c r="L997" s="38" t="s">
        <v>47</v>
      </c>
      <c r="M997" s="37" t="s">
        <v>177</v>
      </c>
      <c r="N997" s="39" t="n">
        <v>41898</v>
      </c>
      <c r="O997" s="41" t="s">
        <v>23</v>
      </c>
      <c r="P997" s="41" t="s">
        <v>105</v>
      </c>
      <c r="Q997" s="42"/>
      <c r="R997" s="41"/>
      <c r="S997" s="42"/>
      <c r="T997" s="41"/>
    </row>
    <row r="998" customFormat="false" ht="13.5" hidden="false" customHeight="true" outlineLevel="0" collapsed="false">
      <c r="A998" s="37" t="n">
        <v>995</v>
      </c>
      <c r="B998" s="37" t="n">
        <v>3242</v>
      </c>
      <c r="C998" s="38" t="s">
        <v>4635</v>
      </c>
      <c r="D998" s="37" t="s">
        <v>100</v>
      </c>
      <c r="E998" s="39" t="n">
        <v>27950</v>
      </c>
      <c r="F998" s="37" t="n">
        <f aca="true">IFERROR(DATEDIF(E998,TODAY(),"Y"),"")</f>
        <v>50</v>
      </c>
      <c r="G998" s="40" t="s">
        <v>4636</v>
      </c>
      <c r="H998" s="40" t="s">
        <v>4637</v>
      </c>
      <c r="I998" s="38" t="s">
        <v>4638</v>
      </c>
      <c r="J998" s="38" t="s">
        <v>16</v>
      </c>
      <c r="K998" s="38" t="s">
        <v>4639</v>
      </c>
      <c r="L998" s="38" t="s">
        <v>54</v>
      </c>
      <c r="M998" s="37" t="s">
        <v>120</v>
      </c>
      <c r="N998" s="39" t="n">
        <v>41902</v>
      </c>
      <c r="O998" s="41" t="s">
        <v>23</v>
      </c>
      <c r="P998" s="41" t="s">
        <v>105</v>
      </c>
      <c r="Q998" s="42"/>
      <c r="R998" s="41"/>
      <c r="S998" s="42"/>
      <c r="T998" s="41"/>
    </row>
    <row r="999" customFormat="false" ht="13.5" hidden="false" customHeight="true" outlineLevel="0" collapsed="false">
      <c r="A999" s="37" t="n">
        <v>996</v>
      </c>
      <c r="B999" s="37" t="n">
        <v>3243</v>
      </c>
      <c r="C999" s="38" t="s">
        <v>4640</v>
      </c>
      <c r="D999" s="37" t="s">
        <v>100</v>
      </c>
      <c r="E999" s="39" t="n">
        <v>24988</v>
      </c>
      <c r="F999" s="37" t="n">
        <f aca="true">IFERROR(DATEDIF(E999,TODAY(),"Y"),"")</f>
        <v>58</v>
      </c>
      <c r="G999" s="40" t="s">
        <v>4641</v>
      </c>
      <c r="H999" s="40" t="s">
        <v>4642</v>
      </c>
      <c r="I999" s="38" t="s">
        <v>4643</v>
      </c>
      <c r="J999" s="38" t="s">
        <v>15</v>
      </c>
      <c r="K999" s="38" t="s">
        <v>4644</v>
      </c>
      <c r="L999" s="38" t="s">
        <v>43</v>
      </c>
      <c r="M999" s="37"/>
      <c r="N999" s="39" t="n">
        <v>41905</v>
      </c>
      <c r="O999" s="41" t="s">
        <v>23</v>
      </c>
      <c r="P999" s="41" t="s">
        <v>105</v>
      </c>
      <c r="Q999" s="42"/>
      <c r="R999" s="41"/>
      <c r="S999" s="42"/>
      <c r="T999" s="41"/>
    </row>
    <row r="1000" customFormat="false" ht="13.5" hidden="false" customHeight="true" outlineLevel="0" collapsed="false">
      <c r="A1000" s="37" t="n">
        <v>997</v>
      </c>
      <c r="B1000" s="37" t="n">
        <v>3244</v>
      </c>
      <c r="C1000" s="38" t="s">
        <v>4645</v>
      </c>
      <c r="D1000" s="37" t="s">
        <v>100</v>
      </c>
      <c r="E1000" s="39" t="n">
        <v>28265</v>
      </c>
      <c r="F1000" s="37" t="n">
        <f aca="true">IFERROR(DATEDIF(E1000,TODAY(),"Y"),"")</f>
        <v>49</v>
      </c>
      <c r="G1000" s="40" t="s">
        <v>4646</v>
      </c>
      <c r="H1000" s="40" t="s">
        <v>4647</v>
      </c>
      <c r="I1000" s="38" t="s">
        <v>4648</v>
      </c>
      <c r="J1000" s="38" t="s">
        <v>16</v>
      </c>
      <c r="K1000" s="38" t="s">
        <v>4649</v>
      </c>
      <c r="L1000" s="38" t="s">
        <v>54</v>
      </c>
      <c r="M1000" s="37" t="s">
        <v>177</v>
      </c>
      <c r="N1000" s="39" t="n">
        <v>41910</v>
      </c>
      <c r="O1000" s="41" t="s">
        <v>23</v>
      </c>
      <c r="P1000" s="41" t="s">
        <v>105</v>
      </c>
      <c r="Q1000" s="42"/>
      <c r="R1000" s="41"/>
      <c r="S1000" s="42"/>
      <c r="T1000" s="41"/>
    </row>
    <row r="1001" customFormat="false" ht="13.5" hidden="false" customHeight="true" outlineLevel="0" collapsed="false">
      <c r="A1001" s="37" t="n">
        <v>998</v>
      </c>
      <c r="B1001" s="37" t="n">
        <v>3245</v>
      </c>
      <c r="C1001" s="38" t="s">
        <v>4650</v>
      </c>
      <c r="D1001" s="37" t="s">
        <v>100</v>
      </c>
      <c r="E1001" s="39" t="n">
        <v>30055</v>
      </c>
      <c r="F1001" s="37" t="n">
        <f aca="true">IFERROR(DATEDIF(E1001,TODAY(),"Y"),"")</f>
        <v>44</v>
      </c>
      <c r="G1001" s="40" t="s">
        <v>4651</v>
      </c>
      <c r="H1001" s="40" t="s">
        <v>4652</v>
      </c>
      <c r="I1001" s="38" t="s">
        <v>4653</v>
      </c>
      <c r="J1001" s="38" t="s">
        <v>16</v>
      </c>
      <c r="K1001" s="38" t="s">
        <v>4654</v>
      </c>
      <c r="L1001" s="38" t="s">
        <v>47</v>
      </c>
      <c r="M1001" s="37" t="s">
        <v>231</v>
      </c>
      <c r="N1001" s="39" t="n">
        <v>41918</v>
      </c>
      <c r="O1001" s="41" t="s">
        <v>23</v>
      </c>
      <c r="P1001" s="41" t="s">
        <v>105</v>
      </c>
      <c r="Q1001" s="42"/>
      <c r="R1001" s="41"/>
      <c r="S1001" s="42"/>
      <c r="T1001" s="41"/>
    </row>
    <row r="1002" customFormat="false" ht="13.5" hidden="false" customHeight="true" outlineLevel="0" collapsed="false">
      <c r="A1002" s="37" t="n">
        <v>999</v>
      </c>
      <c r="B1002" s="37" t="n">
        <v>3246</v>
      </c>
      <c r="C1002" s="38" t="s">
        <v>4655</v>
      </c>
      <c r="D1002" s="37" t="s">
        <v>100</v>
      </c>
      <c r="E1002" s="39" t="n">
        <v>22061</v>
      </c>
      <c r="F1002" s="37" t="n">
        <f aca="true">IFERROR(DATEDIF(E1002,TODAY(),"Y"),"")</f>
        <v>66</v>
      </c>
      <c r="G1002" s="40" t="s">
        <v>4656</v>
      </c>
      <c r="H1002" s="40" t="s">
        <v>4657</v>
      </c>
      <c r="I1002" s="38" t="s">
        <v>4658</v>
      </c>
      <c r="J1002" s="38" t="s">
        <v>18</v>
      </c>
      <c r="K1002" s="38" t="s">
        <v>4659</v>
      </c>
      <c r="L1002" s="38" t="s">
        <v>51</v>
      </c>
      <c r="M1002" s="37" t="s">
        <v>177</v>
      </c>
      <c r="N1002" s="39" t="n">
        <v>41924</v>
      </c>
      <c r="O1002" s="41" t="s">
        <v>23</v>
      </c>
      <c r="P1002" s="41" t="s">
        <v>105</v>
      </c>
      <c r="Q1002" s="42"/>
      <c r="R1002" s="41"/>
      <c r="S1002" s="42"/>
      <c r="T1002" s="41"/>
    </row>
    <row r="1003" customFormat="false" ht="13.5" hidden="false" customHeight="true" outlineLevel="0" collapsed="false">
      <c r="A1003" s="37" t="n">
        <v>1000</v>
      </c>
      <c r="B1003" s="37" t="n">
        <v>3247</v>
      </c>
      <c r="C1003" s="38" t="s">
        <v>4660</v>
      </c>
      <c r="D1003" s="37" t="s">
        <v>100</v>
      </c>
      <c r="E1003" s="39" t="n">
        <v>31561</v>
      </c>
      <c r="F1003" s="37" t="n">
        <f aca="true">IFERROR(DATEDIF(E1003,TODAY(),"Y"),"")</f>
        <v>40</v>
      </c>
      <c r="G1003" s="40" t="s">
        <v>4661</v>
      </c>
      <c r="H1003" s="40"/>
      <c r="I1003" s="38" t="s">
        <v>4662</v>
      </c>
      <c r="J1003" s="38" t="s">
        <v>16</v>
      </c>
      <c r="K1003" s="38" t="s">
        <v>4663</v>
      </c>
      <c r="L1003" s="38" t="s">
        <v>48</v>
      </c>
      <c r="M1003" s="37" t="s">
        <v>177</v>
      </c>
      <c r="N1003" s="39" t="n">
        <v>41925</v>
      </c>
      <c r="O1003" s="41" t="s">
        <v>23</v>
      </c>
      <c r="P1003" s="41" t="s">
        <v>105</v>
      </c>
      <c r="Q1003" s="42"/>
      <c r="R1003" s="41"/>
      <c r="S1003" s="42"/>
      <c r="T1003" s="41"/>
    </row>
    <row r="1004" customFormat="false" ht="13.5" hidden="false" customHeight="true" outlineLevel="0" collapsed="false">
      <c r="A1004" s="37" t="n">
        <v>1001</v>
      </c>
      <c r="B1004" s="37" t="n">
        <v>3248</v>
      </c>
      <c r="C1004" s="38" t="s">
        <v>4664</v>
      </c>
      <c r="D1004" s="37" t="s">
        <v>100</v>
      </c>
      <c r="E1004" s="39" t="n">
        <v>22647</v>
      </c>
      <c r="F1004" s="37" t="n">
        <f aca="true">IFERROR(DATEDIF(E1004,TODAY(),"Y"),"")</f>
        <v>64</v>
      </c>
      <c r="G1004" s="40" t="s">
        <v>4665</v>
      </c>
      <c r="H1004" s="40"/>
      <c r="I1004" s="38" t="s">
        <v>4666</v>
      </c>
      <c r="J1004" s="38" t="s">
        <v>15</v>
      </c>
      <c r="K1004" s="38" t="s">
        <v>4667</v>
      </c>
      <c r="L1004" s="38" t="s">
        <v>43</v>
      </c>
      <c r="M1004" s="37" t="s">
        <v>120</v>
      </c>
      <c r="N1004" s="39" t="n">
        <v>41927</v>
      </c>
      <c r="O1004" s="41" t="s">
        <v>23</v>
      </c>
      <c r="P1004" s="41" t="s">
        <v>105</v>
      </c>
      <c r="Q1004" s="42"/>
      <c r="R1004" s="41"/>
      <c r="S1004" s="42"/>
      <c r="T1004" s="41"/>
    </row>
    <row r="1005" customFormat="false" ht="13.5" hidden="false" customHeight="true" outlineLevel="0" collapsed="false">
      <c r="A1005" s="37" t="n">
        <v>1002</v>
      </c>
      <c r="B1005" s="37" t="n">
        <v>3250</v>
      </c>
      <c r="C1005" s="38" t="s">
        <v>4668</v>
      </c>
      <c r="D1005" s="37" t="s">
        <v>100</v>
      </c>
      <c r="E1005" s="39" t="n">
        <v>24149</v>
      </c>
      <c r="F1005" s="37" t="n">
        <f aca="true">IFERROR(DATEDIF(E1005,TODAY(),"Y"),"")</f>
        <v>60</v>
      </c>
      <c r="G1005" s="40" t="s">
        <v>4669</v>
      </c>
      <c r="H1005" s="40" t="s">
        <v>4670</v>
      </c>
      <c r="I1005" s="38" t="s">
        <v>4671</v>
      </c>
      <c r="J1005" s="38" t="s">
        <v>16</v>
      </c>
      <c r="K1005" s="38" t="s">
        <v>4672</v>
      </c>
      <c r="L1005" s="38" t="s">
        <v>57</v>
      </c>
      <c r="M1005" s="37"/>
      <c r="N1005" s="39" t="n">
        <v>41931</v>
      </c>
      <c r="O1005" s="41" t="s">
        <v>23</v>
      </c>
      <c r="P1005" s="41" t="s">
        <v>105</v>
      </c>
      <c r="Q1005" s="42"/>
      <c r="R1005" s="41"/>
      <c r="S1005" s="42"/>
      <c r="T1005" s="41"/>
    </row>
    <row r="1006" customFormat="false" ht="13.5" hidden="false" customHeight="true" outlineLevel="0" collapsed="false">
      <c r="A1006" s="37" t="n">
        <v>1003</v>
      </c>
      <c r="B1006" s="37" t="n">
        <v>3252</v>
      </c>
      <c r="C1006" s="38" t="s">
        <v>4673</v>
      </c>
      <c r="D1006" s="37" t="s">
        <v>100</v>
      </c>
      <c r="E1006" s="39" t="n">
        <v>26073</v>
      </c>
      <c r="F1006" s="37" t="n">
        <f aca="true">IFERROR(DATEDIF(E1006,TODAY(),"Y"),"")</f>
        <v>55</v>
      </c>
      <c r="G1006" s="40" t="s">
        <v>4674</v>
      </c>
      <c r="H1006" s="40" t="s">
        <v>4675</v>
      </c>
      <c r="I1006" s="38" t="s">
        <v>4676</v>
      </c>
      <c r="J1006" s="38" t="s">
        <v>15</v>
      </c>
      <c r="K1006" s="38" t="s">
        <v>4677</v>
      </c>
      <c r="L1006" s="38" t="s">
        <v>54</v>
      </c>
      <c r="M1006" s="37" t="s">
        <v>231</v>
      </c>
      <c r="N1006" s="39" t="n">
        <v>41934</v>
      </c>
      <c r="O1006" s="41" t="s">
        <v>23</v>
      </c>
      <c r="P1006" s="41" t="s">
        <v>105</v>
      </c>
      <c r="Q1006" s="42"/>
      <c r="R1006" s="41"/>
      <c r="S1006" s="42"/>
      <c r="T1006" s="41"/>
    </row>
    <row r="1007" customFormat="false" ht="13.5" hidden="false" customHeight="true" outlineLevel="0" collapsed="false">
      <c r="A1007" s="37" t="n">
        <v>1004</v>
      </c>
      <c r="B1007" s="37" t="n">
        <v>3253</v>
      </c>
      <c r="C1007" s="38" t="s">
        <v>4678</v>
      </c>
      <c r="D1007" s="37" t="s">
        <v>100</v>
      </c>
      <c r="E1007" s="39" t="n">
        <v>26792</v>
      </c>
      <c r="F1007" s="37" t="n">
        <f aca="true">IFERROR(DATEDIF(E1007,TODAY(),"Y"),"")</f>
        <v>53</v>
      </c>
      <c r="G1007" s="40" t="s">
        <v>4679</v>
      </c>
      <c r="H1007" s="40" t="s">
        <v>4680</v>
      </c>
      <c r="I1007" s="38" t="s">
        <v>4681</v>
      </c>
      <c r="J1007" s="38" t="s">
        <v>15</v>
      </c>
      <c r="K1007" s="38" t="s">
        <v>4682</v>
      </c>
      <c r="L1007" s="38" t="s">
        <v>47</v>
      </c>
      <c r="M1007" s="37" t="s">
        <v>120</v>
      </c>
      <c r="N1007" s="39" t="n">
        <v>41938</v>
      </c>
      <c r="O1007" s="41" t="s">
        <v>23</v>
      </c>
      <c r="P1007" s="41" t="s">
        <v>105</v>
      </c>
      <c r="Q1007" s="42"/>
      <c r="R1007" s="41"/>
      <c r="S1007" s="42"/>
      <c r="T1007" s="41"/>
    </row>
    <row r="1008" customFormat="false" ht="13.5" hidden="false" customHeight="true" outlineLevel="0" collapsed="false">
      <c r="A1008" s="37" t="n">
        <v>1005</v>
      </c>
      <c r="B1008" s="37" t="n">
        <v>3254</v>
      </c>
      <c r="C1008" s="38" t="s">
        <v>4683</v>
      </c>
      <c r="D1008" s="37" t="s">
        <v>100</v>
      </c>
      <c r="E1008" s="39" t="n">
        <v>21654</v>
      </c>
      <c r="F1008" s="37" t="n">
        <f aca="true">IFERROR(DATEDIF(E1008,TODAY(),"Y"),"")</f>
        <v>67</v>
      </c>
      <c r="G1008" s="40" t="s">
        <v>4684</v>
      </c>
      <c r="H1008" s="40" t="s">
        <v>4685</v>
      </c>
      <c r="I1008" s="38" t="s">
        <v>4686</v>
      </c>
      <c r="J1008" s="38" t="s">
        <v>15</v>
      </c>
      <c r="K1008" s="38" t="s">
        <v>4687</v>
      </c>
      <c r="L1008" s="38" t="s">
        <v>55</v>
      </c>
      <c r="M1008" s="37" t="s">
        <v>120</v>
      </c>
      <c r="N1008" s="39" t="n">
        <v>41977</v>
      </c>
      <c r="O1008" s="41" t="s">
        <v>23</v>
      </c>
      <c r="P1008" s="41" t="s">
        <v>105</v>
      </c>
      <c r="Q1008" s="42"/>
      <c r="R1008" s="41"/>
      <c r="S1008" s="42"/>
      <c r="T1008" s="41"/>
    </row>
    <row r="1009" customFormat="false" ht="13.5" hidden="false" customHeight="true" outlineLevel="0" collapsed="false">
      <c r="A1009" s="37" t="n">
        <v>1006</v>
      </c>
      <c r="B1009" s="37" t="n">
        <v>3255</v>
      </c>
      <c r="C1009" s="38" t="s">
        <v>4688</v>
      </c>
      <c r="D1009" s="37" t="s">
        <v>100</v>
      </c>
      <c r="E1009" s="39" t="n">
        <v>26447</v>
      </c>
      <c r="F1009" s="37" t="n">
        <f aca="true">IFERROR(DATEDIF(E1009,TODAY(),"Y"),"")</f>
        <v>54</v>
      </c>
      <c r="G1009" s="40" t="s">
        <v>4689</v>
      </c>
      <c r="H1009" s="40" t="s">
        <v>4690</v>
      </c>
      <c r="I1009" s="38" t="s">
        <v>4691</v>
      </c>
      <c r="J1009" s="38" t="s">
        <v>16</v>
      </c>
      <c r="K1009" s="38" t="s">
        <v>4692</v>
      </c>
      <c r="L1009" s="38" t="s">
        <v>54</v>
      </c>
      <c r="M1009" s="37" t="s">
        <v>120</v>
      </c>
      <c r="N1009" s="39" t="n">
        <v>41977</v>
      </c>
      <c r="O1009" s="41" t="s">
        <v>23</v>
      </c>
      <c r="P1009" s="41" t="s">
        <v>105</v>
      </c>
      <c r="Q1009" s="42"/>
      <c r="R1009" s="41"/>
      <c r="S1009" s="42"/>
      <c r="T1009" s="41"/>
    </row>
    <row r="1010" customFormat="false" ht="13.5" hidden="false" customHeight="true" outlineLevel="0" collapsed="false">
      <c r="A1010" s="37" t="n">
        <v>1007</v>
      </c>
      <c r="B1010" s="37" t="n">
        <v>3256</v>
      </c>
      <c r="C1010" s="38" t="s">
        <v>4693</v>
      </c>
      <c r="D1010" s="37" t="s">
        <v>100</v>
      </c>
      <c r="E1010" s="39" t="n">
        <v>24988</v>
      </c>
      <c r="F1010" s="37" t="n">
        <f aca="true">IFERROR(DATEDIF(E1010,TODAY(),"Y"),"")</f>
        <v>58</v>
      </c>
      <c r="G1010" s="40" t="s">
        <v>4694</v>
      </c>
      <c r="H1010" s="40" t="s">
        <v>4695</v>
      </c>
      <c r="I1010" s="38" t="s">
        <v>4696</v>
      </c>
      <c r="J1010" s="38" t="s">
        <v>16</v>
      </c>
      <c r="K1010" s="38" t="s">
        <v>4697</v>
      </c>
      <c r="L1010" s="38" t="s">
        <v>49</v>
      </c>
      <c r="M1010" s="37" t="s">
        <v>745</v>
      </c>
      <c r="N1010" s="39" t="n">
        <v>41977</v>
      </c>
      <c r="O1010" s="41" t="s">
        <v>23</v>
      </c>
      <c r="P1010" s="41" t="s">
        <v>105</v>
      </c>
      <c r="Q1010" s="42"/>
      <c r="R1010" s="41"/>
      <c r="S1010" s="42"/>
      <c r="T1010" s="41"/>
    </row>
    <row r="1011" customFormat="false" ht="13.5" hidden="false" customHeight="true" outlineLevel="0" collapsed="false">
      <c r="A1011" s="37" t="n">
        <v>1008</v>
      </c>
      <c r="B1011" s="37" t="n">
        <v>3257</v>
      </c>
      <c r="C1011" s="38" t="s">
        <v>4698</v>
      </c>
      <c r="D1011" s="37" t="s">
        <v>100</v>
      </c>
      <c r="E1011" s="39" t="n">
        <v>30030</v>
      </c>
      <c r="F1011" s="37" t="n">
        <f aca="true">IFERROR(DATEDIF(E1011,TODAY(),"Y"),"")</f>
        <v>44</v>
      </c>
      <c r="G1011" s="40" t="s">
        <v>4699</v>
      </c>
      <c r="H1011" s="40"/>
      <c r="I1011" s="38" t="s">
        <v>4700</v>
      </c>
      <c r="J1011" s="38" t="s">
        <v>15</v>
      </c>
      <c r="K1011" s="38" t="s">
        <v>4701</v>
      </c>
      <c r="L1011" s="38" t="s">
        <v>48</v>
      </c>
      <c r="M1011" s="37"/>
      <c r="N1011" s="39" t="n">
        <v>41977</v>
      </c>
      <c r="O1011" s="41" t="s">
        <v>23</v>
      </c>
      <c r="P1011" s="41" t="s">
        <v>105</v>
      </c>
      <c r="Q1011" s="42"/>
      <c r="R1011" s="41"/>
      <c r="S1011" s="42"/>
      <c r="T1011" s="41"/>
    </row>
    <row r="1012" customFormat="false" ht="13.5" hidden="false" customHeight="true" outlineLevel="0" collapsed="false">
      <c r="A1012" s="37" t="n">
        <v>1009</v>
      </c>
      <c r="B1012" s="37" t="n">
        <v>3259</v>
      </c>
      <c r="C1012" s="38" t="s">
        <v>4702</v>
      </c>
      <c r="D1012" s="37" t="s">
        <v>100</v>
      </c>
      <c r="E1012" s="39" t="n">
        <v>26811</v>
      </c>
      <c r="F1012" s="37" t="n">
        <f aca="true">IFERROR(DATEDIF(E1012,TODAY(),"Y"),"")</f>
        <v>53</v>
      </c>
      <c r="G1012" s="40" t="s">
        <v>4703</v>
      </c>
      <c r="H1012" s="40"/>
      <c r="I1012" s="38" t="s">
        <v>4704</v>
      </c>
      <c r="J1012" s="38" t="s">
        <v>16</v>
      </c>
      <c r="K1012" s="38" t="s">
        <v>4705</v>
      </c>
      <c r="L1012" s="38" t="s">
        <v>51</v>
      </c>
      <c r="M1012" s="37" t="s">
        <v>120</v>
      </c>
      <c r="N1012" s="39" t="n">
        <v>41979</v>
      </c>
      <c r="O1012" s="41" t="s">
        <v>23</v>
      </c>
      <c r="P1012" s="41" t="s">
        <v>105</v>
      </c>
      <c r="Q1012" s="42"/>
      <c r="R1012" s="41"/>
      <c r="S1012" s="42"/>
      <c r="T1012" s="41"/>
    </row>
    <row r="1013" customFormat="false" ht="13.5" hidden="false" customHeight="true" outlineLevel="0" collapsed="false">
      <c r="A1013" s="37" t="n">
        <v>1010</v>
      </c>
      <c r="B1013" s="37" t="n">
        <v>3260</v>
      </c>
      <c r="C1013" s="38" t="s">
        <v>4706</v>
      </c>
      <c r="D1013" s="37" t="s">
        <v>100</v>
      </c>
      <c r="E1013" s="39" t="n">
        <v>23522</v>
      </c>
      <c r="F1013" s="37" t="n">
        <f aca="true">IFERROR(DATEDIF(E1013,TODAY(),"Y"),"")</f>
        <v>62</v>
      </c>
      <c r="G1013" s="40" t="s">
        <v>4707</v>
      </c>
      <c r="H1013" s="40" t="s">
        <v>4708</v>
      </c>
      <c r="I1013" s="38" t="s">
        <v>4709</v>
      </c>
      <c r="J1013" s="38" t="s">
        <v>15</v>
      </c>
      <c r="K1013" s="38" t="s">
        <v>4710</v>
      </c>
      <c r="L1013" s="38" t="s">
        <v>49</v>
      </c>
      <c r="M1013" s="37" t="s">
        <v>231</v>
      </c>
      <c r="N1013" s="39" t="n">
        <v>41981</v>
      </c>
      <c r="O1013" s="41" t="s">
        <v>23</v>
      </c>
      <c r="P1013" s="41" t="s">
        <v>105</v>
      </c>
      <c r="Q1013" s="42"/>
      <c r="R1013" s="41"/>
      <c r="S1013" s="42"/>
      <c r="T1013" s="41"/>
    </row>
    <row r="1014" customFormat="false" ht="13.5" hidden="false" customHeight="true" outlineLevel="0" collapsed="false">
      <c r="A1014" s="37" t="n">
        <v>1011</v>
      </c>
      <c r="B1014" s="37" t="n">
        <v>3261</v>
      </c>
      <c r="C1014" s="38" t="s">
        <v>4711</v>
      </c>
      <c r="D1014" s="37" t="s">
        <v>100</v>
      </c>
      <c r="E1014" s="39" t="n">
        <v>32763</v>
      </c>
      <c r="F1014" s="37" t="n">
        <f aca="true">IFERROR(DATEDIF(E1014,TODAY(),"Y"),"")</f>
        <v>36</v>
      </c>
      <c r="G1014" s="40" t="s">
        <v>4712</v>
      </c>
      <c r="H1014" s="40" t="s">
        <v>4713</v>
      </c>
      <c r="I1014" s="38" t="s">
        <v>4714</v>
      </c>
      <c r="J1014" s="38" t="s">
        <v>16</v>
      </c>
      <c r="K1014" s="38" t="s">
        <v>4715</v>
      </c>
      <c r="L1014" s="38" t="s">
        <v>55</v>
      </c>
      <c r="M1014" s="37" t="s">
        <v>120</v>
      </c>
      <c r="N1014" s="39" t="n">
        <v>41984</v>
      </c>
      <c r="O1014" s="41" t="s">
        <v>23</v>
      </c>
      <c r="P1014" s="41" t="s">
        <v>105</v>
      </c>
      <c r="Q1014" s="42"/>
      <c r="R1014" s="41"/>
      <c r="S1014" s="42"/>
      <c r="T1014" s="41"/>
    </row>
    <row r="1015" customFormat="false" ht="13.5" hidden="false" customHeight="true" outlineLevel="0" collapsed="false">
      <c r="A1015" s="37" t="n">
        <v>1012</v>
      </c>
      <c r="B1015" s="37" t="n">
        <v>3262</v>
      </c>
      <c r="C1015" s="38" t="s">
        <v>4716</v>
      </c>
      <c r="D1015" s="37" t="s">
        <v>100</v>
      </c>
      <c r="E1015" s="39" t="n">
        <v>31372</v>
      </c>
      <c r="F1015" s="37" t="n">
        <f aca="true">IFERROR(DATEDIF(E1015,TODAY(),"Y"),"")</f>
        <v>40</v>
      </c>
      <c r="G1015" s="40" t="s">
        <v>4717</v>
      </c>
      <c r="H1015" s="40" t="s">
        <v>4718</v>
      </c>
      <c r="I1015" s="38" t="s">
        <v>4719</v>
      </c>
      <c r="J1015" s="38" t="s">
        <v>16</v>
      </c>
      <c r="K1015" s="38" t="s">
        <v>4720</v>
      </c>
      <c r="L1015" s="38" t="s">
        <v>53</v>
      </c>
      <c r="M1015" s="37" t="s">
        <v>120</v>
      </c>
      <c r="N1015" s="39" t="n">
        <v>41986</v>
      </c>
      <c r="O1015" s="41" t="s">
        <v>23</v>
      </c>
      <c r="P1015" s="41" t="s">
        <v>105</v>
      </c>
      <c r="Q1015" s="42"/>
      <c r="R1015" s="41"/>
      <c r="S1015" s="42"/>
      <c r="T1015" s="41"/>
    </row>
    <row r="1016" customFormat="false" ht="13.5" hidden="false" customHeight="true" outlineLevel="0" collapsed="false">
      <c r="A1016" s="37" t="n">
        <v>1013</v>
      </c>
      <c r="B1016" s="37" t="n">
        <v>3266</v>
      </c>
      <c r="C1016" s="38" t="s">
        <v>4721</v>
      </c>
      <c r="D1016" s="37" t="s">
        <v>100</v>
      </c>
      <c r="E1016" s="39" t="n">
        <v>20035</v>
      </c>
      <c r="F1016" s="37" t="n">
        <f aca="true">IFERROR(DATEDIF(E1016,TODAY(),"Y"),"")</f>
        <v>71</v>
      </c>
      <c r="G1016" s="40" t="s">
        <v>4722</v>
      </c>
      <c r="H1016" s="40" t="s">
        <v>4723</v>
      </c>
      <c r="I1016" s="38" t="s">
        <v>4724</v>
      </c>
      <c r="J1016" s="38" t="s">
        <v>15</v>
      </c>
      <c r="K1016" s="38" t="s">
        <v>4725</v>
      </c>
      <c r="L1016" s="38" t="s">
        <v>53</v>
      </c>
      <c r="M1016" s="37" t="s">
        <v>104</v>
      </c>
      <c r="N1016" s="39" t="n">
        <v>42010</v>
      </c>
      <c r="O1016" s="41" t="s">
        <v>23</v>
      </c>
      <c r="P1016" s="41" t="s">
        <v>105</v>
      </c>
      <c r="Q1016" s="42"/>
      <c r="R1016" s="41"/>
      <c r="S1016" s="42"/>
      <c r="T1016" s="41"/>
    </row>
    <row r="1017" customFormat="false" ht="13.5" hidden="false" customHeight="true" outlineLevel="0" collapsed="false">
      <c r="A1017" s="37" t="n">
        <v>1014</v>
      </c>
      <c r="B1017" s="37" t="n">
        <v>3267</v>
      </c>
      <c r="C1017" s="38" t="s">
        <v>4726</v>
      </c>
      <c r="D1017" s="37" t="s">
        <v>100</v>
      </c>
      <c r="E1017" s="39" t="n">
        <v>32062</v>
      </c>
      <c r="F1017" s="37" t="n">
        <f aca="true">IFERROR(DATEDIF(E1017,TODAY(),"Y"),"")</f>
        <v>38</v>
      </c>
      <c r="G1017" s="40" t="s">
        <v>4727</v>
      </c>
      <c r="H1017" s="40" t="s">
        <v>4728</v>
      </c>
      <c r="I1017" s="38" t="s">
        <v>4729</v>
      </c>
      <c r="J1017" s="38" t="s">
        <v>25</v>
      </c>
      <c r="K1017" s="38" t="s">
        <v>4730</v>
      </c>
      <c r="L1017" s="38" t="s">
        <v>47</v>
      </c>
      <c r="M1017" s="37" t="s">
        <v>177</v>
      </c>
      <c r="N1017" s="39" t="n">
        <v>42012</v>
      </c>
      <c r="O1017" s="41" t="s">
        <v>23</v>
      </c>
      <c r="P1017" s="41" t="s">
        <v>105</v>
      </c>
      <c r="Q1017" s="42"/>
      <c r="R1017" s="41"/>
      <c r="S1017" s="42"/>
      <c r="T1017" s="41"/>
    </row>
    <row r="1018" customFormat="false" ht="13.5" hidden="false" customHeight="true" outlineLevel="0" collapsed="false">
      <c r="A1018" s="37" t="n">
        <v>1015</v>
      </c>
      <c r="B1018" s="37" t="n">
        <v>3268</v>
      </c>
      <c r="C1018" s="38" t="s">
        <v>4731</v>
      </c>
      <c r="D1018" s="37" t="s">
        <v>100</v>
      </c>
      <c r="E1018" s="39" t="n">
        <v>29372</v>
      </c>
      <c r="F1018" s="37" t="n">
        <f aca="true">IFERROR(DATEDIF(E1018,TODAY(),"Y"),"")</f>
        <v>46</v>
      </c>
      <c r="G1018" s="40" t="s">
        <v>4732</v>
      </c>
      <c r="H1018" s="40" t="s">
        <v>4733</v>
      </c>
      <c r="I1018" s="38" t="s">
        <v>4734</v>
      </c>
      <c r="J1018" s="38" t="s">
        <v>18</v>
      </c>
      <c r="K1018" s="38" t="s">
        <v>4735</v>
      </c>
      <c r="L1018" s="38" t="s">
        <v>48</v>
      </c>
      <c r="M1018" s="37" t="s">
        <v>104</v>
      </c>
      <c r="N1018" s="39" t="n">
        <v>42012</v>
      </c>
      <c r="O1018" s="41" t="s">
        <v>23</v>
      </c>
      <c r="P1018" s="41" t="s">
        <v>105</v>
      </c>
      <c r="Q1018" s="42"/>
      <c r="R1018" s="41"/>
      <c r="S1018" s="42"/>
      <c r="T1018" s="41"/>
    </row>
    <row r="1019" customFormat="false" ht="13.5" hidden="false" customHeight="true" outlineLevel="0" collapsed="false">
      <c r="A1019" s="37" t="n">
        <v>1016</v>
      </c>
      <c r="B1019" s="37" t="n">
        <v>3270</v>
      </c>
      <c r="C1019" s="38" t="s">
        <v>4736</v>
      </c>
      <c r="D1019" s="37" t="s">
        <v>100</v>
      </c>
      <c r="E1019" s="39" t="n">
        <v>30270</v>
      </c>
      <c r="F1019" s="37" t="n">
        <f aca="true">IFERROR(DATEDIF(E1019,TODAY(),"Y"),"")</f>
        <v>43</v>
      </c>
      <c r="G1019" s="40" t="s">
        <v>4737</v>
      </c>
      <c r="H1019" s="40" t="s">
        <v>4738</v>
      </c>
      <c r="I1019" s="38" t="s">
        <v>4739</v>
      </c>
      <c r="J1019" s="38" t="s">
        <v>15</v>
      </c>
      <c r="K1019" s="38" t="s">
        <v>4740</v>
      </c>
      <c r="L1019" s="38" t="s">
        <v>55</v>
      </c>
      <c r="M1019" s="37"/>
      <c r="N1019" s="39" t="n">
        <v>38520</v>
      </c>
      <c r="O1019" s="41" t="s">
        <v>23</v>
      </c>
      <c r="P1019" s="41" t="s">
        <v>105</v>
      </c>
      <c r="Q1019" s="42"/>
      <c r="R1019" s="41"/>
      <c r="S1019" s="42"/>
      <c r="T1019" s="41"/>
    </row>
    <row r="1020" customFormat="false" ht="13.5" hidden="false" customHeight="true" outlineLevel="0" collapsed="false">
      <c r="A1020" s="37" t="n">
        <v>1017</v>
      </c>
      <c r="B1020" s="37" t="n">
        <v>3272</v>
      </c>
      <c r="C1020" s="38" t="s">
        <v>4741</v>
      </c>
      <c r="D1020" s="37" t="s">
        <v>100</v>
      </c>
      <c r="E1020" s="39" t="n">
        <v>21706</v>
      </c>
      <c r="F1020" s="37" t="n">
        <f aca="true">IFERROR(DATEDIF(E1020,TODAY(),"Y"),"")</f>
        <v>67</v>
      </c>
      <c r="G1020" s="40" t="s">
        <v>4742</v>
      </c>
      <c r="H1020" s="40" t="s">
        <v>4743</v>
      </c>
      <c r="I1020" s="38" t="s">
        <v>4744</v>
      </c>
      <c r="J1020" s="38" t="s">
        <v>18</v>
      </c>
      <c r="K1020" s="38" t="s">
        <v>4745</v>
      </c>
      <c r="L1020" s="38" t="s">
        <v>48</v>
      </c>
      <c r="M1020" s="37" t="s">
        <v>120</v>
      </c>
      <c r="N1020" s="39" t="n">
        <v>29221</v>
      </c>
      <c r="O1020" s="41" t="s">
        <v>23</v>
      </c>
      <c r="P1020" s="41" t="s">
        <v>105</v>
      </c>
      <c r="Q1020" s="42"/>
      <c r="R1020" s="41"/>
      <c r="S1020" s="42"/>
      <c r="T1020" s="41"/>
    </row>
    <row r="1021" customFormat="false" ht="13.5" hidden="false" customHeight="true" outlineLevel="0" collapsed="false">
      <c r="A1021" s="37" t="n">
        <v>1018</v>
      </c>
      <c r="B1021" s="37" t="n">
        <v>3273</v>
      </c>
      <c r="C1021" s="38" t="s">
        <v>4746</v>
      </c>
      <c r="D1021" s="37" t="s">
        <v>100</v>
      </c>
      <c r="E1021" s="39" t="n">
        <v>26440</v>
      </c>
      <c r="F1021" s="37" t="n">
        <f aca="true">IFERROR(DATEDIF(E1021,TODAY(),"Y"),"")</f>
        <v>54</v>
      </c>
      <c r="G1021" s="40" t="s">
        <v>4747</v>
      </c>
      <c r="H1021" s="40"/>
      <c r="I1021" s="38" t="s">
        <v>4748</v>
      </c>
      <c r="J1021" s="38" t="s">
        <v>16</v>
      </c>
      <c r="K1021" s="38" t="s">
        <v>4749</v>
      </c>
      <c r="L1021" s="38" t="s">
        <v>51</v>
      </c>
      <c r="M1021" s="37" t="s">
        <v>104</v>
      </c>
      <c r="N1021" s="39" t="n">
        <v>42019</v>
      </c>
      <c r="O1021" s="41" t="s">
        <v>23</v>
      </c>
      <c r="P1021" s="41" t="s">
        <v>105</v>
      </c>
      <c r="Q1021" s="42"/>
      <c r="R1021" s="41"/>
      <c r="S1021" s="42"/>
      <c r="T1021" s="41"/>
    </row>
    <row r="1022" customFormat="false" ht="13.5" hidden="false" customHeight="true" outlineLevel="0" collapsed="false">
      <c r="A1022" s="37" t="n">
        <v>1019</v>
      </c>
      <c r="B1022" s="37" t="n">
        <v>3274</v>
      </c>
      <c r="C1022" s="38" t="s">
        <v>4750</v>
      </c>
      <c r="D1022" s="37" t="s">
        <v>100</v>
      </c>
      <c r="E1022" s="39" t="n">
        <v>32389</v>
      </c>
      <c r="F1022" s="37" t="n">
        <f aca="true">IFERROR(DATEDIF(E1022,TODAY(),"Y"),"")</f>
        <v>37</v>
      </c>
      <c r="G1022" s="40" t="s">
        <v>4751</v>
      </c>
      <c r="H1022" s="40"/>
      <c r="I1022" s="38" t="s">
        <v>4752</v>
      </c>
      <c r="J1022" s="38" t="s">
        <v>16</v>
      </c>
      <c r="K1022" s="38" t="s">
        <v>4753</v>
      </c>
      <c r="L1022" s="38" t="s">
        <v>55</v>
      </c>
      <c r="M1022" s="37" t="s">
        <v>120</v>
      </c>
      <c r="N1022" s="39" t="n">
        <v>42021</v>
      </c>
      <c r="O1022" s="41" t="s">
        <v>23</v>
      </c>
      <c r="P1022" s="41" t="s">
        <v>105</v>
      </c>
      <c r="Q1022" s="42"/>
      <c r="R1022" s="41"/>
      <c r="S1022" s="42"/>
      <c r="T1022" s="41"/>
    </row>
    <row r="1023" customFormat="false" ht="13.5" hidden="false" customHeight="true" outlineLevel="0" collapsed="false">
      <c r="A1023" s="37" t="n">
        <v>1020</v>
      </c>
      <c r="B1023" s="37" t="n">
        <v>3277</v>
      </c>
      <c r="C1023" s="38" t="s">
        <v>4754</v>
      </c>
      <c r="D1023" s="37" t="s">
        <v>100</v>
      </c>
      <c r="E1023" s="39" t="n">
        <v>25700</v>
      </c>
      <c r="F1023" s="37" t="n">
        <f aca="true">IFERROR(DATEDIF(E1023,TODAY(),"Y"),"")</f>
        <v>56</v>
      </c>
      <c r="G1023" s="40" t="s">
        <v>4755</v>
      </c>
      <c r="H1023" s="40" t="s">
        <v>4756</v>
      </c>
      <c r="I1023" s="38" t="s">
        <v>4757</v>
      </c>
      <c r="J1023" s="38" t="s">
        <v>15</v>
      </c>
      <c r="K1023" s="38" t="s">
        <v>4758</v>
      </c>
      <c r="L1023" s="38" t="s">
        <v>55</v>
      </c>
      <c r="M1023" s="37" t="s">
        <v>120</v>
      </c>
      <c r="N1023" s="39" t="n">
        <v>42031</v>
      </c>
      <c r="O1023" s="41" t="s">
        <v>23</v>
      </c>
      <c r="P1023" s="41" t="s">
        <v>105</v>
      </c>
      <c r="Q1023" s="42"/>
      <c r="R1023" s="41"/>
      <c r="S1023" s="42"/>
      <c r="T1023" s="41"/>
    </row>
    <row r="1024" customFormat="false" ht="13.5" hidden="false" customHeight="true" outlineLevel="0" collapsed="false">
      <c r="A1024" s="37" t="n">
        <v>1021</v>
      </c>
      <c r="B1024" s="37" t="n">
        <v>3279</v>
      </c>
      <c r="C1024" s="38" t="s">
        <v>4759</v>
      </c>
      <c r="D1024" s="37" t="s">
        <v>100</v>
      </c>
      <c r="E1024" s="39" t="n">
        <v>27051</v>
      </c>
      <c r="F1024" s="37" t="n">
        <f aca="true">IFERROR(DATEDIF(E1024,TODAY(),"Y"),"")</f>
        <v>52</v>
      </c>
      <c r="G1024" s="40" t="s">
        <v>4760</v>
      </c>
      <c r="H1024" s="40"/>
      <c r="I1024" s="38" t="s">
        <v>4761</v>
      </c>
      <c r="J1024" s="38" t="s">
        <v>15</v>
      </c>
      <c r="K1024" s="38" t="s">
        <v>4762</v>
      </c>
      <c r="L1024" s="38" t="s">
        <v>51</v>
      </c>
      <c r="M1024" s="37" t="s">
        <v>120</v>
      </c>
      <c r="N1024" s="39" t="n">
        <v>42040</v>
      </c>
      <c r="O1024" s="41" t="s">
        <v>23</v>
      </c>
      <c r="P1024" s="41" t="s">
        <v>105</v>
      </c>
      <c r="Q1024" s="42"/>
      <c r="R1024" s="41"/>
      <c r="S1024" s="42"/>
      <c r="T1024" s="41"/>
    </row>
    <row r="1025" customFormat="false" ht="13.5" hidden="false" customHeight="true" outlineLevel="0" collapsed="false">
      <c r="A1025" s="37" t="n">
        <v>1022</v>
      </c>
      <c r="B1025" s="37" t="n">
        <v>3280</v>
      </c>
      <c r="C1025" s="38" t="s">
        <v>4763</v>
      </c>
      <c r="D1025" s="37" t="s">
        <v>100</v>
      </c>
      <c r="E1025" s="39" t="n">
        <v>27144</v>
      </c>
      <c r="F1025" s="37" t="n">
        <f aca="true">IFERROR(DATEDIF(E1025,TODAY(),"Y"),"")</f>
        <v>52</v>
      </c>
      <c r="G1025" s="40" t="s">
        <v>4764</v>
      </c>
      <c r="H1025" s="40" t="s">
        <v>4765</v>
      </c>
      <c r="I1025" s="38" t="s">
        <v>4766</v>
      </c>
      <c r="J1025" s="38" t="s">
        <v>15</v>
      </c>
      <c r="K1025" s="38" t="s">
        <v>4767</v>
      </c>
      <c r="L1025" s="38" t="s">
        <v>46</v>
      </c>
      <c r="M1025" s="37" t="s">
        <v>120</v>
      </c>
      <c r="N1025" s="39" t="n">
        <v>42040</v>
      </c>
      <c r="O1025" s="41" t="s">
        <v>23</v>
      </c>
      <c r="P1025" s="41" t="s">
        <v>105</v>
      </c>
      <c r="Q1025" s="42"/>
      <c r="R1025" s="41"/>
      <c r="S1025" s="42"/>
      <c r="T1025" s="41"/>
    </row>
    <row r="1026" customFormat="false" ht="13.5" hidden="false" customHeight="true" outlineLevel="0" collapsed="false">
      <c r="A1026" s="37" t="n">
        <v>1023</v>
      </c>
      <c r="B1026" s="37" t="n">
        <v>3281</v>
      </c>
      <c r="C1026" s="38" t="s">
        <v>4768</v>
      </c>
      <c r="D1026" s="37" t="s">
        <v>100</v>
      </c>
      <c r="E1026" s="39" t="n">
        <v>24956</v>
      </c>
      <c r="F1026" s="37" t="n">
        <f aca="true">IFERROR(DATEDIF(E1026,TODAY(),"Y"),"")</f>
        <v>58</v>
      </c>
      <c r="G1026" s="40" t="s">
        <v>4769</v>
      </c>
      <c r="H1026" s="40" t="s">
        <v>4770</v>
      </c>
      <c r="I1026" s="38" t="s">
        <v>4771</v>
      </c>
      <c r="J1026" s="38" t="s">
        <v>22</v>
      </c>
      <c r="K1026" s="38" t="s">
        <v>4772</v>
      </c>
      <c r="L1026" s="38" t="s">
        <v>55</v>
      </c>
      <c r="M1026" s="37" t="s">
        <v>177</v>
      </c>
      <c r="N1026" s="39" t="n">
        <v>42047</v>
      </c>
      <c r="O1026" s="41" t="s">
        <v>23</v>
      </c>
      <c r="P1026" s="41" t="s">
        <v>105</v>
      </c>
      <c r="Q1026" s="42"/>
      <c r="R1026" s="41"/>
      <c r="S1026" s="42"/>
      <c r="T1026" s="41"/>
    </row>
    <row r="1027" customFormat="false" ht="13.5" hidden="false" customHeight="true" outlineLevel="0" collapsed="false">
      <c r="A1027" s="37" t="n">
        <v>1024</v>
      </c>
      <c r="B1027" s="37" t="n">
        <v>3283</v>
      </c>
      <c r="C1027" s="38" t="s">
        <v>4773</v>
      </c>
      <c r="D1027" s="37" t="s">
        <v>100</v>
      </c>
      <c r="E1027" s="39" t="n">
        <v>24506</v>
      </c>
      <c r="F1027" s="37" t="n">
        <f aca="true">IFERROR(DATEDIF(E1027,TODAY(),"Y"),"")</f>
        <v>59</v>
      </c>
      <c r="G1027" s="40" t="s">
        <v>4774</v>
      </c>
      <c r="H1027" s="40" t="s">
        <v>4775</v>
      </c>
      <c r="I1027" s="38" t="s">
        <v>4776</v>
      </c>
      <c r="J1027" s="38" t="s">
        <v>15</v>
      </c>
      <c r="K1027" s="38" t="s">
        <v>4777</v>
      </c>
      <c r="L1027" s="38" t="s">
        <v>46</v>
      </c>
      <c r="M1027" s="37" t="s">
        <v>104</v>
      </c>
      <c r="N1027" s="39" t="n">
        <v>42054</v>
      </c>
      <c r="O1027" s="41" t="s">
        <v>23</v>
      </c>
      <c r="P1027" s="41" t="s">
        <v>105</v>
      </c>
      <c r="Q1027" s="42"/>
      <c r="R1027" s="41"/>
      <c r="S1027" s="42"/>
      <c r="T1027" s="41"/>
    </row>
    <row r="1028" customFormat="false" ht="13.5" hidden="false" customHeight="true" outlineLevel="0" collapsed="false">
      <c r="A1028" s="37" t="n">
        <v>1025</v>
      </c>
      <c r="B1028" s="37" t="n">
        <v>3284</v>
      </c>
      <c r="C1028" s="38" t="s">
        <v>4778</v>
      </c>
      <c r="D1028" s="37" t="s">
        <v>100</v>
      </c>
      <c r="E1028" s="39" t="n">
        <v>22426</v>
      </c>
      <c r="F1028" s="37" t="n">
        <f aca="true">IFERROR(DATEDIF(E1028,TODAY(),"Y"),"")</f>
        <v>65</v>
      </c>
      <c r="G1028" s="40" t="s">
        <v>4779</v>
      </c>
      <c r="H1028" s="40" t="s">
        <v>4780</v>
      </c>
      <c r="I1028" s="38" t="s">
        <v>4781</v>
      </c>
      <c r="J1028" s="38" t="s">
        <v>16</v>
      </c>
      <c r="K1028" s="38" t="s">
        <v>4782</v>
      </c>
      <c r="L1028" s="38" t="s">
        <v>46</v>
      </c>
      <c r="M1028" s="37"/>
      <c r="N1028" s="39" t="n">
        <v>42059</v>
      </c>
      <c r="O1028" s="41" t="s">
        <v>23</v>
      </c>
      <c r="P1028" s="41" t="s">
        <v>105</v>
      </c>
      <c r="Q1028" s="42"/>
      <c r="R1028" s="41"/>
      <c r="S1028" s="42"/>
      <c r="T1028" s="41"/>
    </row>
    <row r="1029" customFormat="false" ht="13.5" hidden="false" customHeight="true" outlineLevel="0" collapsed="false">
      <c r="A1029" s="37" t="n">
        <v>1026</v>
      </c>
      <c r="B1029" s="37" t="n">
        <v>3286</v>
      </c>
      <c r="C1029" s="38" t="s">
        <v>4783</v>
      </c>
      <c r="D1029" s="37" t="s">
        <v>100</v>
      </c>
      <c r="E1029" s="39" t="n">
        <v>23827</v>
      </c>
      <c r="F1029" s="37" t="n">
        <f aca="true">IFERROR(DATEDIF(E1029,TODAY(),"Y"),"")</f>
        <v>61</v>
      </c>
      <c r="G1029" s="40" t="s">
        <v>4784</v>
      </c>
      <c r="H1029" s="40"/>
      <c r="I1029" s="38" t="s">
        <v>4785</v>
      </c>
      <c r="J1029" s="38" t="s">
        <v>16</v>
      </c>
      <c r="K1029" s="38" t="s">
        <v>4786</v>
      </c>
      <c r="L1029" s="38" t="s">
        <v>55</v>
      </c>
      <c r="M1029" s="37"/>
      <c r="N1029" s="39" t="n">
        <v>42072</v>
      </c>
      <c r="O1029" s="41" t="s">
        <v>23</v>
      </c>
      <c r="P1029" s="41" t="s">
        <v>105</v>
      </c>
      <c r="Q1029" s="42"/>
      <c r="R1029" s="41"/>
      <c r="S1029" s="42"/>
      <c r="T1029" s="41"/>
    </row>
    <row r="1030" customFormat="false" ht="13.5" hidden="false" customHeight="true" outlineLevel="0" collapsed="false">
      <c r="A1030" s="37" t="n">
        <v>1027</v>
      </c>
      <c r="B1030" s="37" t="n">
        <v>3287</v>
      </c>
      <c r="C1030" s="38" t="s">
        <v>4787</v>
      </c>
      <c r="D1030" s="37" t="s">
        <v>100</v>
      </c>
      <c r="E1030" s="39" t="n">
        <v>27680</v>
      </c>
      <c r="F1030" s="37" t="n">
        <f aca="true">IFERROR(DATEDIF(E1030,TODAY(),"Y"),"")</f>
        <v>50</v>
      </c>
      <c r="G1030" s="40" t="s">
        <v>4788</v>
      </c>
      <c r="H1030" s="40" t="s">
        <v>4789</v>
      </c>
      <c r="I1030" s="38" t="s">
        <v>4790</v>
      </c>
      <c r="J1030" s="38" t="s">
        <v>15</v>
      </c>
      <c r="K1030" s="38" t="s">
        <v>4791</v>
      </c>
      <c r="L1030" s="38" t="s">
        <v>47</v>
      </c>
      <c r="M1030" s="37" t="s">
        <v>177</v>
      </c>
      <c r="N1030" s="39" t="n">
        <v>42075</v>
      </c>
      <c r="O1030" s="41" t="s">
        <v>23</v>
      </c>
      <c r="P1030" s="41" t="s">
        <v>105</v>
      </c>
      <c r="Q1030" s="42"/>
      <c r="R1030" s="41"/>
      <c r="S1030" s="42"/>
      <c r="T1030" s="41"/>
    </row>
    <row r="1031" customFormat="false" ht="13.5" hidden="false" customHeight="true" outlineLevel="0" collapsed="false">
      <c r="A1031" s="37" t="n">
        <v>1028</v>
      </c>
      <c r="B1031" s="37" t="n">
        <v>3288</v>
      </c>
      <c r="C1031" s="38" t="s">
        <v>4792</v>
      </c>
      <c r="D1031" s="37" t="s">
        <v>100</v>
      </c>
      <c r="E1031" s="39" t="n">
        <v>29265</v>
      </c>
      <c r="F1031" s="37" t="n">
        <f aca="true">IFERROR(DATEDIF(E1031,TODAY(),"Y"),"")</f>
        <v>46</v>
      </c>
      <c r="G1031" s="40" t="s">
        <v>4793</v>
      </c>
      <c r="H1031" s="40" t="s">
        <v>4794</v>
      </c>
      <c r="I1031" s="38" t="s">
        <v>4795</v>
      </c>
      <c r="J1031" s="38" t="s">
        <v>15</v>
      </c>
      <c r="K1031" s="38" t="s">
        <v>4796</v>
      </c>
      <c r="L1031" s="38" t="s">
        <v>50</v>
      </c>
      <c r="M1031" s="37" t="s">
        <v>104</v>
      </c>
      <c r="N1031" s="39" t="n">
        <v>42081</v>
      </c>
      <c r="O1031" s="41" t="s">
        <v>23</v>
      </c>
      <c r="P1031" s="41" t="s">
        <v>105</v>
      </c>
      <c r="Q1031" s="42"/>
      <c r="R1031" s="41"/>
      <c r="S1031" s="42"/>
      <c r="T1031" s="41"/>
    </row>
    <row r="1032" customFormat="false" ht="13.5" hidden="false" customHeight="true" outlineLevel="0" collapsed="false">
      <c r="A1032" s="37" t="n">
        <v>1029</v>
      </c>
      <c r="B1032" s="37" t="n">
        <v>3290</v>
      </c>
      <c r="C1032" s="38" t="s">
        <v>4797</v>
      </c>
      <c r="D1032" s="37" t="s">
        <v>100</v>
      </c>
      <c r="E1032" s="39" t="n">
        <v>32780</v>
      </c>
      <c r="F1032" s="37" t="n">
        <f aca="true">IFERROR(DATEDIF(E1032,TODAY(),"Y"),"")</f>
        <v>36</v>
      </c>
      <c r="G1032" s="40" t="s">
        <v>4798</v>
      </c>
      <c r="H1032" s="40" t="s">
        <v>4799</v>
      </c>
      <c r="I1032" s="38" t="s">
        <v>4800</v>
      </c>
      <c r="J1032" s="38" t="s">
        <v>15</v>
      </c>
      <c r="K1032" s="38" t="s">
        <v>4801</v>
      </c>
      <c r="L1032" s="38" t="s">
        <v>47</v>
      </c>
      <c r="M1032" s="37"/>
      <c r="N1032" s="39" t="n">
        <v>42086</v>
      </c>
      <c r="O1032" s="41" t="s">
        <v>23</v>
      </c>
      <c r="P1032" s="41" t="s">
        <v>105</v>
      </c>
      <c r="Q1032" s="42"/>
      <c r="R1032" s="41"/>
      <c r="S1032" s="42"/>
      <c r="T1032" s="41"/>
    </row>
    <row r="1033" customFormat="false" ht="13.5" hidden="false" customHeight="true" outlineLevel="0" collapsed="false">
      <c r="A1033" s="37" t="n">
        <v>1030</v>
      </c>
      <c r="B1033" s="37" t="n">
        <v>3291</v>
      </c>
      <c r="C1033" s="38" t="s">
        <v>4802</v>
      </c>
      <c r="D1033" s="37" t="s">
        <v>100</v>
      </c>
      <c r="E1033" s="39" t="n">
        <v>30724</v>
      </c>
      <c r="F1033" s="37" t="n">
        <f aca="true">IFERROR(DATEDIF(E1033,TODAY(),"Y"),"")</f>
        <v>42</v>
      </c>
      <c r="G1033" s="40" t="s">
        <v>4803</v>
      </c>
      <c r="H1033" s="40" t="s">
        <v>4804</v>
      </c>
      <c r="I1033" s="38" t="s">
        <v>4805</v>
      </c>
      <c r="J1033" s="38" t="s">
        <v>16</v>
      </c>
      <c r="K1033" s="38" t="s">
        <v>4806</v>
      </c>
      <c r="L1033" s="38" t="s">
        <v>55</v>
      </c>
      <c r="M1033" s="37" t="s">
        <v>104</v>
      </c>
      <c r="N1033" s="39" t="n">
        <v>42088</v>
      </c>
      <c r="O1033" s="41" t="s">
        <v>23</v>
      </c>
      <c r="P1033" s="41" t="s">
        <v>105</v>
      </c>
      <c r="Q1033" s="42"/>
      <c r="R1033" s="41"/>
      <c r="S1033" s="42"/>
      <c r="T1033" s="41"/>
    </row>
    <row r="1034" customFormat="false" ht="13.5" hidden="false" customHeight="true" outlineLevel="0" collapsed="false">
      <c r="A1034" s="37" t="n">
        <v>1031</v>
      </c>
      <c r="B1034" s="37" t="n">
        <v>3293</v>
      </c>
      <c r="C1034" s="38" t="s">
        <v>4807</v>
      </c>
      <c r="D1034" s="37" t="s">
        <v>100</v>
      </c>
      <c r="E1034" s="39" t="n">
        <v>26815</v>
      </c>
      <c r="F1034" s="37" t="n">
        <f aca="true">IFERROR(DATEDIF(E1034,TODAY(),"Y"),"")</f>
        <v>53</v>
      </c>
      <c r="G1034" s="40" t="s">
        <v>4808</v>
      </c>
      <c r="H1034" s="40" t="s">
        <v>4809</v>
      </c>
      <c r="I1034" s="38" t="s">
        <v>4810</v>
      </c>
      <c r="J1034" s="38" t="s">
        <v>15</v>
      </c>
      <c r="K1034" s="38" t="s">
        <v>4811</v>
      </c>
      <c r="L1034" s="38" t="s">
        <v>46</v>
      </c>
      <c r="M1034" s="37" t="s">
        <v>104</v>
      </c>
      <c r="N1034" s="39" t="n">
        <v>42091</v>
      </c>
      <c r="O1034" s="41" t="s">
        <v>23</v>
      </c>
      <c r="P1034" s="41" t="s">
        <v>105</v>
      </c>
      <c r="Q1034" s="42"/>
      <c r="R1034" s="41"/>
      <c r="S1034" s="42"/>
      <c r="T1034" s="41"/>
    </row>
    <row r="1035" customFormat="false" ht="13.5" hidden="false" customHeight="true" outlineLevel="0" collapsed="false">
      <c r="A1035" s="37" t="n">
        <v>1032</v>
      </c>
      <c r="B1035" s="37" t="n">
        <v>3295</v>
      </c>
      <c r="C1035" s="38" t="s">
        <v>4812</v>
      </c>
      <c r="D1035" s="37" t="s">
        <v>100</v>
      </c>
      <c r="E1035" s="39" t="n">
        <v>26299</v>
      </c>
      <c r="F1035" s="37" t="n">
        <f aca="true">IFERROR(DATEDIF(E1035,TODAY(),"Y"),"")</f>
        <v>54</v>
      </c>
      <c r="G1035" s="40" t="s">
        <v>4813</v>
      </c>
      <c r="H1035" s="40" t="s">
        <v>4814</v>
      </c>
      <c r="I1035" s="38" t="s">
        <v>4815</v>
      </c>
      <c r="J1035" s="38" t="s">
        <v>15</v>
      </c>
      <c r="K1035" s="38" t="s">
        <v>4816</v>
      </c>
      <c r="L1035" s="38" t="s">
        <v>51</v>
      </c>
      <c r="M1035" s="37" t="s">
        <v>120</v>
      </c>
      <c r="N1035" s="39" t="n">
        <v>42103</v>
      </c>
      <c r="O1035" s="41" t="s">
        <v>23</v>
      </c>
      <c r="P1035" s="41" t="s">
        <v>105</v>
      </c>
      <c r="Q1035" s="42"/>
      <c r="R1035" s="41"/>
      <c r="S1035" s="42"/>
      <c r="T1035" s="41"/>
    </row>
    <row r="1036" customFormat="false" ht="13.5" hidden="false" customHeight="true" outlineLevel="0" collapsed="false">
      <c r="A1036" s="37" t="n">
        <v>1033</v>
      </c>
      <c r="B1036" s="37" t="n">
        <v>3298</v>
      </c>
      <c r="C1036" s="38" t="s">
        <v>4817</v>
      </c>
      <c r="D1036" s="37" t="s">
        <v>100</v>
      </c>
      <c r="E1036" s="39" t="n">
        <v>32148</v>
      </c>
      <c r="F1036" s="37" t="n">
        <f aca="true">IFERROR(DATEDIF(E1036,TODAY(),"Y"),"")</f>
        <v>38</v>
      </c>
      <c r="G1036" s="40" t="s">
        <v>4818</v>
      </c>
      <c r="H1036" s="40"/>
      <c r="I1036" s="38" t="s">
        <v>4819</v>
      </c>
      <c r="J1036" s="38" t="s">
        <v>18</v>
      </c>
      <c r="K1036" s="38" t="s">
        <v>4820</v>
      </c>
      <c r="L1036" s="38" t="s">
        <v>55</v>
      </c>
      <c r="M1036" s="37"/>
      <c r="N1036" s="39" t="n">
        <v>42106</v>
      </c>
      <c r="O1036" s="41" t="s">
        <v>23</v>
      </c>
      <c r="P1036" s="41" t="s">
        <v>105</v>
      </c>
      <c r="Q1036" s="42"/>
      <c r="R1036" s="41"/>
      <c r="S1036" s="42"/>
      <c r="T1036" s="41"/>
    </row>
    <row r="1037" customFormat="false" ht="13.5" hidden="false" customHeight="true" outlineLevel="0" collapsed="false">
      <c r="A1037" s="37" t="n">
        <v>1034</v>
      </c>
      <c r="B1037" s="37" t="n">
        <v>3299</v>
      </c>
      <c r="C1037" s="38" t="s">
        <v>4821</v>
      </c>
      <c r="D1037" s="37" t="s">
        <v>100</v>
      </c>
      <c r="E1037" s="39" t="n">
        <v>30836</v>
      </c>
      <c r="F1037" s="37" t="n">
        <f aca="true">IFERROR(DATEDIF(E1037,TODAY(),"Y"),"")</f>
        <v>42</v>
      </c>
      <c r="G1037" s="40" t="s">
        <v>4822</v>
      </c>
      <c r="H1037" s="40" t="s">
        <v>4823</v>
      </c>
      <c r="I1037" s="38" t="s">
        <v>4824</v>
      </c>
      <c r="J1037" s="38" t="s">
        <v>16</v>
      </c>
      <c r="K1037" s="38" t="s">
        <v>4825</v>
      </c>
      <c r="L1037" s="38" t="s">
        <v>50</v>
      </c>
      <c r="M1037" s="37" t="s">
        <v>120</v>
      </c>
      <c r="N1037" s="39" t="n">
        <v>42106</v>
      </c>
      <c r="O1037" s="41" t="s">
        <v>23</v>
      </c>
      <c r="P1037" s="41" t="s">
        <v>105</v>
      </c>
      <c r="Q1037" s="42"/>
      <c r="R1037" s="41"/>
      <c r="S1037" s="42"/>
      <c r="T1037" s="41"/>
    </row>
    <row r="1038" customFormat="false" ht="13.5" hidden="false" customHeight="true" outlineLevel="0" collapsed="false">
      <c r="A1038" s="37" t="n">
        <v>1035</v>
      </c>
      <c r="B1038" s="37" t="n">
        <v>3300</v>
      </c>
      <c r="C1038" s="38" t="s">
        <v>4826</v>
      </c>
      <c r="D1038" s="37" t="s">
        <v>100</v>
      </c>
      <c r="E1038" s="39" t="n">
        <v>24089</v>
      </c>
      <c r="F1038" s="37" t="n">
        <f aca="true">IFERROR(DATEDIF(E1038,TODAY(),"Y"),"")</f>
        <v>60</v>
      </c>
      <c r="G1038" s="40" t="s">
        <v>4827</v>
      </c>
      <c r="H1038" s="40" t="s">
        <v>4828</v>
      </c>
      <c r="I1038" s="38" t="s">
        <v>4829</v>
      </c>
      <c r="J1038" s="38" t="s">
        <v>18</v>
      </c>
      <c r="K1038" s="38" t="s">
        <v>4830</v>
      </c>
      <c r="L1038" s="38" t="s">
        <v>43</v>
      </c>
      <c r="M1038" s="37" t="s">
        <v>120</v>
      </c>
      <c r="N1038" s="39" t="n">
        <v>42112</v>
      </c>
      <c r="O1038" s="41" t="s">
        <v>23</v>
      </c>
      <c r="P1038" s="41" t="s">
        <v>105</v>
      </c>
      <c r="Q1038" s="42"/>
      <c r="R1038" s="41"/>
      <c r="S1038" s="42"/>
      <c r="T1038" s="41"/>
    </row>
    <row r="1039" customFormat="false" ht="13.5" hidden="false" customHeight="true" outlineLevel="0" collapsed="false">
      <c r="A1039" s="37" t="n">
        <v>1036</v>
      </c>
      <c r="B1039" s="37" t="n">
        <v>3301</v>
      </c>
      <c r="C1039" s="38" t="s">
        <v>4831</v>
      </c>
      <c r="D1039" s="37" t="s">
        <v>100</v>
      </c>
      <c r="E1039" s="39" t="n">
        <v>28329</v>
      </c>
      <c r="F1039" s="37" t="n">
        <f aca="true">IFERROR(DATEDIF(E1039,TODAY(),"Y"),"")</f>
        <v>49</v>
      </c>
      <c r="G1039" s="40" t="s">
        <v>4832</v>
      </c>
      <c r="H1039" s="40" t="s">
        <v>4833</v>
      </c>
      <c r="I1039" s="38" t="s">
        <v>4834</v>
      </c>
      <c r="J1039" s="38" t="s">
        <v>15</v>
      </c>
      <c r="K1039" s="38" t="s">
        <v>4835</v>
      </c>
      <c r="L1039" s="38" t="s">
        <v>54</v>
      </c>
      <c r="M1039" s="37"/>
      <c r="N1039" s="39" t="n">
        <v>42114</v>
      </c>
      <c r="O1039" s="41" t="s">
        <v>23</v>
      </c>
      <c r="P1039" s="41" t="s">
        <v>105</v>
      </c>
      <c r="Q1039" s="42"/>
      <c r="R1039" s="41"/>
      <c r="S1039" s="42"/>
      <c r="T1039" s="41"/>
    </row>
    <row r="1040" customFormat="false" ht="13.5" hidden="false" customHeight="true" outlineLevel="0" collapsed="false">
      <c r="A1040" s="37" t="n">
        <v>1037</v>
      </c>
      <c r="B1040" s="37" t="n">
        <v>3302</v>
      </c>
      <c r="C1040" s="38" t="s">
        <v>4836</v>
      </c>
      <c r="D1040" s="37" t="s">
        <v>100</v>
      </c>
      <c r="E1040" s="39" t="n">
        <v>28068</v>
      </c>
      <c r="F1040" s="37" t="n">
        <f aca="true">IFERROR(DATEDIF(E1040,TODAY(),"Y"),"")</f>
        <v>49</v>
      </c>
      <c r="G1040" s="40" t="s">
        <v>4837</v>
      </c>
      <c r="H1040" s="40" t="s">
        <v>4838</v>
      </c>
      <c r="I1040" s="38" t="s">
        <v>4839</v>
      </c>
      <c r="J1040" s="38" t="s">
        <v>15</v>
      </c>
      <c r="K1040" s="38" t="s">
        <v>4840</v>
      </c>
      <c r="L1040" s="38" t="s">
        <v>51</v>
      </c>
      <c r="M1040" s="37" t="s">
        <v>104</v>
      </c>
      <c r="N1040" s="39" t="n">
        <v>42134</v>
      </c>
      <c r="O1040" s="41" t="s">
        <v>23</v>
      </c>
      <c r="P1040" s="41" t="s">
        <v>105</v>
      </c>
      <c r="Q1040" s="42"/>
      <c r="R1040" s="41"/>
      <c r="S1040" s="42"/>
      <c r="T1040" s="41"/>
    </row>
    <row r="1041" customFormat="false" ht="13.5" hidden="false" customHeight="true" outlineLevel="0" collapsed="false">
      <c r="A1041" s="37" t="n">
        <v>1038</v>
      </c>
      <c r="B1041" s="37" t="n">
        <v>3303</v>
      </c>
      <c r="C1041" s="38" t="s">
        <v>4841</v>
      </c>
      <c r="D1041" s="37" t="s">
        <v>100</v>
      </c>
      <c r="E1041" s="39" t="n">
        <v>25301</v>
      </c>
      <c r="F1041" s="37" t="n">
        <f aca="true">IFERROR(DATEDIF(E1041,TODAY(),"Y"),"")</f>
        <v>57</v>
      </c>
      <c r="G1041" s="40" t="s">
        <v>4842</v>
      </c>
      <c r="H1041" s="40" t="s">
        <v>4843</v>
      </c>
      <c r="I1041" s="38" t="s">
        <v>4844</v>
      </c>
      <c r="J1041" s="38" t="s">
        <v>15</v>
      </c>
      <c r="K1041" s="38" t="s">
        <v>4845</v>
      </c>
      <c r="L1041" s="38" t="s">
        <v>51</v>
      </c>
      <c r="M1041" s="37" t="s">
        <v>120</v>
      </c>
      <c r="N1041" s="39" t="n">
        <v>42141</v>
      </c>
      <c r="O1041" s="41" t="s">
        <v>23</v>
      </c>
      <c r="P1041" s="41" t="s">
        <v>105</v>
      </c>
      <c r="Q1041" s="42"/>
      <c r="R1041" s="41"/>
      <c r="S1041" s="42"/>
      <c r="T1041" s="41"/>
    </row>
    <row r="1042" customFormat="false" ht="13.5" hidden="false" customHeight="true" outlineLevel="0" collapsed="false">
      <c r="A1042" s="37" t="n">
        <v>1039</v>
      </c>
      <c r="B1042" s="37" t="n">
        <v>3304</v>
      </c>
      <c r="C1042" s="38" t="s">
        <v>4846</v>
      </c>
      <c r="D1042" s="37" t="s">
        <v>100</v>
      </c>
      <c r="E1042" s="39" t="n">
        <v>27177</v>
      </c>
      <c r="F1042" s="37" t="n">
        <f aca="true">IFERROR(DATEDIF(E1042,TODAY(),"Y"),"")</f>
        <v>52</v>
      </c>
      <c r="G1042" s="40" t="s">
        <v>4847</v>
      </c>
      <c r="H1042" s="40" t="s">
        <v>4848</v>
      </c>
      <c r="I1042" s="38" t="s">
        <v>4849</v>
      </c>
      <c r="J1042" s="38" t="s">
        <v>16</v>
      </c>
      <c r="K1042" s="38" t="s">
        <v>4850</v>
      </c>
      <c r="L1042" s="38" t="s">
        <v>54</v>
      </c>
      <c r="M1042" s="37" t="s">
        <v>120</v>
      </c>
      <c r="N1042" s="39" t="n">
        <v>42141</v>
      </c>
      <c r="O1042" s="41" t="s">
        <v>23</v>
      </c>
      <c r="P1042" s="41" t="s">
        <v>105</v>
      </c>
      <c r="Q1042" s="42"/>
      <c r="R1042" s="41"/>
      <c r="S1042" s="42"/>
      <c r="T1042" s="41"/>
    </row>
    <row r="1043" customFormat="false" ht="13.5" hidden="false" customHeight="true" outlineLevel="0" collapsed="false">
      <c r="A1043" s="37" t="n">
        <v>1040</v>
      </c>
      <c r="B1043" s="37" t="n">
        <v>3305</v>
      </c>
      <c r="C1043" s="38" t="s">
        <v>4851</v>
      </c>
      <c r="D1043" s="37" t="s">
        <v>100</v>
      </c>
      <c r="E1043" s="39" t="n">
        <v>23309</v>
      </c>
      <c r="F1043" s="37" t="n">
        <f aca="true">IFERROR(DATEDIF(E1043,TODAY(),"Y"),"")</f>
        <v>62</v>
      </c>
      <c r="G1043" s="40" t="s">
        <v>4852</v>
      </c>
      <c r="H1043" s="40" t="s">
        <v>4853</v>
      </c>
      <c r="I1043" s="38" t="s">
        <v>4854</v>
      </c>
      <c r="J1043" s="38" t="s">
        <v>24</v>
      </c>
      <c r="K1043" s="38" t="s">
        <v>4855</v>
      </c>
      <c r="L1043" s="38" t="s">
        <v>47</v>
      </c>
      <c r="M1043" s="37" t="s">
        <v>788</v>
      </c>
      <c r="N1043" s="39" t="n">
        <v>42144</v>
      </c>
      <c r="O1043" s="41" t="s">
        <v>23</v>
      </c>
      <c r="P1043" s="41" t="s">
        <v>105</v>
      </c>
      <c r="Q1043" s="42"/>
      <c r="R1043" s="41"/>
      <c r="S1043" s="42"/>
      <c r="T1043" s="41"/>
    </row>
    <row r="1044" customFormat="false" ht="13.5" hidden="false" customHeight="true" outlineLevel="0" collapsed="false">
      <c r="A1044" s="37" t="n">
        <v>1041</v>
      </c>
      <c r="B1044" s="37" t="n">
        <v>3306</v>
      </c>
      <c r="C1044" s="38" t="s">
        <v>4856</v>
      </c>
      <c r="D1044" s="37" t="s">
        <v>100</v>
      </c>
      <c r="E1044" s="39" t="n">
        <v>28580</v>
      </c>
      <c r="F1044" s="37" t="n">
        <f aca="true">IFERROR(DATEDIF(E1044,TODAY(),"Y"),"")</f>
        <v>48</v>
      </c>
      <c r="G1044" s="40" t="s">
        <v>4857</v>
      </c>
      <c r="H1044" s="40" t="s">
        <v>4858</v>
      </c>
      <c r="I1044" s="38" t="s">
        <v>4859</v>
      </c>
      <c r="J1044" s="38" t="s">
        <v>15</v>
      </c>
      <c r="K1044" s="38" t="s">
        <v>4860</v>
      </c>
      <c r="L1044" s="38" t="s">
        <v>51</v>
      </c>
      <c r="M1044" s="37" t="s">
        <v>120</v>
      </c>
      <c r="N1044" s="39" t="n">
        <v>42145</v>
      </c>
      <c r="O1044" s="41" t="s">
        <v>23</v>
      </c>
      <c r="P1044" s="41" t="s">
        <v>105</v>
      </c>
      <c r="Q1044" s="42"/>
      <c r="R1044" s="41"/>
      <c r="S1044" s="42"/>
      <c r="T1044" s="41"/>
    </row>
    <row r="1045" customFormat="false" ht="13.5" hidden="false" customHeight="true" outlineLevel="0" collapsed="false">
      <c r="A1045" s="37" t="n">
        <v>1042</v>
      </c>
      <c r="B1045" s="37" t="n">
        <v>3307</v>
      </c>
      <c r="C1045" s="38" t="s">
        <v>4861</v>
      </c>
      <c r="D1045" s="37" t="s">
        <v>100</v>
      </c>
      <c r="E1045" s="39" t="n">
        <v>29371</v>
      </c>
      <c r="F1045" s="37" t="n">
        <f aca="true">IFERROR(DATEDIF(E1045,TODAY(),"Y"),"")</f>
        <v>46</v>
      </c>
      <c r="G1045" s="40" t="s">
        <v>4862</v>
      </c>
      <c r="H1045" s="40"/>
      <c r="I1045" s="38" t="s">
        <v>4863</v>
      </c>
      <c r="J1045" s="38"/>
      <c r="K1045" s="38" t="s">
        <v>4864</v>
      </c>
      <c r="L1045" s="38" t="s">
        <v>54</v>
      </c>
      <c r="M1045" s="37" t="s">
        <v>120</v>
      </c>
      <c r="N1045" s="39" t="n">
        <v>42145</v>
      </c>
      <c r="O1045" s="41" t="s">
        <v>23</v>
      </c>
      <c r="P1045" s="41" t="s">
        <v>105</v>
      </c>
      <c r="Q1045" s="42"/>
      <c r="R1045" s="41"/>
      <c r="S1045" s="42"/>
      <c r="T1045" s="41"/>
    </row>
    <row r="1046" customFormat="false" ht="13.5" hidden="false" customHeight="true" outlineLevel="0" collapsed="false">
      <c r="A1046" s="37" t="n">
        <v>1043</v>
      </c>
      <c r="B1046" s="37" t="n">
        <v>3309</v>
      </c>
      <c r="C1046" s="38" t="s">
        <v>4865</v>
      </c>
      <c r="D1046" s="37" t="s">
        <v>100</v>
      </c>
      <c r="E1046" s="39" t="n">
        <v>26446</v>
      </c>
      <c r="F1046" s="37" t="n">
        <f aca="true">IFERROR(DATEDIF(E1046,TODAY(),"Y"),"")</f>
        <v>54</v>
      </c>
      <c r="G1046" s="40" t="s">
        <v>4866</v>
      </c>
      <c r="H1046" s="40" t="s">
        <v>4867</v>
      </c>
      <c r="I1046" s="38" t="s">
        <v>4868</v>
      </c>
      <c r="J1046" s="38" t="s">
        <v>16</v>
      </c>
      <c r="K1046" s="38" t="s">
        <v>4869</v>
      </c>
      <c r="L1046" s="38" t="s">
        <v>55</v>
      </c>
      <c r="M1046" s="37" t="s">
        <v>120</v>
      </c>
      <c r="N1046" s="39" t="n">
        <v>42147</v>
      </c>
      <c r="O1046" s="41" t="s">
        <v>23</v>
      </c>
      <c r="P1046" s="41" t="s">
        <v>105</v>
      </c>
      <c r="Q1046" s="42"/>
      <c r="R1046" s="41"/>
      <c r="S1046" s="42"/>
      <c r="T1046" s="41"/>
    </row>
    <row r="1047" customFormat="false" ht="13.5" hidden="false" customHeight="true" outlineLevel="0" collapsed="false">
      <c r="A1047" s="37" t="n">
        <v>1044</v>
      </c>
      <c r="B1047" s="37" t="n">
        <v>3310</v>
      </c>
      <c r="C1047" s="38" t="s">
        <v>4870</v>
      </c>
      <c r="D1047" s="37" t="s">
        <v>100</v>
      </c>
      <c r="E1047" s="39" t="n">
        <v>26196</v>
      </c>
      <c r="F1047" s="37" t="n">
        <f aca="true">IFERROR(DATEDIF(E1047,TODAY(),"Y"),"")</f>
        <v>54</v>
      </c>
      <c r="G1047" s="40" t="s">
        <v>4871</v>
      </c>
      <c r="H1047" s="40" t="s">
        <v>4872</v>
      </c>
      <c r="I1047" s="38" t="s">
        <v>4873</v>
      </c>
      <c r="J1047" s="38" t="s">
        <v>15</v>
      </c>
      <c r="K1047" s="38" t="s">
        <v>4874</v>
      </c>
      <c r="L1047" s="38" t="s">
        <v>48</v>
      </c>
      <c r="M1047" s="37" t="s">
        <v>120</v>
      </c>
      <c r="N1047" s="39" t="n">
        <v>42149</v>
      </c>
      <c r="O1047" s="41" t="s">
        <v>23</v>
      </c>
      <c r="P1047" s="41" t="s">
        <v>105</v>
      </c>
      <c r="Q1047" s="42"/>
      <c r="R1047" s="41"/>
      <c r="S1047" s="42"/>
      <c r="T1047" s="41"/>
    </row>
    <row r="1048" customFormat="false" ht="13.5" hidden="false" customHeight="true" outlineLevel="0" collapsed="false">
      <c r="A1048" s="37" t="n">
        <v>1045</v>
      </c>
      <c r="B1048" s="37" t="n">
        <v>3312</v>
      </c>
      <c r="C1048" s="38" t="s">
        <v>4875</v>
      </c>
      <c r="D1048" s="37" t="s">
        <v>100</v>
      </c>
      <c r="E1048" s="39" t="n">
        <v>25588</v>
      </c>
      <c r="F1048" s="37" t="n">
        <f aca="true">IFERROR(DATEDIF(E1048,TODAY(),"Y"),"")</f>
        <v>56</v>
      </c>
      <c r="G1048" s="40" t="s">
        <v>4876</v>
      </c>
      <c r="H1048" s="40" t="s">
        <v>4877</v>
      </c>
      <c r="I1048" s="38" t="s">
        <v>4878</v>
      </c>
      <c r="J1048" s="38" t="s">
        <v>15</v>
      </c>
      <c r="K1048" s="38" t="s">
        <v>4879</v>
      </c>
      <c r="L1048" s="38" t="s">
        <v>55</v>
      </c>
      <c r="M1048" s="37" t="s">
        <v>104</v>
      </c>
      <c r="N1048" s="39" t="n">
        <v>42162</v>
      </c>
      <c r="O1048" s="41" t="s">
        <v>23</v>
      </c>
      <c r="P1048" s="41" t="s">
        <v>105</v>
      </c>
      <c r="Q1048" s="42"/>
      <c r="R1048" s="41"/>
      <c r="S1048" s="42"/>
      <c r="T1048" s="41"/>
    </row>
    <row r="1049" customFormat="false" ht="13.5" hidden="false" customHeight="true" outlineLevel="0" collapsed="false">
      <c r="A1049" s="37" t="n">
        <v>1046</v>
      </c>
      <c r="B1049" s="37" t="n">
        <v>3314</v>
      </c>
      <c r="C1049" s="38" t="s">
        <v>4880</v>
      </c>
      <c r="D1049" s="37" t="s">
        <v>100</v>
      </c>
      <c r="E1049" s="39" t="n">
        <v>28025</v>
      </c>
      <c r="F1049" s="37" t="n">
        <f aca="true">IFERROR(DATEDIF(E1049,TODAY(),"Y"),"")</f>
        <v>49</v>
      </c>
      <c r="G1049" s="40" t="s">
        <v>4881</v>
      </c>
      <c r="H1049" s="40" t="s">
        <v>4882</v>
      </c>
      <c r="I1049" s="38" t="s">
        <v>4883</v>
      </c>
      <c r="J1049" s="38" t="s">
        <v>16</v>
      </c>
      <c r="K1049" s="38" t="s">
        <v>4884</v>
      </c>
      <c r="L1049" s="43" t="s">
        <v>58</v>
      </c>
      <c r="M1049" s="37" t="s">
        <v>120</v>
      </c>
      <c r="N1049" s="39" t="n">
        <v>42171</v>
      </c>
      <c r="O1049" s="41" t="s">
        <v>23</v>
      </c>
      <c r="P1049" s="41" t="s">
        <v>105</v>
      </c>
      <c r="Q1049" s="42"/>
      <c r="R1049" s="41"/>
      <c r="S1049" s="42"/>
      <c r="T1049" s="41"/>
    </row>
    <row r="1050" customFormat="false" ht="13.5" hidden="false" customHeight="true" outlineLevel="0" collapsed="false">
      <c r="A1050" s="37" t="n">
        <v>1047</v>
      </c>
      <c r="B1050" s="37" t="n">
        <v>3316</v>
      </c>
      <c r="C1050" s="38" t="s">
        <v>4885</v>
      </c>
      <c r="D1050" s="37" t="s">
        <v>100</v>
      </c>
      <c r="E1050" s="39" t="n">
        <v>27113</v>
      </c>
      <c r="F1050" s="37" t="n">
        <f aca="true">IFERROR(DATEDIF(E1050,TODAY(),"Y"),"")</f>
        <v>52</v>
      </c>
      <c r="G1050" s="40" t="s">
        <v>4886</v>
      </c>
      <c r="H1050" s="40" t="s">
        <v>4887</v>
      </c>
      <c r="I1050" s="38" t="s">
        <v>4888</v>
      </c>
      <c r="J1050" s="38" t="s">
        <v>16</v>
      </c>
      <c r="K1050" s="38" t="s">
        <v>4889</v>
      </c>
      <c r="L1050" s="38" t="s">
        <v>47</v>
      </c>
      <c r="M1050" s="37" t="s">
        <v>120</v>
      </c>
      <c r="N1050" s="39" t="n">
        <v>42192</v>
      </c>
      <c r="O1050" s="41" t="s">
        <v>23</v>
      </c>
      <c r="P1050" s="41" t="s">
        <v>105</v>
      </c>
      <c r="Q1050" s="42"/>
      <c r="R1050" s="41"/>
      <c r="S1050" s="42"/>
      <c r="T1050" s="41"/>
    </row>
    <row r="1051" customFormat="false" ht="13.5" hidden="false" customHeight="true" outlineLevel="0" collapsed="false">
      <c r="A1051" s="37" t="n">
        <v>1048</v>
      </c>
      <c r="B1051" s="37" t="n">
        <v>3317</v>
      </c>
      <c r="C1051" s="38" t="s">
        <v>4890</v>
      </c>
      <c r="D1051" s="37" t="s">
        <v>100</v>
      </c>
      <c r="E1051" s="39" t="n">
        <v>26083</v>
      </c>
      <c r="F1051" s="37" t="n">
        <f aca="true">IFERROR(DATEDIF(E1051,TODAY(),"Y"),"")</f>
        <v>55</v>
      </c>
      <c r="G1051" s="40" t="s">
        <v>4891</v>
      </c>
      <c r="H1051" s="40"/>
      <c r="I1051" s="38" t="s">
        <v>4892</v>
      </c>
      <c r="J1051" s="38" t="s">
        <v>15</v>
      </c>
      <c r="K1051" s="38" t="s">
        <v>4893</v>
      </c>
      <c r="L1051" s="38" t="s">
        <v>48</v>
      </c>
      <c r="M1051" s="37" t="s">
        <v>177</v>
      </c>
      <c r="N1051" s="39" t="n">
        <v>42219</v>
      </c>
      <c r="O1051" s="41" t="s">
        <v>23</v>
      </c>
      <c r="P1051" s="41" t="s">
        <v>105</v>
      </c>
      <c r="Q1051" s="42"/>
      <c r="R1051" s="41"/>
      <c r="S1051" s="42"/>
      <c r="T1051" s="41"/>
    </row>
    <row r="1052" customFormat="false" ht="13.5" hidden="false" customHeight="true" outlineLevel="0" collapsed="false">
      <c r="A1052" s="37" t="n">
        <v>1049</v>
      </c>
      <c r="B1052" s="37" t="n">
        <v>3318</v>
      </c>
      <c r="C1052" s="38" t="s">
        <v>4894</v>
      </c>
      <c r="D1052" s="37" t="s">
        <v>100</v>
      </c>
      <c r="E1052" s="39" t="n">
        <v>25713</v>
      </c>
      <c r="F1052" s="37" t="n">
        <f aca="true">IFERROR(DATEDIF(E1052,TODAY(),"Y"),"")</f>
        <v>56</v>
      </c>
      <c r="G1052" s="40" t="s">
        <v>4895</v>
      </c>
      <c r="H1052" s="40"/>
      <c r="I1052" s="38" t="s">
        <v>4896</v>
      </c>
      <c r="J1052" s="38" t="s">
        <v>16</v>
      </c>
      <c r="K1052" s="38" t="s">
        <v>4897</v>
      </c>
      <c r="L1052" s="38" t="s">
        <v>55</v>
      </c>
      <c r="M1052" s="37" t="s">
        <v>120</v>
      </c>
      <c r="N1052" s="39" t="n">
        <v>42206</v>
      </c>
      <c r="O1052" s="41" t="s">
        <v>23</v>
      </c>
      <c r="P1052" s="41" t="s">
        <v>105</v>
      </c>
      <c r="Q1052" s="42"/>
      <c r="R1052" s="41"/>
      <c r="S1052" s="42"/>
      <c r="T1052" s="41"/>
    </row>
    <row r="1053" customFormat="false" ht="13.5" hidden="false" customHeight="true" outlineLevel="0" collapsed="false">
      <c r="A1053" s="37" t="n">
        <v>1050</v>
      </c>
      <c r="B1053" s="37" t="n">
        <v>3321</v>
      </c>
      <c r="C1053" s="38" t="s">
        <v>4898</v>
      </c>
      <c r="D1053" s="37" t="s">
        <v>100</v>
      </c>
      <c r="E1053" s="39" t="n">
        <v>30632</v>
      </c>
      <c r="F1053" s="37" t="n">
        <f aca="true">IFERROR(DATEDIF(E1053,TODAY(),"Y"),"")</f>
        <v>42</v>
      </c>
      <c r="G1053" s="40" t="s">
        <v>4899</v>
      </c>
      <c r="H1053" s="40" t="s">
        <v>4900</v>
      </c>
      <c r="I1053" s="38" t="s">
        <v>4901</v>
      </c>
      <c r="J1053" s="38" t="s">
        <v>24</v>
      </c>
      <c r="K1053" s="38" t="s">
        <v>4902</v>
      </c>
      <c r="L1053" s="38" t="s">
        <v>44</v>
      </c>
      <c r="M1053" s="37" t="s">
        <v>120</v>
      </c>
      <c r="N1053" s="39" t="n">
        <v>42228</v>
      </c>
      <c r="O1053" s="41" t="s">
        <v>23</v>
      </c>
      <c r="P1053" s="41" t="s">
        <v>105</v>
      </c>
      <c r="Q1053" s="42"/>
      <c r="R1053" s="41"/>
      <c r="S1053" s="42"/>
      <c r="T1053" s="41"/>
    </row>
    <row r="1054" customFormat="false" ht="13.5" hidden="false" customHeight="true" outlineLevel="0" collapsed="false">
      <c r="A1054" s="37" t="n">
        <v>1051</v>
      </c>
      <c r="B1054" s="37" t="n">
        <v>3322</v>
      </c>
      <c r="C1054" s="38" t="s">
        <v>4903</v>
      </c>
      <c r="D1054" s="37" t="s">
        <v>100</v>
      </c>
      <c r="E1054" s="39" t="n">
        <v>23088</v>
      </c>
      <c r="F1054" s="37" t="n">
        <f aca="true">IFERROR(DATEDIF(E1054,TODAY(),"Y"),"")</f>
        <v>63</v>
      </c>
      <c r="G1054" s="40" t="s">
        <v>4904</v>
      </c>
      <c r="H1054" s="40" t="s">
        <v>4905</v>
      </c>
      <c r="I1054" s="38" t="s">
        <v>4906</v>
      </c>
      <c r="J1054" s="38" t="s">
        <v>16</v>
      </c>
      <c r="K1054" s="38" t="s">
        <v>4907</v>
      </c>
      <c r="L1054" s="38" t="s">
        <v>53</v>
      </c>
      <c r="M1054" s="37" t="s">
        <v>177</v>
      </c>
      <c r="N1054" s="39" t="n">
        <v>42235</v>
      </c>
      <c r="O1054" s="41" t="s">
        <v>23</v>
      </c>
      <c r="P1054" s="41" t="s">
        <v>105</v>
      </c>
      <c r="Q1054" s="42"/>
      <c r="R1054" s="41"/>
      <c r="S1054" s="42"/>
      <c r="T1054" s="41"/>
    </row>
    <row r="1055" customFormat="false" ht="13.5" hidden="false" customHeight="true" outlineLevel="0" collapsed="false">
      <c r="A1055" s="37" t="n">
        <v>1052</v>
      </c>
      <c r="B1055" s="37" t="n">
        <v>3323</v>
      </c>
      <c r="C1055" s="38" t="s">
        <v>4908</v>
      </c>
      <c r="D1055" s="37" t="s">
        <v>100</v>
      </c>
      <c r="E1055" s="39" t="n">
        <v>28053</v>
      </c>
      <c r="F1055" s="37" t="n">
        <f aca="true">IFERROR(DATEDIF(E1055,TODAY(),"Y"),"")</f>
        <v>49</v>
      </c>
      <c r="G1055" s="40" t="s">
        <v>4909</v>
      </c>
      <c r="H1055" s="40" t="s">
        <v>4910</v>
      </c>
      <c r="I1055" s="38" t="s">
        <v>4911</v>
      </c>
      <c r="J1055" s="38" t="s">
        <v>16</v>
      </c>
      <c r="K1055" s="38" t="s">
        <v>4912</v>
      </c>
      <c r="L1055" s="38" t="s">
        <v>47</v>
      </c>
      <c r="M1055" s="37" t="s">
        <v>120</v>
      </c>
      <c r="N1055" s="39" t="n">
        <v>42235</v>
      </c>
      <c r="O1055" s="41" t="s">
        <v>23</v>
      </c>
      <c r="P1055" s="41" t="s">
        <v>105</v>
      </c>
      <c r="Q1055" s="42"/>
      <c r="R1055" s="41"/>
      <c r="S1055" s="42"/>
      <c r="T1055" s="41"/>
    </row>
    <row r="1056" customFormat="false" ht="13.5" hidden="false" customHeight="true" outlineLevel="0" collapsed="false">
      <c r="A1056" s="37" t="n">
        <v>1053</v>
      </c>
      <c r="B1056" s="37" t="n">
        <v>3324</v>
      </c>
      <c r="C1056" s="38" t="s">
        <v>4913</v>
      </c>
      <c r="D1056" s="37" t="s">
        <v>100</v>
      </c>
      <c r="E1056" s="39" t="n">
        <v>29337</v>
      </c>
      <c r="F1056" s="37" t="n">
        <f aca="true">IFERROR(DATEDIF(E1056,TODAY(),"Y"),"")</f>
        <v>46</v>
      </c>
      <c r="G1056" s="40" t="s">
        <v>4914</v>
      </c>
      <c r="H1056" s="40" t="s">
        <v>4915</v>
      </c>
      <c r="I1056" s="38" t="s">
        <v>4916</v>
      </c>
      <c r="J1056" s="38" t="s">
        <v>22</v>
      </c>
      <c r="K1056" s="38" t="s">
        <v>4917</v>
      </c>
      <c r="L1056" s="38" t="s">
        <v>46</v>
      </c>
      <c r="M1056" s="37" t="s">
        <v>493</v>
      </c>
      <c r="N1056" s="39" t="n">
        <v>42259</v>
      </c>
      <c r="O1056" s="41" t="s">
        <v>23</v>
      </c>
      <c r="P1056" s="41" t="s">
        <v>105</v>
      </c>
      <c r="Q1056" s="42"/>
      <c r="R1056" s="41"/>
      <c r="S1056" s="42"/>
      <c r="T1056" s="41"/>
    </row>
    <row r="1057" customFormat="false" ht="13.5" hidden="false" customHeight="true" outlineLevel="0" collapsed="false">
      <c r="A1057" s="37" t="n">
        <v>1054</v>
      </c>
      <c r="B1057" s="37" t="n">
        <v>3325</v>
      </c>
      <c r="C1057" s="38" t="s">
        <v>4918</v>
      </c>
      <c r="D1057" s="37" t="s">
        <v>100</v>
      </c>
      <c r="E1057" s="39" t="n">
        <v>19714</v>
      </c>
      <c r="F1057" s="37" t="n">
        <f aca="true">IFERROR(DATEDIF(E1057,TODAY(),"Y"),"")</f>
        <v>72</v>
      </c>
      <c r="G1057" s="40" t="s">
        <v>4919</v>
      </c>
      <c r="H1057" s="40" t="s">
        <v>4920</v>
      </c>
      <c r="I1057" s="38" t="s">
        <v>4921</v>
      </c>
      <c r="J1057" s="38" t="s">
        <v>16</v>
      </c>
      <c r="K1057" s="38" t="s">
        <v>4922</v>
      </c>
      <c r="L1057" s="38" t="s">
        <v>46</v>
      </c>
      <c r="M1057" s="37"/>
      <c r="N1057" s="39" t="n">
        <v>42262</v>
      </c>
      <c r="O1057" s="41" t="s">
        <v>23</v>
      </c>
      <c r="P1057" s="41" t="s">
        <v>105</v>
      </c>
      <c r="Q1057" s="42"/>
      <c r="R1057" s="41"/>
      <c r="S1057" s="42"/>
      <c r="T1057" s="41"/>
    </row>
    <row r="1058" customFormat="false" ht="13.5" hidden="false" customHeight="true" outlineLevel="0" collapsed="false">
      <c r="A1058" s="37" t="n">
        <v>1055</v>
      </c>
      <c r="B1058" s="37" t="n">
        <v>3326</v>
      </c>
      <c r="C1058" s="38" t="s">
        <v>4923</v>
      </c>
      <c r="D1058" s="37" t="s">
        <v>100</v>
      </c>
      <c r="E1058" s="39" t="n">
        <v>30691</v>
      </c>
      <c r="F1058" s="37" t="n">
        <f aca="true">IFERROR(DATEDIF(E1058,TODAY(),"Y"),"")</f>
        <v>42</v>
      </c>
      <c r="G1058" s="40" t="s">
        <v>4924</v>
      </c>
      <c r="H1058" s="40"/>
      <c r="I1058" s="38" t="s">
        <v>4925</v>
      </c>
      <c r="J1058" s="38" t="s">
        <v>22</v>
      </c>
      <c r="K1058" s="38" t="s">
        <v>4926</v>
      </c>
      <c r="L1058" s="38" t="s">
        <v>55</v>
      </c>
      <c r="M1058" s="37" t="s">
        <v>104</v>
      </c>
      <c r="N1058" s="39" t="n">
        <v>42264</v>
      </c>
      <c r="O1058" s="41" t="s">
        <v>23</v>
      </c>
      <c r="P1058" s="41" t="s">
        <v>105</v>
      </c>
      <c r="Q1058" s="42"/>
      <c r="R1058" s="41"/>
      <c r="S1058" s="42"/>
      <c r="T1058" s="41"/>
    </row>
    <row r="1059" customFormat="false" ht="13.5" hidden="false" customHeight="true" outlineLevel="0" collapsed="false">
      <c r="A1059" s="37" t="n">
        <v>1056</v>
      </c>
      <c r="B1059" s="37" t="n">
        <v>3327</v>
      </c>
      <c r="C1059" s="38" t="s">
        <v>4927</v>
      </c>
      <c r="D1059" s="37" t="s">
        <v>100</v>
      </c>
      <c r="E1059" s="39" t="n">
        <v>22931</v>
      </c>
      <c r="F1059" s="37" t="n">
        <f aca="true">IFERROR(DATEDIF(E1059,TODAY(),"Y"),"")</f>
        <v>63</v>
      </c>
      <c r="G1059" s="40" t="s">
        <v>4928</v>
      </c>
      <c r="H1059" s="40" t="s">
        <v>4929</v>
      </c>
      <c r="I1059" s="38" t="s">
        <v>4930</v>
      </c>
      <c r="J1059" s="38" t="s">
        <v>16</v>
      </c>
      <c r="K1059" s="38" t="s">
        <v>4931</v>
      </c>
      <c r="L1059" s="38" t="s">
        <v>51</v>
      </c>
      <c r="M1059" s="37" t="s">
        <v>104</v>
      </c>
      <c r="N1059" s="39" t="n">
        <v>42290</v>
      </c>
      <c r="O1059" s="41" t="s">
        <v>23</v>
      </c>
      <c r="P1059" s="41" t="s">
        <v>105</v>
      </c>
      <c r="Q1059" s="42"/>
      <c r="R1059" s="41"/>
      <c r="S1059" s="42"/>
      <c r="T1059" s="41"/>
    </row>
    <row r="1060" customFormat="false" ht="13.5" hidden="false" customHeight="true" outlineLevel="0" collapsed="false">
      <c r="A1060" s="37" t="n">
        <v>1057</v>
      </c>
      <c r="B1060" s="37" t="n">
        <v>3328</v>
      </c>
      <c r="C1060" s="38" t="s">
        <v>4932</v>
      </c>
      <c r="D1060" s="37" t="s">
        <v>100</v>
      </c>
      <c r="E1060" s="39" t="n">
        <v>25718</v>
      </c>
      <c r="F1060" s="37" t="n">
        <f aca="true">IFERROR(DATEDIF(E1060,TODAY(),"Y"),"")</f>
        <v>56</v>
      </c>
      <c r="G1060" s="40" t="s">
        <v>4933</v>
      </c>
      <c r="H1060" s="40"/>
      <c r="I1060" s="38" t="s">
        <v>4934</v>
      </c>
      <c r="J1060" s="38" t="s">
        <v>18</v>
      </c>
      <c r="K1060" s="38" t="s">
        <v>4935</v>
      </c>
      <c r="L1060" s="38" t="s">
        <v>48</v>
      </c>
      <c r="M1060" s="37" t="s">
        <v>120</v>
      </c>
      <c r="N1060" s="39" t="n">
        <v>42295</v>
      </c>
      <c r="O1060" s="41" t="s">
        <v>23</v>
      </c>
      <c r="P1060" s="41" t="s">
        <v>105</v>
      </c>
      <c r="Q1060" s="42"/>
      <c r="R1060" s="41"/>
      <c r="S1060" s="42"/>
      <c r="T1060" s="41"/>
    </row>
    <row r="1061" customFormat="false" ht="13.5" hidden="false" customHeight="true" outlineLevel="0" collapsed="false">
      <c r="A1061" s="37" t="n">
        <v>1058</v>
      </c>
      <c r="B1061" s="37" t="n">
        <v>3329</v>
      </c>
      <c r="C1061" s="38" t="s">
        <v>4936</v>
      </c>
      <c r="D1061" s="37" t="s">
        <v>100</v>
      </c>
      <c r="E1061" s="39" t="n">
        <v>19311</v>
      </c>
      <c r="F1061" s="37" t="n">
        <f aca="true">IFERROR(DATEDIF(E1061,TODAY(),"Y"),"")</f>
        <v>73</v>
      </c>
      <c r="G1061" s="40" t="s">
        <v>4937</v>
      </c>
      <c r="H1061" s="40"/>
      <c r="I1061" s="38" t="s">
        <v>4938</v>
      </c>
      <c r="J1061" s="38" t="s">
        <v>18</v>
      </c>
      <c r="K1061" s="38" t="s">
        <v>4939</v>
      </c>
      <c r="L1061" s="38" t="s">
        <v>55</v>
      </c>
      <c r="M1061" s="37" t="s">
        <v>177</v>
      </c>
      <c r="N1061" s="39" t="n">
        <v>42303</v>
      </c>
      <c r="O1061" s="41" t="s">
        <v>23</v>
      </c>
      <c r="P1061" s="41" t="s">
        <v>105</v>
      </c>
      <c r="Q1061" s="42"/>
      <c r="R1061" s="41"/>
      <c r="S1061" s="42"/>
      <c r="T1061" s="41"/>
    </row>
    <row r="1062" customFormat="false" ht="13.5" hidden="false" customHeight="true" outlineLevel="0" collapsed="false">
      <c r="A1062" s="37" t="n">
        <v>1059</v>
      </c>
      <c r="B1062" s="37" t="n">
        <v>3332</v>
      </c>
      <c r="C1062" s="38" t="s">
        <v>4940</v>
      </c>
      <c r="D1062" s="37" t="s">
        <v>100</v>
      </c>
      <c r="E1062" s="39" t="n">
        <v>27525</v>
      </c>
      <c r="F1062" s="37" t="n">
        <f aca="true">IFERROR(DATEDIF(E1062,TODAY(),"Y"),"")</f>
        <v>51</v>
      </c>
      <c r="G1062" s="40" t="s">
        <v>4941</v>
      </c>
      <c r="H1062" s="40"/>
      <c r="I1062" s="38" t="s">
        <v>4942</v>
      </c>
      <c r="J1062" s="38" t="s">
        <v>16</v>
      </c>
      <c r="K1062" s="38" t="s">
        <v>4943</v>
      </c>
      <c r="L1062" s="38" t="s">
        <v>48</v>
      </c>
      <c r="M1062" s="37" t="s">
        <v>120</v>
      </c>
      <c r="N1062" s="39" t="n">
        <v>42324</v>
      </c>
      <c r="O1062" s="41" t="s">
        <v>23</v>
      </c>
      <c r="P1062" s="41" t="s">
        <v>105</v>
      </c>
      <c r="Q1062" s="42"/>
      <c r="R1062" s="41"/>
      <c r="S1062" s="42"/>
      <c r="T1062" s="41"/>
    </row>
    <row r="1063" customFormat="false" ht="13.5" hidden="false" customHeight="true" outlineLevel="0" collapsed="false">
      <c r="A1063" s="37" t="n">
        <v>1060</v>
      </c>
      <c r="B1063" s="37" t="n">
        <v>3333</v>
      </c>
      <c r="C1063" s="38" t="s">
        <v>4944</v>
      </c>
      <c r="D1063" s="37" t="s">
        <v>100</v>
      </c>
      <c r="E1063" s="39" t="n">
        <v>30723</v>
      </c>
      <c r="F1063" s="37" t="n">
        <f aca="true">IFERROR(DATEDIF(E1063,TODAY(),"Y"),"")</f>
        <v>42</v>
      </c>
      <c r="G1063" s="40" t="s">
        <v>4945</v>
      </c>
      <c r="H1063" s="40" t="s">
        <v>4946</v>
      </c>
      <c r="I1063" s="38" t="s">
        <v>4947</v>
      </c>
      <c r="J1063" s="38" t="s">
        <v>16</v>
      </c>
      <c r="K1063" s="38" t="s">
        <v>4948</v>
      </c>
      <c r="L1063" s="38" t="s">
        <v>47</v>
      </c>
      <c r="M1063" s="37" t="s">
        <v>120</v>
      </c>
      <c r="N1063" s="39" t="n">
        <v>42324</v>
      </c>
      <c r="O1063" s="41" t="s">
        <v>23</v>
      </c>
      <c r="P1063" s="41" t="s">
        <v>105</v>
      </c>
      <c r="Q1063" s="42"/>
      <c r="R1063" s="41"/>
      <c r="S1063" s="42"/>
      <c r="T1063" s="41"/>
    </row>
    <row r="1064" customFormat="false" ht="13.5" hidden="false" customHeight="true" outlineLevel="0" collapsed="false">
      <c r="A1064" s="37" t="n">
        <v>1061</v>
      </c>
      <c r="B1064" s="37" t="n">
        <v>3334</v>
      </c>
      <c r="C1064" s="38" t="s">
        <v>4949</v>
      </c>
      <c r="D1064" s="37" t="s">
        <v>100</v>
      </c>
      <c r="E1064" s="39" t="n">
        <v>29929</v>
      </c>
      <c r="F1064" s="37" t="n">
        <f aca="true">IFERROR(DATEDIF(E1064,TODAY(),"Y"),"")</f>
        <v>44</v>
      </c>
      <c r="G1064" s="40" t="s">
        <v>4950</v>
      </c>
      <c r="H1064" s="40" t="s">
        <v>4951</v>
      </c>
      <c r="I1064" s="38" t="s">
        <v>4952</v>
      </c>
      <c r="J1064" s="38" t="s">
        <v>15</v>
      </c>
      <c r="K1064" s="38" t="s">
        <v>4953</v>
      </c>
      <c r="L1064" s="38" t="s">
        <v>47</v>
      </c>
      <c r="M1064" s="37" t="s">
        <v>120</v>
      </c>
      <c r="N1064" s="39" t="n">
        <v>42328</v>
      </c>
      <c r="O1064" s="41" t="s">
        <v>23</v>
      </c>
      <c r="P1064" s="41" t="s">
        <v>105</v>
      </c>
      <c r="Q1064" s="42"/>
      <c r="R1064" s="41"/>
      <c r="S1064" s="42"/>
      <c r="T1064" s="41"/>
    </row>
    <row r="1065" customFormat="false" ht="13.5" hidden="false" customHeight="true" outlineLevel="0" collapsed="false">
      <c r="A1065" s="37" t="n">
        <v>1062</v>
      </c>
      <c r="B1065" s="37" t="n">
        <v>3336</v>
      </c>
      <c r="C1065" s="38" t="s">
        <v>4954</v>
      </c>
      <c r="D1065" s="37" t="s">
        <v>100</v>
      </c>
      <c r="E1065" s="39" t="n">
        <v>25708</v>
      </c>
      <c r="F1065" s="37" t="n">
        <f aca="true">IFERROR(DATEDIF(E1065,TODAY(),"Y"),"")</f>
        <v>56</v>
      </c>
      <c r="G1065" s="40" t="s">
        <v>4955</v>
      </c>
      <c r="H1065" s="40" t="s">
        <v>4956</v>
      </c>
      <c r="I1065" s="38" t="s">
        <v>4957</v>
      </c>
      <c r="J1065" s="38" t="s">
        <v>27</v>
      </c>
      <c r="K1065" s="38" t="s">
        <v>4958</v>
      </c>
      <c r="L1065" s="38" t="s">
        <v>55</v>
      </c>
      <c r="M1065" s="37" t="s">
        <v>120</v>
      </c>
      <c r="N1065" s="39" t="n">
        <v>42337</v>
      </c>
      <c r="O1065" s="41" t="s">
        <v>23</v>
      </c>
      <c r="P1065" s="41" t="s">
        <v>105</v>
      </c>
      <c r="Q1065" s="42"/>
      <c r="R1065" s="41"/>
      <c r="S1065" s="42"/>
      <c r="T1065" s="41"/>
    </row>
    <row r="1066" customFormat="false" ht="13.5" hidden="false" customHeight="true" outlineLevel="0" collapsed="false">
      <c r="A1066" s="37" t="n">
        <v>1063</v>
      </c>
      <c r="B1066" s="37" t="n">
        <v>3337</v>
      </c>
      <c r="C1066" s="38" t="s">
        <v>4959</v>
      </c>
      <c r="D1066" s="37" t="s">
        <v>100</v>
      </c>
      <c r="E1066" s="39" t="n">
        <v>23207</v>
      </c>
      <c r="F1066" s="37" t="n">
        <f aca="true">IFERROR(DATEDIF(E1066,TODAY(),"Y"),"")</f>
        <v>63</v>
      </c>
      <c r="G1066" s="40" t="s">
        <v>4960</v>
      </c>
      <c r="H1066" s="40"/>
      <c r="I1066" s="38" t="s">
        <v>4961</v>
      </c>
      <c r="J1066" s="38" t="s">
        <v>16</v>
      </c>
      <c r="K1066" s="38" t="s">
        <v>4962</v>
      </c>
      <c r="L1066" s="38" t="s">
        <v>53</v>
      </c>
      <c r="M1066" s="37" t="s">
        <v>177</v>
      </c>
      <c r="N1066" s="39" t="n">
        <v>42339</v>
      </c>
      <c r="O1066" s="41" t="s">
        <v>23</v>
      </c>
      <c r="P1066" s="41" t="s">
        <v>105</v>
      </c>
      <c r="Q1066" s="42"/>
      <c r="R1066" s="41"/>
      <c r="S1066" s="42"/>
      <c r="T1066" s="41"/>
    </row>
    <row r="1067" customFormat="false" ht="13.5" hidden="false" customHeight="true" outlineLevel="0" collapsed="false">
      <c r="A1067" s="37" t="n">
        <v>1064</v>
      </c>
      <c r="B1067" s="37" t="n">
        <v>3338</v>
      </c>
      <c r="C1067" s="38" t="s">
        <v>4963</v>
      </c>
      <c r="D1067" s="37" t="s">
        <v>100</v>
      </c>
      <c r="E1067" s="39" t="n">
        <v>21527</v>
      </c>
      <c r="F1067" s="37" t="n">
        <f aca="true">IFERROR(DATEDIF(E1067,TODAY(),"Y"),"")</f>
        <v>67</v>
      </c>
      <c r="G1067" s="40" t="s">
        <v>4964</v>
      </c>
      <c r="H1067" s="40" t="s">
        <v>4965</v>
      </c>
      <c r="I1067" s="38" t="s">
        <v>4966</v>
      </c>
      <c r="J1067" s="38" t="s">
        <v>18</v>
      </c>
      <c r="K1067" s="38" t="s">
        <v>4967</v>
      </c>
      <c r="L1067" s="38" t="s">
        <v>50</v>
      </c>
      <c r="M1067" s="37" t="s">
        <v>104</v>
      </c>
      <c r="N1067" s="39" t="n">
        <v>42350</v>
      </c>
      <c r="O1067" s="41" t="s">
        <v>23</v>
      </c>
      <c r="P1067" s="41" t="s">
        <v>105</v>
      </c>
      <c r="Q1067" s="42"/>
      <c r="R1067" s="41"/>
      <c r="S1067" s="42"/>
      <c r="T1067" s="41"/>
    </row>
    <row r="1068" customFormat="false" ht="13.5" hidden="false" customHeight="true" outlineLevel="0" collapsed="false">
      <c r="A1068" s="37" t="n">
        <v>1065</v>
      </c>
      <c r="B1068" s="37" t="n">
        <v>3339</v>
      </c>
      <c r="C1068" s="38" t="s">
        <v>4968</v>
      </c>
      <c r="D1068" s="37" t="s">
        <v>100</v>
      </c>
      <c r="E1068" s="39" t="n">
        <v>25335</v>
      </c>
      <c r="F1068" s="37" t="n">
        <f aca="true">IFERROR(DATEDIF(E1068,TODAY(),"Y"),"")</f>
        <v>57</v>
      </c>
      <c r="G1068" s="40" t="s">
        <v>4969</v>
      </c>
      <c r="H1068" s="40"/>
      <c r="I1068" s="38" t="s">
        <v>4970</v>
      </c>
      <c r="J1068" s="38" t="s">
        <v>15</v>
      </c>
      <c r="K1068" s="38" t="s">
        <v>4971</v>
      </c>
      <c r="L1068" s="38" t="s">
        <v>53</v>
      </c>
      <c r="M1068" s="37" t="s">
        <v>120</v>
      </c>
      <c r="N1068" s="39" t="n">
        <v>42351</v>
      </c>
      <c r="O1068" s="41" t="s">
        <v>23</v>
      </c>
      <c r="P1068" s="41" t="s">
        <v>105</v>
      </c>
      <c r="Q1068" s="42"/>
      <c r="R1068" s="41"/>
      <c r="S1068" s="42"/>
      <c r="T1068" s="41"/>
    </row>
    <row r="1069" customFormat="false" ht="13.5" hidden="false" customHeight="true" outlineLevel="0" collapsed="false">
      <c r="A1069" s="37" t="n">
        <v>1066</v>
      </c>
      <c r="B1069" s="37" t="n">
        <v>3340</v>
      </c>
      <c r="C1069" s="38" t="s">
        <v>4972</v>
      </c>
      <c r="D1069" s="37" t="s">
        <v>100</v>
      </c>
      <c r="E1069" s="39" t="n">
        <v>29003</v>
      </c>
      <c r="F1069" s="37" t="n">
        <f aca="true">IFERROR(DATEDIF(E1069,TODAY(),"Y"),"")</f>
        <v>47</v>
      </c>
      <c r="G1069" s="40" t="s">
        <v>4973</v>
      </c>
      <c r="H1069" s="40"/>
      <c r="I1069" s="38" t="s">
        <v>4974</v>
      </c>
      <c r="J1069" s="38" t="s">
        <v>15</v>
      </c>
      <c r="K1069" s="38" t="s">
        <v>4975</v>
      </c>
      <c r="L1069" s="38" t="s">
        <v>47</v>
      </c>
      <c r="M1069" s="37" t="s">
        <v>120</v>
      </c>
      <c r="N1069" s="39" t="n">
        <v>42351</v>
      </c>
      <c r="O1069" s="41" t="s">
        <v>23</v>
      </c>
      <c r="P1069" s="41" t="s">
        <v>105</v>
      </c>
      <c r="Q1069" s="42"/>
      <c r="R1069" s="41"/>
      <c r="S1069" s="42"/>
      <c r="T1069" s="41"/>
    </row>
    <row r="1070" customFormat="false" ht="13.5" hidden="false" customHeight="true" outlineLevel="0" collapsed="false">
      <c r="A1070" s="37" t="n">
        <v>1067</v>
      </c>
      <c r="B1070" s="37" t="n">
        <v>3341</v>
      </c>
      <c r="C1070" s="38" t="s">
        <v>4976</v>
      </c>
      <c r="D1070" s="37" t="s">
        <v>100</v>
      </c>
      <c r="E1070" s="39" t="n">
        <v>29486</v>
      </c>
      <c r="F1070" s="37" t="n">
        <f aca="true">IFERROR(DATEDIF(E1070,TODAY(),"Y"),"")</f>
        <v>45</v>
      </c>
      <c r="G1070" s="40" t="s">
        <v>4977</v>
      </c>
      <c r="H1070" s="40"/>
      <c r="I1070" s="38" t="s">
        <v>4978</v>
      </c>
      <c r="J1070" s="38" t="s">
        <v>24</v>
      </c>
      <c r="K1070" s="38" t="s">
        <v>4979</v>
      </c>
      <c r="L1070" s="38" t="s">
        <v>46</v>
      </c>
      <c r="M1070" s="37" t="s">
        <v>104</v>
      </c>
      <c r="N1070" s="39" t="n">
        <v>42352</v>
      </c>
      <c r="O1070" s="41" t="s">
        <v>23</v>
      </c>
      <c r="P1070" s="41" t="s">
        <v>105</v>
      </c>
      <c r="Q1070" s="42"/>
      <c r="R1070" s="41"/>
      <c r="S1070" s="42"/>
      <c r="T1070" s="41"/>
    </row>
    <row r="1071" customFormat="false" ht="13.5" hidden="false" customHeight="true" outlineLevel="0" collapsed="false">
      <c r="A1071" s="37" t="n">
        <v>1068</v>
      </c>
      <c r="B1071" s="37" t="n">
        <v>3342</v>
      </c>
      <c r="C1071" s="38" t="s">
        <v>4980</v>
      </c>
      <c r="D1071" s="37" t="s">
        <v>100</v>
      </c>
      <c r="E1071" s="39" t="n">
        <v>31675</v>
      </c>
      <c r="F1071" s="37" t="n">
        <f aca="true">IFERROR(DATEDIF(E1071,TODAY(),"Y"),"")</f>
        <v>39</v>
      </c>
      <c r="G1071" s="40" t="s">
        <v>4981</v>
      </c>
      <c r="H1071" s="40" t="s">
        <v>4982</v>
      </c>
      <c r="I1071" s="38" t="s">
        <v>4983</v>
      </c>
      <c r="J1071" s="38" t="s">
        <v>16</v>
      </c>
      <c r="K1071" s="38" t="s">
        <v>4984</v>
      </c>
      <c r="L1071" s="38" t="s">
        <v>54</v>
      </c>
      <c r="M1071" s="37" t="s">
        <v>120</v>
      </c>
      <c r="N1071" s="39" t="n">
        <v>42352</v>
      </c>
      <c r="O1071" s="41" t="s">
        <v>23</v>
      </c>
      <c r="P1071" s="41" t="s">
        <v>105</v>
      </c>
      <c r="Q1071" s="42"/>
      <c r="R1071" s="41"/>
      <c r="S1071" s="42"/>
      <c r="T1071" s="41"/>
    </row>
    <row r="1072" customFormat="false" ht="13.5" hidden="false" customHeight="true" outlineLevel="0" collapsed="false">
      <c r="A1072" s="37" t="n">
        <v>1069</v>
      </c>
      <c r="B1072" s="37" t="n">
        <v>3343</v>
      </c>
      <c r="C1072" s="38" t="s">
        <v>4985</v>
      </c>
      <c r="D1072" s="37" t="s">
        <v>100</v>
      </c>
      <c r="E1072" s="39" t="n">
        <v>30662</v>
      </c>
      <c r="F1072" s="37" t="n">
        <f aca="true">IFERROR(DATEDIF(E1072,TODAY(),"Y"),"")</f>
        <v>42</v>
      </c>
      <c r="G1072" s="40" t="s">
        <v>4986</v>
      </c>
      <c r="H1072" s="40" t="s">
        <v>4987</v>
      </c>
      <c r="I1072" s="38" t="s">
        <v>4988</v>
      </c>
      <c r="J1072" s="38" t="s">
        <v>16</v>
      </c>
      <c r="K1072" s="38" t="s">
        <v>4989</v>
      </c>
      <c r="L1072" s="38" t="s">
        <v>55</v>
      </c>
      <c r="M1072" s="37" t="s">
        <v>104</v>
      </c>
      <c r="N1072" s="39" t="n">
        <v>42352</v>
      </c>
      <c r="O1072" s="41" t="s">
        <v>23</v>
      </c>
      <c r="P1072" s="41" t="s">
        <v>105</v>
      </c>
      <c r="Q1072" s="42"/>
      <c r="R1072" s="41"/>
      <c r="S1072" s="42"/>
      <c r="T1072" s="41"/>
    </row>
    <row r="1073" customFormat="false" ht="13.5" hidden="false" customHeight="true" outlineLevel="0" collapsed="false">
      <c r="A1073" s="37" t="n">
        <v>1070</v>
      </c>
      <c r="B1073" s="37" t="n">
        <v>3346</v>
      </c>
      <c r="C1073" s="38" t="s">
        <v>4990</v>
      </c>
      <c r="D1073" s="37" t="s">
        <v>100</v>
      </c>
      <c r="E1073" s="39" t="n">
        <v>28164</v>
      </c>
      <c r="F1073" s="37" t="n">
        <f aca="true">IFERROR(DATEDIF(E1073,TODAY(),"Y"),"")</f>
        <v>49</v>
      </c>
      <c r="G1073" s="40" t="s">
        <v>4991</v>
      </c>
      <c r="H1073" s="40"/>
      <c r="I1073" s="38" t="s">
        <v>4992</v>
      </c>
      <c r="J1073" s="38" t="s">
        <v>15</v>
      </c>
      <c r="K1073" s="38" t="s">
        <v>4993</v>
      </c>
      <c r="L1073" s="38" t="s">
        <v>45</v>
      </c>
      <c r="M1073" s="37" t="s">
        <v>788</v>
      </c>
      <c r="N1073" s="39" t="n">
        <v>42365</v>
      </c>
      <c r="O1073" s="41" t="s">
        <v>23</v>
      </c>
      <c r="P1073" s="41" t="s">
        <v>105</v>
      </c>
      <c r="Q1073" s="42"/>
      <c r="R1073" s="41"/>
      <c r="S1073" s="42"/>
      <c r="T1073" s="41"/>
    </row>
    <row r="1074" customFormat="false" ht="13.5" hidden="false" customHeight="true" outlineLevel="0" collapsed="false">
      <c r="A1074" s="37" t="n">
        <v>1071</v>
      </c>
      <c r="B1074" s="37" t="n">
        <v>3348</v>
      </c>
      <c r="C1074" s="38" t="s">
        <v>4994</v>
      </c>
      <c r="D1074" s="37" t="s">
        <v>100</v>
      </c>
      <c r="E1074" s="39" t="n">
        <v>26740</v>
      </c>
      <c r="F1074" s="37" t="n">
        <f aca="true">IFERROR(DATEDIF(E1074,TODAY(),"Y"),"")</f>
        <v>53</v>
      </c>
      <c r="G1074" s="40" t="s">
        <v>4995</v>
      </c>
      <c r="H1074" s="40"/>
      <c r="I1074" s="38" t="s">
        <v>4996</v>
      </c>
      <c r="J1074" s="38" t="s">
        <v>15</v>
      </c>
      <c r="K1074" s="38" t="s">
        <v>4997</v>
      </c>
      <c r="L1074" s="38" t="s">
        <v>53</v>
      </c>
      <c r="M1074" s="37" t="s">
        <v>104</v>
      </c>
      <c r="N1074" s="39" t="n">
        <v>42372</v>
      </c>
      <c r="O1074" s="41" t="s">
        <v>23</v>
      </c>
      <c r="P1074" s="41" t="s">
        <v>105</v>
      </c>
      <c r="Q1074" s="42"/>
      <c r="R1074" s="41"/>
      <c r="S1074" s="42"/>
      <c r="T1074" s="41"/>
    </row>
    <row r="1075" customFormat="false" ht="13.5" hidden="false" customHeight="true" outlineLevel="0" collapsed="false">
      <c r="A1075" s="37" t="n">
        <v>1072</v>
      </c>
      <c r="B1075" s="37" t="n">
        <v>3349</v>
      </c>
      <c r="C1075" s="38" t="s">
        <v>4998</v>
      </c>
      <c r="D1075" s="37" t="s">
        <v>100</v>
      </c>
      <c r="E1075" s="39" t="n">
        <v>25689</v>
      </c>
      <c r="F1075" s="37" t="n">
        <f aca="true">IFERROR(DATEDIF(E1075,TODAY(),"Y"),"")</f>
        <v>56</v>
      </c>
      <c r="G1075" s="40" t="s">
        <v>4999</v>
      </c>
      <c r="H1075" s="40" t="s">
        <v>5000</v>
      </c>
      <c r="I1075" s="38" t="s">
        <v>5001</v>
      </c>
      <c r="J1075" s="38" t="s">
        <v>16</v>
      </c>
      <c r="K1075" s="38" t="s">
        <v>5002</v>
      </c>
      <c r="L1075" s="38" t="s">
        <v>53</v>
      </c>
      <c r="M1075" s="37" t="s">
        <v>104</v>
      </c>
      <c r="N1075" s="39" t="n">
        <v>42373</v>
      </c>
      <c r="O1075" s="41" t="s">
        <v>23</v>
      </c>
      <c r="P1075" s="41" t="s">
        <v>105</v>
      </c>
      <c r="Q1075" s="42"/>
      <c r="R1075" s="41"/>
      <c r="S1075" s="42"/>
      <c r="T1075" s="41"/>
    </row>
    <row r="1076" customFormat="false" ht="13.5" hidden="false" customHeight="true" outlineLevel="0" collapsed="false">
      <c r="A1076" s="37" t="n">
        <v>1073</v>
      </c>
      <c r="B1076" s="37" t="n">
        <v>3350</v>
      </c>
      <c r="C1076" s="38" t="s">
        <v>5003</v>
      </c>
      <c r="D1076" s="37" t="s">
        <v>100</v>
      </c>
      <c r="E1076" s="39" t="n">
        <v>26434</v>
      </c>
      <c r="F1076" s="37" t="n">
        <f aca="true">IFERROR(DATEDIF(E1076,TODAY(),"Y"),"")</f>
        <v>54</v>
      </c>
      <c r="G1076" s="40" t="s">
        <v>5004</v>
      </c>
      <c r="H1076" s="40"/>
      <c r="I1076" s="38" t="s">
        <v>5005</v>
      </c>
      <c r="J1076" s="38" t="s">
        <v>15</v>
      </c>
      <c r="K1076" s="38" t="s">
        <v>5006</v>
      </c>
      <c r="L1076" s="43" t="s">
        <v>58</v>
      </c>
      <c r="M1076" s="37" t="s">
        <v>120</v>
      </c>
      <c r="N1076" s="39" t="n">
        <v>42383</v>
      </c>
      <c r="O1076" s="41" t="s">
        <v>23</v>
      </c>
      <c r="P1076" s="41" t="s">
        <v>105</v>
      </c>
      <c r="Q1076" s="42"/>
      <c r="R1076" s="41"/>
      <c r="S1076" s="42"/>
      <c r="T1076" s="41"/>
    </row>
    <row r="1077" customFormat="false" ht="13.5" hidden="false" customHeight="true" outlineLevel="0" collapsed="false">
      <c r="A1077" s="37" t="n">
        <v>1074</v>
      </c>
      <c r="B1077" s="37" t="n">
        <v>3352</v>
      </c>
      <c r="C1077" s="38" t="s">
        <v>5007</v>
      </c>
      <c r="D1077" s="37" t="s">
        <v>100</v>
      </c>
      <c r="E1077" s="39" t="n">
        <v>32684</v>
      </c>
      <c r="F1077" s="37" t="n">
        <f aca="true">IFERROR(DATEDIF(E1077,TODAY(),"Y"),"")</f>
        <v>37</v>
      </c>
      <c r="G1077" s="40" t="s">
        <v>5008</v>
      </c>
      <c r="H1077" s="40"/>
      <c r="I1077" s="38" t="s">
        <v>5009</v>
      </c>
      <c r="J1077" s="38" t="s">
        <v>15</v>
      </c>
      <c r="K1077" s="38" t="s">
        <v>5010</v>
      </c>
      <c r="L1077" s="38" t="s">
        <v>43</v>
      </c>
      <c r="M1077" s="37" t="s">
        <v>120</v>
      </c>
      <c r="N1077" s="39" t="n">
        <v>42383</v>
      </c>
      <c r="O1077" s="41" t="s">
        <v>23</v>
      </c>
      <c r="P1077" s="41" t="s">
        <v>105</v>
      </c>
      <c r="Q1077" s="42"/>
      <c r="R1077" s="41"/>
      <c r="S1077" s="42"/>
      <c r="T1077" s="41"/>
    </row>
    <row r="1078" customFormat="false" ht="13.5" hidden="false" customHeight="true" outlineLevel="0" collapsed="false">
      <c r="A1078" s="37" t="n">
        <v>1075</v>
      </c>
      <c r="B1078" s="37" t="n">
        <v>3353</v>
      </c>
      <c r="C1078" s="38" t="s">
        <v>5011</v>
      </c>
      <c r="D1078" s="37" t="s">
        <v>100</v>
      </c>
      <c r="E1078" s="39" t="n">
        <v>24539</v>
      </c>
      <c r="F1078" s="37" t="n">
        <f aca="true">IFERROR(DATEDIF(E1078,TODAY(),"Y"),"")</f>
        <v>59</v>
      </c>
      <c r="G1078" s="40" t="s">
        <v>5012</v>
      </c>
      <c r="H1078" s="40"/>
      <c r="I1078" s="38" t="s">
        <v>5013</v>
      </c>
      <c r="J1078" s="38" t="s">
        <v>15</v>
      </c>
      <c r="K1078" s="38" t="s">
        <v>5014</v>
      </c>
      <c r="L1078" s="38" t="s">
        <v>47</v>
      </c>
      <c r="M1078" s="37" t="s">
        <v>120</v>
      </c>
      <c r="N1078" s="39" t="n">
        <v>42385</v>
      </c>
      <c r="O1078" s="41" t="s">
        <v>23</v>
      </c>
      <c r="P1078" s="41" t="s">
        <v>105</v>
      </c>
      <c r="Q1078" s="42"/>
      <c r="R1078" s="41"/>
      <c r="S1078" s="42"/>
      <c r="T1078" s="41"/>
    </row>
    <row r="1079" customFormat="false" ht="13.5" hidden="false" customHeight="true" outlineLevel="0" collapsed="false">
      <c r="A1079" s="37" t="n">
        <v>1076</v>
      </c>
      <c r="B1079" s="37" t="n">
        <v>3355</v>
      </c>
      <c r="C1079" s="38" t="s">
        <v>5015</v>
      </c>
      <c r="D1079" s="37" t="s">
        <v>100</v>
      </c>
      <c r="E1079" s="39" t="n">
        <v>30930</v>
      </c>
      <c r="F1079" s="37" t="n">
        <f aca="true">IFERROR(DATEDIF(E1079,TODAY(),"Y"),"")</f>
        <v>41</v>
      </c>
      <c r="G1079" s="40" t="s">
        <v>5016</v>
      </c>
      <c r="H1079" s="40" t="s">
        <v>5017</v>
      </c>
      <c r="I1079" s="38" t="s">
        <v>5018</v>
      </c>
      <c r="J1079" s="38" t="s">
        <v>16</v>
      </c>
      <c r="K1079" s="38" t="s">
        <v>5019</v>
      </c>
      <c r="L1079" s="38" t="s">
        <v>53</v>
      </c>
      <c r="M1079" s="37" t="s">
        <v>177</v>
      </c>
      <c r="N1079" s="39" t="n">
        <v>42385</v>
      </c>
      <c r="O1079" s="41" t="s">
        <v>23</v>
      </c>
      <c r="P1079" s="41" t="s">
        <v>105</v>
      </c>
      <c r="Q1079" s="42"/>
      <c r="R1079" s="41"/>
      <c r="S1079" s="42"/>
      <c r="T1079" s="41"/>
    </row>
    <row r="1080" customFormat="false" ht="13.5" hidden="false" customHeight="true" outlineLevel="0" collapsed="false">
      <c r="A1080" s="37" t="n">
        <v>1077</v>
      </c>
      <c r="B1080" s="37" t="n">
        <v>3356</v>
      </c>
      <c r="C1080" s="38" t="s">
        <v>5020</v>
      </c>
      <c r="D1080" s="37" t="s">
        <v>100</v>
      </c>
      <c r="E1080" s="39" t="n">
        <v>34333</v>
      </c>
      <c r="F1080" s="37" t="n">
        <f aca="true">IFERROR(DATEDIF(E1080,TODAY(),"Y"),"")</f>
        <v>32</v>
      </c>
      <c r="G1080" s="40" t="s">
        <v>5021</v>
      </c>
      <c r="H1080" s="40" t="s">
        <v>5022</v>
      </c>
      <c r="I1080" s="38" t="s">
        <v>5023</v>
      </c>
      <c r="J1080" s="38" t="s">
        <v>15</v>
      </c>
      <c r="K1080" s="38" t="s">
        <v>5024</v>
      </c>
      <c r="L1080" s="38" t="s">
        <v>55</v>
      </c>
      <c r="M1080" s="37" t="s">
        <v>120</v>
      </c>
      <c r="N1080" s="39" t="n">
        <v>42385</v>
      </c>
      <c r="O1080" s="41" t="s">
        <v>23</v>
      </c>
      <c r="P1080" s="41" t="s">
        <v>105</v>
      </c>
      <c r="Q1080" s="42"/>
      <c r="R1080" s="41"/>
      <c r="S1080" s="42"/>
      <c r="T1080" s="41"/>
    </row>
    <row r="1081" customFormat="false" ht="13.5" hidden="false" customHeight="true" outlineLevel="0" collapsed="false">
      <c r="A1081" s="37" t="n">
        <v>1078</v>
      </c>
      <c r="B1081" s="37" t="n">
        <v>3358</v>
      </c>
      <c r="C1081" s="38" t="s">
        <v>4017</v>
      </c>
      <c r="D1081" s="37" t="s">
        <v>100</v>
      </c>
      <c r="E1081" s="39" t="n">
        <v>27867</v>
      </c>
      <c r="F1081" s="37" t="n">
        <f aca="true">IFERROR(DATEDIF(E1081,TODAY(),"Y"),"")</f>
        <v>50</v>
      </c>
      <c r="G1081" s="40" t="s">
        <v>5025</v>
      </c>
      <c r="H1081" s="40" t="s">
        <v>5026</v>
      </c>
      <c r="I1081" s="38" t="s">
        <v>5027</v>
      </c>
      <c r="J1081" s="38" t="s">
        <v>15</v>
      </c>
      <c r="K1081" s="38" t="s">
        <v>5028</v>
      </c>
      <c r="L1081" s="38" t="s">
        <v>53</v>
      </c>
      <c r="M1081" s="37" t="s">
        <v>104</v>
      </c>
      <c r="N1081" s="39" t="n">
        <v>42394</v>
      </c>
      <c r="O1081" s="41" t="s">
        <v>23</v>
      </c>
      <c r="P1081" s="41" t="s">
        <v>105</v>
      </c>
      <c r="Q1081" s="42"/>
      <c r="R1081" s="41"/>
      <c r="S1081" s="42"/>
      <c r="T1081" s="41"/>
    </row>
    <row r="1082" customFormat="false" ht="13.5" hidden="false" customHeight="true" outlineLevel="0" collapsed="false">
      <c r="A1082" s="37" t="n">
        <v>1079</v>
      </c>
      <c r="B1082" s="37" t="n">
        <v>3359</v>
      </c>
      <c r="C1082" s="38" t="s">
        <v>5029</v>
      </c>
      <c r="D1082" s="37" t="s">
        <v>100</v>
      </c>
      <c r="E1082" s="39" t="n">
        <v>26764</v>
      </c>
      <c r="F1082" s="37" t="n">
        <f aca="true">IFERROR(DATEDIF(E1082,TODAY(),"Y"),"")</f>
        <v>53</v>
      </c>
      <c r="G1082" s="40" t="s">
        <v>5030</v>
      </c>
      <c r="H1082" s="40"/>
      <c r="I1082" s="38" t="s">
        <v>5031</v>
      </c>
      <c r="J1082" s="38" t="s">
        <v>18</v>
      </c>
      <c r="K1082" s="38" t="s">
        <v>5032</v>
      </c>
      <c r="L1082" s="38" t="s">
        <v>47</v>
      </c>
      <c r="M1082" s="37" t="s">
        <v>120</v>
      </c>
      <c r="N1082" s="39" t="n">
        <v>42394</v>
      </c>
      <c r="O1082" s="41" t="s">
        <v>23</v>
      </c>
      <c r="P1082" s="41" t="s">
        <v>105</v>
      </c>
      <c r="Q1082" s="42"/>
      <c r="R1082" s="41"/>
      <c r="S1082" s="42"/>
      <c r="T1082" s="41"/>
    </row>
    <row r="1083" customFormat="false" ht="13.5" hidden="false" customHeight="true" outlineLevel="0" collapsed="false">
      <c r="A1083" s="37" t="n">
        <v>1080</v>
      </c>
      <c r="B1083" s="37" t="n">
        <v>3360</v>
      </c>
      <c r="C1083" s="38" t="s">
        <v>5033</v>
      </c>
      <c r="D1083" s="37" t="s">
        <v>100</v>
      </c>
      <c r="E1083" s="39" t="n">
        <v>34140</v>
      </c>
      <c r="F1083" s="37" t="n">
        <f aca="true">IFERROR(DATEDIF(E1083,TODAY(),"Y"),"")</f>
        <v>33</v>
      </c>
      <c r="G1083" s="40" t="s">
        <v>5034</v>
      </c>
      <c r="H1083" s="40"/>
      <c r="I1083" s="38"/>
      <c r="J1083" s="38" t="s">
        <v>15</v>
      </c>
      <c r="K1083" s="38" t="s">
        <v>5035</v>
      </c>
      <c r="L1083" s="38" t="s">
        <v>55</v>
      </c>
      <c r="M1083" s="37" t="s">
        <v>177</v>
      </c>
      <c r="N1083" s="39" t="n">
        <v>42394</v>
      </c>
      <c r="O1083" s="41" t="s">
        <v>23</v>
      </c>
      <c r="P1083" s="41" t="s">
        <v>105</v>
      </c>
      <c r="Q1083" s="42"/>
      <c r="R1083" s="41"/>
      <c r="S1083" s="42"/>
      <c r="T1083" s="41"/>
    </row>
    <row r="1084" customFormat="false" ht="13.5" hidden="false" customHeight="true" outlineLevel="0" collapsed="false">
      <c r="A1084" s="37" t="n">
        <v>1081</v>
      </c>
      <c r="B1084" s="37" t="n">
        <v>3361</v>
      </c>
      <c r="C1084" s="38" t="s">
        <v>5036</v>
      </c>
      <c r="D1084" s="37" t="s">
        <v>100</v>
      </c>
      <c r="E1084" s="39" t="n">
        <v>27911</v>
      </c>
      <c r="F1084" s="37" t="n">
        <f aca="true">IFERROR(DATEDIF(E1084,TODAY(),"Y"),"")</f>
        <v>50</v>
      </c>
      <c r="G1084" s="40" t="s">
        <v>5037</v>
      </c>
      <c r="H1084" s="40"/>
      <c r="I1084" s="38" t="s">
        <v>5038</v>
      </c>
      <c r="J1084" s="38" t="s">
        <v>18</v>
      </c>
      <c r="K1084" s="38" t="s">
        <v>5039</v>
      </c>
      <c r="L1084" s="38" t="s">
        <v>47</v>
      </c>
      <c r="M1084" s="37" t="s">
        <v>104</v>
      </c>
      <c r="N1084" s="39" t="n">
        <v>42396</v>
      </c>
      <c r="O1084" s="41" t="s">
        <v>23</v>
      </c>
      <c r="P1084" s="41" t="s">
        <v>105</v>
      </c>
      <c r="Q1084" s="42"/>
      <c r="R1084" s="41"/>
      <c r="S1084" s="42"/>
      <c r="T1084" s="41"/>
    </row>
    <row r="1085" customFormat="false" ht="13.5" hidden="false" customHeight="true" outlineLevel="0" collapsed="false">
      <c r="A1085" s="37" t="n">
        <v>1082</v>
      </c>
      <c r="B1085" s="37" t="n">
        <v>3362</v>
      </c>
      <c r="C1085" s="38" t="s">
        <v>5040</v>
      </c>
      <c r="D1085" s="37" t="s">
        <v>100</v>
      </c>
      <c r="E1085" s="39" t="n">
        <v>23887</v>
      </c>
      <c r="F1085" s="37" t="n">
        <f aca="true">IFERROR(DATEDIF(E1085,TODAY(),"Y"),"")</f>
        <v>61</v>
      </c>
      <c r="G1085" s="40" t="s">
        <v>5041</v>
      </c>
      <c r="H1085" s="40"/>
      <c r="I1085" s="38" t="s">
        <v>5042</v>
      </c>
      <c r="J1085" s="38" t="s">
        <v>15</v>
      </c>
      <c r="K1085" s="38" t="s">
        <v>5043</v>
      </c>
      <c r="L1085" s="38" t="s">
        <v>43</v>
      </c>
      <c r="M1085" s="37" t="s">
        <v>120</v>
      </c>
      <c r="N1085" s="39" t="n">
        <v>42399</v>
      </c>
      <c r="O1085" s="41" t="s">
        <v>23</v>
      </c>
      <c r="P1085" s="41" t="s">
        <v>105</v>
      </c>
      <c r="Q1085" s="42"/>
      <c r="R1085" s="41"/>
      <c r="S1085" s="42"/>
      <c r="T1085" s="41"/>
    </row>
    <row r="1086" customFormat="false" ht="13.5" hidden="false" customHeight="true" outlineLevel="0" collapsed="false">
      <c r="A1086" s="37" t="n">
        <v>1083</v>
      </c>
      <c r="B1086" s="37" t="n">
        <v>3364</v>
      </c>
      <c r="C1086" s="38" t="s">
        <v>5044</v>
      </c>
      <c r="D1086" s="37" t="s">
        <v>100</v>
      </c>
      <c r="E1086" s="39" t="n">
        <v>25712</v>
      </c>
      <c r="F1086" s="37" t="n">
        <f aca="true">IFERROR(DATEDIF(E1086,TODAY(),"Y"),"")</f>
        <v>56</v>
      </c>
      <c r="G1086" s="40" t="s">
        <v>5045</v>
      </c>
      <c r="H1086" s="40"/>
      <c r="I1086" s="38" t="s">
        <v>5046</v>
      </c>
      <c r="J1086" s="38" t="s">
        <v>15</v>
      </c>
      <c r="K1086" s="38" t="s">
        <v>5047</v>
      </c>
      <c r="L1086" s="38" t="s">
        <v>54</v>
      </c>
      <c r="M1086" s="37"/>
      <c r="N1086" s="39" t="n">
        <v>42402</v>
      </c>
      <c r="O1086" s="41" t="s">
        <v>23</v>
      </c>
      <c r="P1086" s="41" t="s">
        <v>105</v>
      </c>
      <c r="Q1086" s="42"/>
      <c r="R1086" s="41"/>
      <c r="S1086" s="42"/>
      <c r="T1086" s="41"/>
    </row>
    <row r="1087" customFormat="false" ht="13.5" hidden="false" customHeight="true" outlineLevel="0" collapsed="false">
      <c r="A1087" s="37" t="n">
        <v>1084</v>
      </c>
      <c r="B1087" s="37" t="n">
        <v>3365</v>
      </c>
      <c r="C1087" s="38" t="s">
        <v>5048</v>
      </c>
      <c r="D1087" s="37" t="s">
        <v>100</v>
      </c>
      <c r="E1087" s="39" t="n">
        <v>31288</v>
      </c>
      <c r="F1087" s="37" t="n">
        <f aca="true">IFERROR(DATEDIF(E1087,TODAY(),"Y"),"")</f>
        <v>40</v>
      </c>
      <c r="G1087" s="40" t="s">
        <v>5049</v>
      </c>
      <c r="H1087" s="40" t="s">
        <v>5050</v>
      </c>
      <c r="I1087" s="38" t="s">
        <v>5051</v>
      </c>
      <c r="J1087" s="38" t="s">
        <v>16</v>
      </c>
      <c r="K1087" s="38" t="s">
        <v>5052</v>
      </c>
      <c r="L1087" s="38" t="s">
        <v>55</v>
      </c>
      <c r="M1087" s="37" t="s">
        <v>177</v>
      </c>
      <c r="N1087" s="39" t="n">
        <v>42403</v>
      </c>
      <c r="O1087" s="41" t="s">
        <v>23</v>
      </c>
      <c r="P1087" s="41" t="s">
        <v>105</v>
      </c>
      <c r="Q1087" s="42"/>
      <c r="R1087" s="41"/>
      <c r="S1087" s="42"/>
      <c r="T1087" s="41"/>
    </row>
    <row r="1088" customFormat="false" ht="13.5" hidden="false" customHeight="true" outlineLevel="0" collapsed="false">
      <c r="A1088" s="37" t="n">
        <v>1085</v>
      </c>
      <c r="B1088" s="37" t="n">
        <v>3366</v>
      </c>
      <c r="C1088" s="38" t="s">
        <v>5053</v>
      </c>
      <c r="D1088" s="37" t="s">
        <v>100</v>
      </c>
      <c r="E1088" s="39" t="n">
        <v>25708</v>
      </c>
      <c r="F1088" s="37" t="n">
        <f aca="true">IFERROR(DATEDIF(E1088,TODAY(),"Y"),"")</f>
        <v>56</v>
      </c>
      <c r="G1088" s="40" t="s">
        <v>5054</v>
      </c>
      <c r="H1088" s="40" t="s">
        <v>5055</v>
      </c>
      <c r="I1088" s="38" t="s">
        <v>5056</v>
      </c>
      <c r="J1088" s="38" t="s">
        <v>15</v>
      </c>
      <c r="K1088" s="38" t="s">
        <v>5057</v>
      </c>
      <c r="L1088" s="38" t="s">
        <v>55</v>
      </c>
      <c r="M1088" s="37" t="s">
        <v>120</v>
      </c>
      <c r="N1088" s="39" t="n">
        <v>42403</v>
      </c>
      <c r="O1088" s="41" t="s">
        <v>23</v>
      </c>
      <c r="P1088" s="41" t="s">
        <v>105</v>
      </c>
      <c r="Q1088" s="42"/>
      <c r="R1088" s="41"/>
      <c r="S1088" s="42"/>
      <c r="T1088" s="41"/>
    </row>
    <row r="1089" customFormat="false" ht="13.5" hidden="false" customHeight="true" outlineLevel="0" collapsed="false">
      <c r="A1089" s="37" t="n">
        <v>1086</v>
      </c>
      <c r="B1089" s="37" t="n">
        <v>3367</v>
      </c>
      <c r="C1089" s="38" t="s">
        <v>5058</v>
      </c>
      <c r="D1089" s="37" t="s">
        <v>100</v>
      </c>
      <c r="E1089" s="39" t="n">
        <v>22520</v>
      </c>
      <c r="F1089" s="37" t="n">
        <f aca="true">IFERROR(DATEDIF(E1089,TODAY(),"Y"),"")</f>
        <v>64</v>
      </c>
      <c r="G1089" s="40" t="s">
        <v>5059</v>
      </c>
      <c r="H1089" s="40"/>
      <c r="I1089" s="38" t="s">
        <v>5060</v>
      </c>
      <c r="J1089" s="38" t="s">
        <v>16</v>
      </c>
      <c r="K1089" s="38" t="s">
        <v>5061</v>
      </c>
      <c r="L1089" s="38" t="s">
        <v>48</v>
      </c>
      <c r="M1089" s="37"/>
      <c r="N1089" s="39" t="n">
        <v>42406</v>
      </c>
      <c r="O1089" s="41" t="s">
        <v>23</v>
      </c>
      <c r="P1089" s="41" t="s">
        <v>105</v>
      </c>
      <c r="Q1089" s="42"/>
      <c r="R1089" s="41"/>
      <c r="S1089" s="42"/>
      <c r="T1089" s="41"/>
    </row>
    <row r="1090" customFormat="false" ht="13.5" hidden="false" customHeight="true" outlineLevel="0" collapsed="false">
      <c r="A1090" s="37" t="n">
        <v>1087</v>
      </c>
      <c r="B1090" s="37" t="n">
        <v>3368</v>
      </c>
      <c r="C1090" s="38" t="s">
        <v>5062</v>
      </c>
      <c r="D1090" s="37" t="s">
        <v>100</v>
      </c>
      <c r="E1090" s="39" t="n">
        <v>22847</v>
      </c>
      <c r="F1090" s="37" t="n">
        <f aca="true">IFERROR(DATEDIF(E1090,TODAY(),"Y"),"")</f>
        <v>64</v>
      </c>
      <c r="G1090" s="40" t="s">
        <v>5063</v>
      </c>
      <c r="H1090" s="40"/>
      <c r="I1090" s="38" t="s">
        <v>5064</v>
      </c>
      <c r="J1090" s="38" t="s">
        <v>15</v>
      </c>
      <c r="K1090" s="38" t="s">
        <v>5065</v>
      </c>
      <c r="L1090" s="38" t="s">
        <v>48</v>
      </c>
      <c r="M1090" s="37" t="s">
        <v>177</v>
      </c>
      <c r="N1090" s="39" t="n">
        <v>42409</v>
      </c>
      <c r="O1090" s="41" t="s">
        <v>23</v>
      </c>
      <c r="P1090" s="41" t="s">
        <v>105</v>
      </c>
      <c r="Q1090" s="42"/>
      <c r="R1090" s="41"/>
      <c r="S1090" s="42"/>
      <c r="T1090" s="41"/>
    </row>
    <row r="1091" customFormat="false" ht="13.5" hidden="false" customHeight="true" outlineLevel="0" collapsed="false">
      <c r="A1091" s="37" t="n">
        <v>1088</v>
      </c>
      <c r="B1091" s="37" t="n">
        <v>3370</v>
      </c>
      <c r="C1091" s="38" t="s">
        <v>5066</v>
      </c>
      <c r="D1091" s="37" t="s">
        <v>100</v>
      </c>
      <c r="E1091" s="39" t="n">
        <v>24607</v>
      </c>
      <c r="F1091" s="37" t="n">
        <f aca="true">IFERROR(DATEDIF(E1091,TODAY(),"Y"),"")</f>
        <v>59</v>
      </c>
      <c r="G1091" s="40" t="s">
        <v>5067</v>
      </c>
      <c r="H1091" s="40"/>
      <c r="I1091" s="38" t="s">
        <v>5068</v>
      </c>
      <c r="J1091" s="38" t="s">
        <v>15</v>
      </c>
      <c r="K1091" s="38" t="s">
        <v>5069</v>
      </c>
      <c r="L1091" s="38" t="s">
        <v>46</v>
      </c>
      <c r="M1091" s="37" t="s">
        <v>120</v>
      </c>
      <c r="N1091" s="39" t="n">
        <v>42418</v>
      </c>
      <c r="O1091" s="41" t="s">
        <v>23</v>
      </c>
      <c r="P1091" s="41" t="s">
        <v>105</v>
      </c>
      <c r="Q1091" s="42"/>
      <c r="R1091" s="41"/>
      <c r="S1091" s="42"/>
      <c r="T1091" s="41"/>
    </row>
    <row r="1092" customFormat="false" ht="13.5" hidden="false" customHeight="true" outlineLevel="0" collapsed="false">
      <c r="A1092" s="37" t="n">
        <v>1089</v>
      </c>
      <c r="B1092" s="37" t="n">
        <v>3371</v>
      </c>
      <c r="C1092" s="38" t="s">
        <v>5070</v>
      </c>
      <c r="D1092" s="37" t="s">
        <v>100</v>
      </c>
      <c r="E1092" s="39" t="n">
        <v>29366</v>
      </c>
      <c r="F1092" s="37" t="n">
        <f aca="true">IFERROR(DATEDIF(E1092,TODAY(),"Y"),"")</f>
        <v>46</v>
      </c>
      <c r="G1092" s="40" t="s">
        <v>5071</v>
      </c>
      <c r="H1092" s="40"/>
      <c r="I1092" s="38" t="s">
        <v>5072</v>
      </c>
      <c r="J1092" s="38" t="s">
        <v>15</v>
      </c>
      <c r="K1092" s="38" t="s">
        <v>5073</v>
      </c>
      <c r="L1092" s="38" t="s">
        <v>48</v>
      </c>
      <c r="M1092" s="37" t="s">
        <v>120</v>
      </c>
      <c r="N1092" s="39" t="n">
        <v>42425</v>
      </c>
      <c r="O1092" s="41" t="s">
        <v>23</v>
      </c>
      <c r="P1092" s="41" t="s">
        <v>105</v>
      </c>
      <c r="Q1092" s="42"/>
      <c r="R1092" s="41"/>
      <c r="S1092" s="42"/>
      <c r="T1092" s="41"/>
    </row>
    <row r="1093" customFormat="false" ht="13.5" hidden="false" customHeight="true" outlineLevel="0" collapsed="false">
      <c r="A1093" s="37" t="n">
        <v>1090</v>
      </c>
      <c r="B1093" s="37" t="n">
        <v>3373</v>
      </c>
      <c r="C1093" s="38" t="s">
        <v>5074</v>
      </c>
      <c r="D1093" s="37" t="s">
        <v>100</v>
      </c>
      <c r="E1093" s="39" t="n">
        <v>27905</v>
      </c>
      <c r="F1093" s="37" t="n">
        <f aca="true">IFERROR(DATEDIF(E1093,TODAY(),"Y"),"")</f>
        <v>50</v>
      </c>
      <c r="G1093" s="40" t="s">
        <v>5075</v>
      </c>
      <c r="H1093" s="40" t="s">
        <v>5076</v>
      </c>
      <c r="I1093" s="38" t="s">
        <v>5077</v>
      </c>
      <c r="J1093" s="38" t="s">
        <v>15</v>
      </c>
      <c r="K1093" s="38" t="s">
        <v>5078</v>
      </c>
      <c r="L1093" s="38" t="s">
        <v>46</v>
      </c>
      <c r="M1093" s="37" t="s">
        <v>788</v>
      </c>
      <c r="N1093" s="39" t="n">
        <v>42427</v>
      </c>
      <c r="O1093" s="41" t="s">
        <v>23</v>
      </c>
      <c r="P1093" s="41" t="s">
        <v>105</v>
      </c>
      <c r="Q1093" s="42"/>
      <c r="R1093" s="41"/>
      <c r="S1093" s="42"/>
      <c r="T1093" s="41"/>
    </row>
    <row r="1094" customFormat="false" ht="13.5" hidden="false" customHeight="true" outlineLevel="0" collapsed="false">
      <c r="A1094" s="37" t="n">
        <v>1091</v>
      </c>
      <c r="B1094" s="37" t="n">
        <v>3374</v>
      </c>
      <c r="C1094" s="38" t="s">
        <v>5079</v>
      </c>
      <c r="D1094" s="37" t="s">
        <v>100</v>
      </c>
      <c r="E1094" s="39" t="n">
        <v>23479</v>
      </c>
      <c r="F1094" s="37" t="n">
        <f aca="true">IFERROR(DATEDIF(E1094,TODAY(),"Y"),"")</f>
        <v>62</v>
      </c>
      <c r="G1094" s="40" t="s">
        <v>5080</v>
      </c>
      <c r="H1094" s="40"/>
      <c r="I1094" s="38" t="s">
        <v>5081</v>
      </c>
      <c r="J1094" s="38" t="s">
        <v>22</v>
      </c>
      <c r="K1094" s="38" t="s">
        <v>5082</v>
      </c>
      <c r="L1094" s="38" t="s">
        <v>47</v>
      </c>
      <c r="M1094" s="37"/>
      <c r="N1094" s="39" t="n">
        <v>29221</v>
      </c>
      <c r="O1094" s="41" t="s">
        <v>23</v>
      </c>
      <c r="P1094" s="41" t="s">
        <v>105</v>
      </c>
      <c r="Q1094" s="42"/>
      <c r="R1094" s="41"/>
      <c r="S1094" s="42"/>
      <c r="T1094" s="41"/>
    </row>
    <row r="1095" customFormat="false" ht="13.5" hidden="false" customHeight="true" outlineLevel="0" collapsed="false">
      <c r="A1095" s="37" t="n">
        <v>1092</v>
      </c>
      <c r="B1095" s="37" t="n">
        <v>3376</v>
      </c>
      <c r="C1095" s="38" t="s">
        <v>5083</v>
      </c>
      <c r="D1095" s="37" t="s">
        <v>100</v>
      </c>
      <c r="E1095" s="39" t="n">
        <v>25719</v>
      </c>
      <c r="F1095" s="37" t="n">
        <f aca="true">IFERROR(DATEDIF(E1095,TODAY(),"Y"),"")</f>
        <v>56</v>
      </c>
      <c r="G1095" s="40" t="s">
        <v>5084</v>
      </c>
      <c r="H1095" s="40"/>
      <c r="I1095" s="38" t="s">
        <v>5085</v>
      </c>
      <c r="J1095" s="38" t="s">
        <v>15</v>
      </c>
      <c r="K1095" s="38" t="s">
        <v>5086</v>
      </c>
      <c r="L1095" s="38" t="s">
        <v>54</v>
      </c>
      <c r="M1095" s="37" t="s">
        <v>120</v>
      </c>
      <c r="N1095" s="39" t="n">
        <v>42430</v>
      </c>
      <c r="O1095" s="41" t="s">
        <v>23</v>
      </c>
      <c r="P1095" s="41" t="s">
        <v>105</v>
      </c>
      <c r="Q1095" s="42"/>
      <c r="R1095" s="41"/>
      <c r="S1095" s="42"/>
      <c r="T1095" s="41"/>
    </row>
    <row r="1096" customFormat="false" ht="13.5" hidden="false" customHeight="true" outlineLevel="0" collapsed="false">
      <c r="A1096" s="37" t="n">
        <v>1093</v>
      </c>
      <c r="B1096" s="37" t="n">
        <v>3377</v>
      </c>
      <c r="C1096" s="38" t="s">
        <v>5087</v>
      </c>
      <c r="D1096" s="37" t="s">
        <v>100</v>
      </c>
      <c r="E1096" s="39" t="n">
        <v>33330</v>
      </c>
      <c r="F1096" s="37" t="n">
        <f aca="true">IFERROR(DATEDIF(E1096,TODAY(),"Y"),"")</f>
        <v>35</v>
      </c>
      <c r="G1096" s="40" t="s">
        <v>5088</v>
      </c>
      <c r="H1096" s="40"/>
      <c r="I1096" s="38" t="s">
        <v>5089</v>
      </c>
      <c r="J1096" s="38" t="s">
        <v>15</v>
      </c>
      <c r="K1096" s="38" t="s">
        <v>5090</v>
      </c>
      <c r="L1096" s="38" t="s">
        <v>48</v>
      </c>
      <c r="M1096" s="37" t="s">
        <v>120</v>
      </c>
      <c r="N1096" s="39" t="n">
        <v>42432</v>
      </c>
      <c r="O1096" s="41" t="s">
        <v>23</v>
      </c>
      <c r="P1096" s="41" t="s">
        <v>105</v>
      </c>
      <c r="Q1096" s="42"/>
      <c r="R1096" s="41"/>
      <c r="S1096" s="42"/>
      <c r="T1096" s="41"/>
    </row>
    <row r="1097" customFormat="false" ht="13.5" hidden="false" customHeight="true" outlineLevel="0" collapsed="false">
      <c r="A1097" s="37" t="n">
        <v>1094</v>
      </c>
      <c r="B1097" s="37" t="n">
        <v>3378</v>
      </c>
      <c r="C1097" s="38" t="s">
        <v>5091</v>
      </c>
      <c r="D1097" s="37" t="s">
        <v>100</v>
      </c>
      <c r="E1097" s="39" t="n">
        <v>25287</v>
      </c>
      <c r="F1097" s="37" t="n">
        <f aca="true">IFERROR(DATEDIF(E1097,TODAY(),"Y"),"")</f>
        <v>57</v>
      </c>
      <c r="G1097" s="40" t="s">
        <v>5092</v>
      </c>
      <c r="H1097" s="40"/>
      <c r="I1097" s="38" t="s">
        <v>5093</v>
      </c>
      <c r="J1097" s="38" t="s">
        <v>15</v>
      </c>
      <c r="K1097" s="38" t="s">
        <v>5094</v>
      </c>
      <c r="L1097" s="38" t="s">
        <v>50</v>
      </c>
      <c r="M1097" s="37" t="s">
        <v>177</v>
      </c>
      <c r="N1097" s="39" t="n">
        <v>42450</v>
      </c>
      <c r="O1097" s="41" t="s">
        <v>23</v>
      </c>
      <c r="P1097" s="41" t="s">
        <v>105</v>
      </c>
      <c r="Q1097" s="42"/>
      <c r="R1097" s="41"/>
      <c r="S1097" s="42"/>
      <c r="T1097" s="41"/>
    </row>
    <row r="1098" customFormat="false" ht="13.5" hidden="false" customHeight="true" outlineLevel="0" collapsed="false">
      <c r="A1098" s="37" t="n">
        <v>1095</v>
      </c>
      <c r="B1098" s="37" t="n">
        <v>3379</v>
      </c>
      <c r="C1098" s="38" t="s">
        <v>5095</v>
      </c>
      <c r="D1098" s="37" t="s">
        <v>100</v>
      </c>
      <c r="E1098" s="39" t="n">
        <v>20048</v>
      </c>
      <c r="F1098" s="37" t="n">
        <f aca="true">IFERROR(DATEDIF(E1098,TODAY(),"Y"),"")</f>
        <v>71</v>
      </c>
      <c r="G1098" s="40" t="s">
        <v>5096</v>
      </c>
      <c r="H1098" s="40"/>
      <c r="I1098" s="38" t="s">
        <v>5097</v>
      </c>
      <c r="J1098" s="38" t="s">
        <v>15</v>
      </c>
      <c r="K1098" s="38" t="s">
        <v>5098</v>
      </c>
      <c r="L1098" s="38" t="s">
        <v>49</v>
      </c>
      <c r="M1098" s="37" t="s">
        <v>120</v>
      </c>
      <c r="N1098" s="39" t="n">
        <v>42452</v>
      </c>
      <c r="O1098" s="41" t="s">
        <v>23</v>
      </c>
      <c r="P1098" s="41" t="s">
        <v>105</v>
      </c>
      <c r="Q1098" s="42"/>
      <c r="R1098" s="41"/>
      <c r="S1098" s="42"/>
      <c r="T1098" s="41"/>
    </row>
    <row r="1099" customFormat="false" ht="13.5" hidden="false" customHeight="true" outlineLevel="0" collapsed="false">
      <c r="A1099" s="37" t="n">
        <v>1096</v>
      </c>
      <c r="B1099" s="37" t="n">
        <v>3380</v>
      </c>
      <c r="C1099" s="38" t="s">
        <v>5099</v>
      </c>
      <c r="D1099" s="37" t="s">
        <v>100</v>
      </c>
      <c r="E1099" s="39" t="n">
        <v>31154</v>
      </c>
      <c r="F1099" s="37" t="n">
        <f aca="true">IFERROR(DATEDIF(E1099,TODAY(),"Y"),"")</f>
        <v>41</v>
      </c>
      <c r="G1099" s="40" t="s">
        <v>5100</v>
      </c>
      <c r="H1099" s="40"/>
      <c r="I1099" s="38" t="s">
        <v>5101</v>
      </c>
      <c r="J1099" s="38" t="s">
        <v>15</v>
      </c>
      <c r="K1099" s="38" t="s">
        <v>5102</v>
      </c>
      <c r="L1099" s="43" t="s">
        <v>58</v>
      </c>
      <c r="M1099" s="37" t="s">
        <v>120</v>
      </c>
      <c r="N1099" s="39" t="n">
        <v>42452</v>
      </c>
      <c r="O1099" s="41" t="s">
        <v>23</v>
      </c>
      <c r="P1099" s="41" t="s">
        <v>105</v>
      </c>
      <c r="Q1099" s="42"/>
      <c r="R1099" s="41"/>
      <c r="S1099" s="42"/>
      <c r="T1099" s="41"/>
    </row>
    <row r="1100" customFormat="false" ht="13.5" hidden="false" customHeight="true" outlineLevel="0" collapsed="false">
      <c r="A1100" s="37" t="n">
        <v>1097</v>
      </c>
      <c r="B1100" s="37" t="n">
        <v>3381</v>
      </c>
      <c r="C1100" s="38" t="s">
        <v>5103</v>
      </c>
      <c r="D1100" s="37" t="s">
        <v>100</v>
      </c>
      <c r="E1100" s="39" t="n">
        <v>33303</v>
      </c>
      <c r="F1100" s="37" t="n">
        <f aca="true">IFERROR(DATEDIF(E1100,TODAY(),"Y"),"")</f>
        <v>35</v>
      </c>
      <c r="G1100" s="40" t="s">
        <v>5104</v>
      </c>
      <c r="H1100" s="40"/>
      <c r="I1100" s="38" t="s">
        <v>5105</v>
      </c>
      <c r="J1100" s="38" t="s">
        <v>15</v>
      </c>
      <c r="K1100" s="38" t="s">
        <v>5106</v>
      </c>
      <c r="L1100" s="38" t="s">
        <v>54</v>
      </c>
      <c r="M1100" s="37" t="s">
        <v>120</v>
      </c>
      <c r="N1100" s="39" t="n">
        <v>42453</v>
      </c>
      <c r="O1100" s="41" t="s">
        <v>23</v>
      </c>
      <c r="P1100" s="41" t="s">
        <v>105</v>
      </c>
      <c r="Q1100" s="42"/>
      <c r="R1100" s="41"/>
      <c r="S1100" s="42"/>
      <c r="T1100" s="41"/>
    </row>
    <row r="1101" customFormat="false" ht="13.5" hidden="false" customHeight="true" outlineLevel="0" collapsed="false">
      <c r="A1101" s="37" t="n">
        <v>1098</v>
      </c>
      <c r="B1101" s="37" t="n">
        <v>3382</v>
      </c>
      <c r="C1101" s="38" t="s">
        <v>5107</v>
      </c>
      <c r="D1101" s="37" t="s">
        <v>100</v>
      </c>
      <c r="E1101" s="39" t="n">
        <v>32484</v>
      </c>
      <c r="F1101" s="37" t="n">
        <f aca="true">IFERROR(DATEDIF(E1101,TODAY(),"Y"),"")</f>
        <v>37</v>
      </c>
      <c r="G1101" s="40" t="s">
        <v>5108</v>
      </c>
      <c r="H1101" s="40"/>
      <c r="I1101" s="38" t="s">
        <v>5109</v>
      </c>
      <c r="J1101" s="38" t="s">
        <v>16</v>
      </c>
      <c r="K1101" s="38" t="s">
        <v>5110</v>
      </c>
      <c r="L1101" s="38" t="s">
        <v>46</v>
      </c>
      <c r="M1101" s="37" t="s">
        <v>104</v>
      </c>
      <c r="N1101" s="39" t="n">
        <v>42459</v>
      </c>
      <c r="O1101" s="41" t="s">
        <v>23</v>
      </c>
      <c r="P1101" s="41" t="s">
        <v>105</v>
      </c>
      <c r="Q1101" s="42"/>
      <c r="R1101" s="41"/>
      <c r="S1101" s="42"/>
      <c r="T1101" s="41"/>
    </row>
    <row r="1102" customFormat="false" ht="13.5" hidden="false" customHeight="true" outlineLevel="0" collapsed="false">
      <c r="A1102" s="37" t="n">
        <v>1099</v>
      </c>
      <c r="B1102" s="37" t="n">
        <v>3383</v>
      </c>
      <c r="C1102" s="38" t="s">
        <v>5111</v>
      </c>
      <c r="D1102" s="37" t="s">
        <v>100</v>
      </c>
      <c r="E1102" s="39" t="n">
        <v>26937</v>
      </c>
      <c r="F1102" s="37" t="n">
        <f aca="true">IFERROR(DATEDIF(E1102,TODAY(),"Y"),"")</f>
        <v>52</v>
      </c>
      <c r="G1102" s="40" t="s">
        <v>5112</v>
      </c>
      <c r="H1102" s="40"/>
      <c r="I1102" s="38" t="s">
        <v>5113</v>
      </c>
      <c r="J1102" s="38" t="s">
        <v>15</v>
      </c>
      <c r="K1102" s="38" t="s">
        <v>5114</v>
      </c>
      <c r="L1102" s="38" t="s">
        <v>52</v>
      </c>
      <c r="M1102" s="37" t="s">
        <v>104</v>
      </c>
      <c r="N1102" s="39" t="n">
        <v>42462</v>
      </c>
      <c r="O1102" s="41" t="s">
        <v>23</v>
      </c>
      <c r="P1102" s="41" t="s">
        <v>105</v>
      </c>
      <c r="Q1102" s="42"/>
      <c r="R1102" s="41"/>
      <c r="S1102" s="42"/>
      <c r="T1102" s="41"/>
    </row>
    <row r="1103" customFormat="false" ht="13.5" hidden="false" customHeight="true" outlineLevel="0" collapsed="false">
      <c r="A1103" s="37" t="n">
        <v>1100</v>
      </c>
      <c r="B1103" s="37" t="n">
        <v>3384</v>
      </c>
      <c r="C1103" s="38" t="s">
        <v>5115</v>
      </c>
      <c r="D1103" s="37" t="s">
        <v>100</v>
      </c>
      <c r="E1103" s="39" t="n">
        <v>25713</v>
      </c>
      <c r="F1103" s="37" t="n">
        <f aca="true">IFERROR(DATEDIF(E1103,TODAY(),"Y"),"")</f>
        <v>56</v>
      </c>
      <c r="G1103" s="40" t="s">
        <v>5116</v>
      </c>
      <c r="H1103" s="40"/>
      <c r="I1103" s="38" t="s">
        <v>5117</v>
      </c>
      <c r="J1103" s="38" t="s">
        <v>15</v>
      </c>
      <c r="K1103" s="38" t="s">
        <v>5118</v>
      </c>
      <c r="L1103" s="38" t="s">
        <v>47</v>
      </c>
      <c r="M1103" s="37" t="s">
        <v>120</v>
      </c>
      <c r="N1103" s="39" t="n">
        <v>42462</v>
      </c>
      <c r="O1103" s="41" t="s">
        <v>23</v>
      </c>
      <c r="P1103" s="41" t="s">
        <v>105</v>
      </c>
      <c r="Q1103" s="42"/>
      <c r="R1103" s="41"/>
      <c r="S1103" s="42"/>
      <c r="T1103" s="41"/>
    </row>
    <row r="1104" customFormat="false" ht="13.5" hidden="false" customHeight="true" outlineLevel="0" collapsed="false">
      <c r="A1104" s="37" t="n">
        <v>1101</v>
      </c>
      <c r="B1104" s="37" t="n">
        <v>3385</v>
      </c>
      <c r="C1104" s="38" t="s">
        <v>5119</v>
      </c>
      <c r="D1104" s="37" t="s">
        <v>100</v>
      </c>
      <c r="E1104" s="39" t="n">
        <v>26013</v>
      </c>
      <c r="F1104" s="37" t="n">
        <f aca="true">IFERROR(DATEDIF(E1104,TODAY(),"Y"),"")</f>
        <v>55</v>
      </c>
      <c r="G1104" s="40" t="s">
        <v>5120</v>
      </c>
      <c r="H1104" s="40"/>
      <c r="I1104" s="38" t="s">
        <v>5121</v>
      </c>
      <c r="J1104" s="38" t="s">
        <v>15</v>
      </c>
      <c r="K1104" s="38" t="s">
        <v>5122</v>
      </c>
      <c r="L1104" s="38" t="s">
        <v>52</v>
      </c>
      <c r="M1104" s="37" t="s">
        <v>104</v>
      </c>
      <c r="N1104" s="39" t="n">
        <v>42464</v>
      </c>
      <c r="O1104" s="41" t="s">
        <v>23</v>
      </c>
      <c r="P1104" s="41" t="s">
        <v>105</v>
      </c>
      <c r="Q1104" s="42"/>
      <c r="R1104" s="41"/>
      <c r="S1104" s="42"/>
      <c r="T1104" s="41"/>
    </row>
    <row r="1105" customFormat="false" ht="13.5" hidden="false" customHeight="true" outlineLevel="0" collapsed="false">
      <c r="A1105" s="37" t="n">
        <v>1102</v>
      </c>
      <c r="B1105" s="37" t="n">
        <v>3386</v>
      </c>
      <c r="C1105" s="38" t="s">
        <v>5123</v>
      </c>
      <c r="D1105" s="37" t="s">
        <v>100</v>
      </c>
      <c r="E1105" s="39" t="n">
        <v>33763</v>
      </c>
      <c r="F1105" s="37" t="n">
        <f aca="true">IFERROR(DATEDIF(E1105,TODAY(),"Y"),"")</f>
        <v>34</v>
      </c>
      <c r="G1105" s="40" t="s">
        <v>5124</v>
      </c>
      <c r="H1105" s="40"/>
      <c r="I1105" s="38" t="s">
        <v>5125</v>
      </c>
      <c r="J1105" s="38" t="s">
        <v>15</v>
      </c>
      <c r="K1105" s="38" t="s">
        <v>5126</v>
      </c>
      <c r="L1105" s="38" t="s">
        <v>49</v>
      </c>
      <c r="M1105" s="37" t="s">
        <v>120</v>
      </c>
      <c r="N1105" s="39" t="n">
        <v>42465</v>
      </c>
      <c r="O1105" s="41" t="s">
        <v>23</v>
      </c>
      <c r="P1105" s="41" t="s">
        <v>105</v>
      </c>
      <c r="Q1105" s="42"/>
      <c r="R1105" s="41"/>
      <c r="S1105" s="42"/>
      <c r="T1105" s="41"/>
    </row>
    <row r="1106" customFormat="false" ht="13.5" hidden="false" customHeight="true" outlineLevel="0" collapsed="false">
      <c r="A1106" s="37" t="n">
        <v>1103</v>
      </c>
      <c r="B1106" s="37" t="n">
        <v>3387</v>
      </c>
      <c r="C1106" s="38" t="s">
        <v>5127</v>
      </c>
      <c r="D1106" s="37" t="s">
        <v>100</v>
      </c>
      <c r="E1106" s="39" t="n">
        <v>29139</v>
      </c>
      <c r="F1106" s="37" t="n">
        <f aca="true">IFERROR(DATEDIF(E1106,TODAY(),"Y"),"")</f>
        <v>46</v>
      </c>
      <c r="G1106" s="40" t="s">
        <v>5128</v>
      </c>
      <c r="H1106" s="40"/>
      <c r="I1106" s="38" t="s">
        <v>5129</v>
      </c>
      <c r="J1106" s="38" t="s">
        <v>16</v>
      </c>
      <c r="K1106" s="38" t="s">
        <v>5130</v>
      </c>
      <c r="L1106" s="43" t="s">
        <v>58</v>
      </c>
      <c r="M1106" s="37" t="s">
        <v>788</v>
      </c>
      <c r="N1106" s="39" t="n">
        <v>42476</v>
      </c>
      <c r="O1106" s="41" t="s">
        <v>23</v>
      </c>
      <c r="P1106" s="41" t="s">
        <v>105</v>
      </c>
      <c r="Q1106" s="42"/>
      <c r="R1106" s="41"/>
      <c r="S1106" s="42"/>
      <c r="T1106" s="41"/>
    </row>
    <row r="1107" customFormat="false" ht="13.5" hidden="false" customHeight="true" outlineLevel="0" collapsed="false">
      <c r="A1107" s="37" t="n">
        <v>1104</v>
      </c>
      <c r="B1107" s="37" t="n">
        <v>3388</v>
      </c>
      <c r="C1107" s="38" t="s">
        <v>5131</v>
      </c>
      <c r="D1107" s="37" t="s">
        <v>100</v>
      </c>
      <c r="E1107" s="39" t="n">
        <v>30292</v>
      </c>
      <c r="F1107" s="37" t="n">
        <f aca="true">IFERROR(DATEDIF(E1107,TODAY(),"Y"),"")</f>
        <v>43</v>
      </c>
      <c r="G1107" s="40" t="s">
        <v>5132</v>
      </c>
      <c r="H1107" s="40" t="s">
        <v>5133</v>
      </c>
      <c r="I1107" s="38" t="s">
        <v>5134</v>
      </c>
      <c r="J1107" s="38" t="s">
        <v>18</v>
      </c>
      <c r="K1107" s="38" t="s">
        <v>5135</v>
      </c>
      <c r="L1107" s="38" t="s">
        <v>55</v>
      </c>
      <c r="M1107" s="37" t="s">
        <v>177</v>
      </c>
      <c r="N1107" s="39" t="n">
        <v>42479</v>
      </c>
      <c r="O1107" s="41" t="s">
        <v>23</v>
      </c>
      <c r="P1107" s="41" t="s">
        <v>105</v>
      </c>
      <c r="Q1107" s="42"/>
      <c r="R1107" s="41"/>
      <c r="S1107" s="42"/>
      <c r="T1107" s="41"/>
    </row>
    <row r="1108" customFormat="false" ht="13.5" hidden="false" customHeight="true" outlineLevel="0" collapsed="false">
      <c r="A1108" s="37" t="n">
        <v>1105</v>
      </c>
      <c r="B1108" s="37" t="n">
        <v>3390</v>
      </c>
      <c r="C1108" s="38" t="s">
        <v>5136</v>
      </c>
      <c r="D1108" s="37" t="s">
        <v>100</v>
      </c>
      <c r="E1108" s="39" t="n">
        <v>25686</v>
      </c>
      <c r="F1108" s="37" t="n">
        <f aca="true">IFERROR(DATEDIF(E1108,TODAY(),"Y"),"")</f>
        <v>56</v>
      </c>
      <c r="G1108" s="40" t="s">
        <v>5137</v>
      </c>
      <c r="H1108" s="40" t="s">
        <v>5138</v>
      </c>
      <c r="I1108" s="38" t="s">
        <v>5139</v>
      </c>
      <c r="J1108" s="38" t="s">
        <v>15</v>
      </c>
      <c r="K1108" s="38" t="s">
        <v>5140</v>
      </c>
      <c r="L1108" s="38" t="s">
        <v>48</v>
      </c>
      <c r="M1108" s="37" t="s">
        <v>177</v>
      </c>
      <c r="N1108" s="39" t="n">
        <v>42487</v>
      </c>
      <c r="O1108" s="41" t="s">
        <v>23</v>
      </c>
      <c r="P1108" s="41" t="s">
        <v>105</v>
      </c>
      <c r="Q1108" s="42"/>
      <c r="R1108" s="41"/>
      <c r="S1108" s="42"/>
      <c r="T1108" s="41"/>
    </row>
    <row r="1109" customFormat="false" ht="13.5" hidden="false" customHeight="true" outlineLevel="0" collapsed="false">
      <c r="A1109" s="37" t="n">
        <v>1106</v>
      </c>
      <c r="B1109" s="37" t="n">
        <v>3391</v>
      </c>
      <c r="C1109" s="38" t="s">
        <v>5141</v>
      </c>
      <c r="D1109" s="37" t="s">
        <v>100</v>
      </c>
      <c r="E1109" s="39" t="n">
        <v>20743</v>
      </c>
      <c r="F1109" s="37" t="n">
        <f aca="true">IFERROR(DATEDIF(E1109,TODAY(),"Y"),"")</f>
        <v>69</v>
      </c>
      <c r="G1109" s="40" t="s">
        <v>5142</v>
      </c>
      <c r="H1109" s="40" t="s">
        <v>5143</v>
      </c>
      <c r="I1109" s="38"/>
      <c r="J1109" s="38" t="s">
        <v>15</v>
      </c>
      <c r="K1109" s="38" t="s">
        <v>5144</v>
      </c>
      <c r="L1109" s="38" t="s">
        <v>53</v>
      </c>
      <c r="M1109" s="37" t="s">
        <v>120</v>
      </c>
      <c r="N1109" s="39" t="n">
        <v>42487</v>
      </c>
      <c r="O1109" s="41" t="s">
        <v>23</v>
      </c>
      <c r="P1109" s="41" t="s">
        <v>105</v>
      </c>
      <c r="Q1109" s="42"/>
      <c r="R1109" s="41"/>
      <c r="S1109" s="42"/>
      <c r="T1109" s="41"/>
    </row>
    <row r="1110" customFormat="false" ht="13.5" hidden="false" customHeight="true" outlineLevel="0" collapsed="false">
      <c r="A1110" s="37" t="n">
        <v>1107</v>
      </c>
      <c r="B1110" s="37" t="n">
        <v>3392</v>
      </c>
      <c r="C1110" s="38" t="s">
        <v>5145</v>
      </c>
      <c r="D1110" s="37" t="s">
        <v>100</v>
      </c>
      <c r="E1110" s="39" t="n">
        <v>24198</v>
      </c>
      <c r="F1110" s="37" t="n">
        <f aca="true">IFERROR(DATEDIF(E1110,TODAY(),"Y"),"")</f>
        <v>60</v>
      </c>
      <c r="G1110" s="40" t="s">
        <v>5146</v>
      </c>
      <c r="H1110" s="40"/>
      <c r="I1110" s="38" t="s">
        <v>5147</v>
      </c>
      <c r="J1110" s="38" t="s">
        <v>15</v>
      </c>
      <c r="K1110" s="38" t="s">
        <v>5148</v>
      </c>
      <c r="L1110" s="38" t="s">
        <v>43</v>
      </c>
      <c r="M1110" s="37" t="s">
        <v>120</v>
      </c>
      <c r="N1110" s="39" t="n">
        <v>42497</v>
      </c>
      <c r="O1110" s="41" t="s">
        <v>23</v>
      </c>
      <c r="P1110" s="41" t="s">
        <v>105</v>
      </c>
      <c r="Q1110" s="42"/>
      <c r="R1110" s="41"/>
      <c r="S1110" s="42"/>
      <c r="T1110" s="41"/>
    </row>
    <row r="1111" customFormat="false" ht="13.5" hidden="false" customHeight="true" outlineLevel="0" collapsed="false">
      <c r="A1111" s="37" t="n">
        <v>1108</v>
      </c>
      <c r="B1111" s="37" t="n">
        <v>3393</v>
      </c>
      <c r="C1111" s="38" t="s">
        <v>5149</v>
      </c>
      <c r="D1111" s="37" t="s">
        <v>100</v>
      </c>
      <c r="E1111" s="39" t="n">
        <v>23870</v>
      </c>
      <c r="F1111" s="37" t="n">
        <f aca="true">IFERROR(DATEDIF(E1111,TODAY(),"Y"),"")</f>
        <v>61</v>
      </c>
      <c r="G1111" s="40" t="s">
        <v>5150</v>
      </c>
      <c r="H1111" s="40" t="s">
        <v>5151</v>
      </c>
      <c r="I1111" s="38" t="s">
        <v>5152</v>
      </c>
      <c r="J1111" s="38" t="s">
        <v>15</v>
      </c>
      <c r="K1111" s="38" t="s">
        <v>5153</v>
      </c>
      <c r="L1111" s="38" t="s">
        <v>48</v>
      </c>
      <c r="M1111" s="37" t="s">
        <v>120</v>
      </c>
      <c r="N1111" s="39" t="n">
        <v>42500</v>
      </c>
      <c r="O1111" s="41" t="s">
        <v>23</v>
      </c>
      <c r="P1111" s="41" t="s">
        <v>105</v>
      </c>
      <c r="Q1111" s="42"/>
      <c r="R1111" s="41"/>
      <c r="S1111" s="42"/>
      <c r="T1111" s="41"/>
    </row>
    <row r="1112" customFormat="false" ht="13.5" hidden="false" customHeight="true" outlineLevel="0" collapsed="false">
      <c r="A1112" s="37" t="n">
        <v>1109</v>
      </c>
      <c r="B1112" s="37" t="n">
        <v>3394</v>
      </c>
      <c r="C1112" s="38" t="s">
        <v>5154</v>
      </c>
      <c r="D1112" s="37" t="s">
        <v>100</v>
      </c>
      <c r="E1112" s="39" t="n">
        <v>23082</v>
      </c>
      <c r="F1112" s="37" t="n">
        <f aca="true">IFERROR(DATEDIF(E1112,TODAY(),"Y"),"")</f>
        <v>63</v>
      </c>
      <c r="G1112" s="40" t="s">
        <v>5155</v>
      </c>
      <c r="H1112" s="40"/>
      <c r="I1112" s="38" t="s">
        <v>5156</v>
      </c>
      <c r="J1112" s="38" t="s">
        <v>16</v>
      </c>
      <c r="K1112" s="38" t="s">
        <v>5157</v>
      </c>
      <c r="L1112" s="38" t="s">
        <v>54</v>
      </c>
      <c r="M1112" s="37"/>
      <c r="N1112" s="39" t="n">
        <v>42502</v>
      </c>
      <c r="O1112" s="41" t="s">
        <v>23</v>
      </c>
      <c r="P1112" s="41" t="s">
        <v>105</v>
      </c>
      <c r="Q1112" s="42"/>
      <c r="R1112" s="41"/>
      <c r="S1112" s="42"/>
      <c r="T1112" s="41"/>
    </row>
    <row r="1113" customFormat="false" ht="13.5" hidden="false" customHeight="true" outlineLevel="0" collapsed="false">
      <c r="A1113" s="37" t="n">
        <v>1110</v>
      </c>
      <c r="B1113" s="37" t="n">
        <v>3395</v>
      </c>
      <c r="C1113" s="38" t="s">
        <v>5158</v>
      </c>
      <c r="D1113" s="37" t="s">
        <v>100</v>
      </c>
      <c r="E1113" s="39" t="n">
        <v>31140</v>
      </c>
      <c r="F1113" s="37" t="n">
        <f aca="true">IFERROR(DATEDIF(E1113,TODAY(),"Y"),"")</f>
        <v>41</v>
      </c>
      <c r="G1113" s="40" t="s">
        <v>5159</v>
      </c>
      <c r="H1113" s="40"/>
      <c r="I1113" s="38" t="s">
        <v>5160</v>
      </c>
      <c r="J1113" s="38" t="s">
        <v>16</v>
      </c>
      <c r="K1113" s="38" t="s">
        <v>5161</v>
      </c>
      <c r="L1113" s="38" t="s">
        <v>47</v>
      </c>
      <c r="M1113" s="37" t="s">
        <v>120</v>
      </c>
      <c r="N1113" s="39" t="n">
        <v>42505</v>
      </c>
      <c r="O1113" s="41" t="s">
        <v>23</v>
      </c>
      <c r="P1113" s="41" t="s">
        <v>105</v>
      </c>
      <c r="Q1113" s="42"/>
      <c r="R1113" s="41"/>
      <c r="S1113" s="42"/>
      <c r="T1113" s="41"/>
    </row>
    <row r="1114" customFormat="false" ht="13.5" hidden="false" customHeight="true" outlineLevel="0" collapsed="false">
      <c r="A1114" s="37" t="n">
        <v>1111</v>
      </c>
      <c r="B1114" s="37" t="n">
        <v>3397</v>
      </c>
      <c r="C1114" s="38" t="s">
        <v>5162</v>
      </c>
      <c r="D1114" s="37" t="s">
        <v>100</v>
      </c>
      <c r="E1114" s="39" t="n">
        <v>28130</v>
      </c>
      <c r="F1114" s="37" t="n">
        <f aca="true">IFERROR(DATEDIF(E1114,TODAY(),"Y"),"")</f>
        <v>49</v>
      </c>
      <c r="G1114" s="40" t="s">
        <v>5163</v>
      </c>
      <c r="H1114" s="40"/>
      <c r="I1114" s="38" t="s">
        <v>5164</v>
      </c>
      <c r="J1114" s="38" t="s">
        <v>15</v>
      </c>
      <c r="K1114" s="38" t="s">
        <v>5165</v>
      </c>
      <c r="L1114" s="38" t="s">
        <v>55</v>
      </c>
      <c r="M1114" s="37" t="s">
        <v>177</v>
      </c>
      <c r="N1114" s="39" t="n">
        <v>42521</v>
      </c>
      <c r="O1114" s="41" t="s">
        <v>23</v>
      </c>
      <c r="P1114" s="41" t="s">
        <v>105</v>
      </c>
      <c r="Q1114" s="42"/>
      <c r="R1114" s="41"/>
      <c r="S1114" s="42"/>
      <c r="T1114" s="41"/>
    </row>
    <row r="1115" customFormat="false" ht="13.5" hidden="false" customHeight="true" outlineLevel="0" collapsed="false">
      <c r="A1115" s="37" t="n">
        <v>1112</v>
      </c>
      <c r="B1115" s="37" t="n">
        <v>3398</v>
      </c>
      <c r="C1115" s="38" t="s">
        <v>5166</v>
      </c>
      <c r="D1115" s="37" t="s">
        <v>100</v>
      </c>
      <c r="E1115" s="39" t="n">
        <v>28722</v>
      </c>
      <c r="F1115" s="37" t="n">
        <f aca="true">IFERROR(DATEDIF(E1115,TODAY(),"Y"),"")</f>
        <v>47</v>
      </c>
      <c r="G1115" s="40" t="s">
        <v>5167</v>
      </c>
      <c r="H1115" s="40"/>
      <c r="I1115" s="38" t="s">
        <v>5168</v>
      </c>
      <c r="J1115" s="38" t="s">
        <v>18</v>
      </c>
      <c r="K1115" s="38" t="s">
        <v>5169</v>
      </c>
      <c r="L1115" s="38" t="s">
        <v>44</v>
      </c>
      <c r="M1115" s="37" t="s">
        <v>177</v>
      </c>
      <c r="N1115" s="39" t="n">
        <v>42523</v>
      </c>
      <c r="O1115" s="41" t="s">
        <v>23</v>
      </c>
      <c r="P1115" s="41" t="s">
        <v>105</v>
      </c>
      <c r="Q1115" s="42"/>
      <c r="R1115" s="41"/>
      <c r="S1115" s="42"/>
      <c r="T1115" s="41"/>
    </row>
    <row r="1116" customFormat="false" ht="13.5" hidden="false" customHeight="true" outlineLevel="0" collapsed="false">
      <c r="A1116" s="37" t="n">
        <v>1113</v>
      </c>
      <c r="B1116" s="37" t="n">
        <v>3399</v>
      </c>
      <c r="C1116" s="38" t="s">
        <v>5170</v>
      </c>
      <c r="D1116" s="37" t="s">
        <v>100</v>
      </c>
      <c r="E1116" s="39" t="n">
        <v>27460</v>
      </c>
      <c r="F1116" s="37" t="n">
        <f aca="true">IFERROR(DATEDIF(E1116,TODAY(),"Y"),"")</f>
        <v>51</v>
      </c>
      <c r="G1116" s="40" t="s">
        <v>5171</v>
      </c>
      <c r="H1116" s="40"/>
      <c r="I1116" s="38" t="s">
        <v>5172</v>
      </c>
      <c r="J1116" s="38" t="s">
        <v>15</v>
      </c>
      <c r="K1116" s="38" t="s">
        <v>5173</v>
      </c>
      <c r="L1116" s="38" t="s">
        <v>50</v>
      </c>
      <c r="M1116" s="37"/>
      <c r="N1116" s="39" t="n">
        <v>42533</v>
      </c>
      <c r="O1116" s="41" t="s">
        <v>23</v>
      </c>
      <c r="P1116" s="41" t="s">
        <v>105</v>
      </c>
      <c r="Q1116" s="42"/>
      <c r="R1116" s="41"/>
      <c r="S1116" s="42"/>
      <c r="T1116" s="41"/>
    </row>
    <row r="1117" customFormat="false" ht="13.5" hidden="false" customHeight="true" outlineLevel="0" collapsed="false">
      <c r="A1117" s="37" t="n">
        <v>1114</v>
      </c>
      <c r="B1117" s="37" t="n">
        <v>3400</v>
      </c>
      <c r="C1117" s="38" t="s">
        <v>5174</v>
      </c>
      <c r="D1117" s="37" t="s">
        <v>100</v>
      </c>
      <c r="E1117" s="39" t="n">
        <v>22454</v>
      </c>
      <c r="F1117" s="37" t="n">
        <f aca="true">IFERROR(DATEDIF(E1117,TODAY(),"Y"),"")</f>
        <v>65</v>
      </c>
      <c r="G1117" s="40" t="s">
        <v>5175</v>
      </c>
      <c r="H1117" s="40"/>
      <c r="I1117" s="38" t="s">
        <v>5176</v>
      </c>
      <c r="J1117" s="38" t="s">
        <v>16</v>
      </c>
      <c r="K1117" s="38" t="s">
        <v>5177</v>
      </c>
      <c r="L1117" s="38" t="s">
        <v>46</v>
      </c>
      <c r="M1117" s="37" t="s">
        <v>120</v>
      </c>
      <c r="N1117" s="39" t="n">
        <v>42537</v>
      </c>
      <c r="O1117" s="41" t="s">
        <v>23</v>
      </c>
      <c r="P1117" s="41" t="s">
        <v>105</v>
      </c>
      <c r="Q1117" s="42"/>
      <c r="R1117" s="41"/>
      <c r="S1117" s="42"/>
      <c r="T1117" s="41"/>
    </row>
    <row r="1118" customFormat="false" ht="13.5" hidden="false" customHeight="true" outlineLevel="0" collapsed="false">
      <c r="A1118" s="37" t="n">
        <v>1115</v>
      </c>
      <c r="B1118" s="37" t="n">
        <v>3401</v>
      </c>
      <c r="C1118" s="38" t="s">
        <v>5178</v>
      </c>
      <c r="D1118" s="37" t="s">
        <v>100</v>
      </c>
      <c r="E1118" s="39" t="n">
        <v>25696</v>
      </c>
      <c r="F1118" s="37" t="n">
        <f aca="true">IFERROR(DATEDIF(E1118,TODAY(),"Y"),"")</f>
        <v>56</v>
      </c>
      <c r="G1118" s="40" t="s">
        <v>5179</v>
      </c>
      <c r="H1118" s="40" t="s">
        <v>5180</v>
      </c>
      <c r="I1118" s="38" t="s">
        <v>5181</v>
      </c>
      <c r="J1118" s="38" t="s">
        <v>16</v>
      </c>
      <c r="K1118" s="38" t="s">
        <v>5182</v>
      </c>
      <c r="L1118" s="38" t="s">
        <v>53</v>
      </c>
      <c r="M1118" s="37" t="s">
        <v>177</v>
      </c>
      <c r="N1118" s="39" t="n">
        <v>42537</v>
      </c>
      <c r="O1118" s="41" t="s">
        <v>23</v>
      </c>
      <c r="P1118" s="41" t="s">
        <v>105</v>
      </c>
      <c r="Q1118" s="42"/>
      <c r="R1118" s="41"/>
      <c r="S1118" s="42"/>
      <c r="T1118" s="41"/>
    </row>
    <row r="1119" customFormat="false" ht="13.5" hidden="false" customHeight="true" outlineLevel="0" collapsed="false">
      <c r="A1119" s="37" t="n">
        <v>1116</v>
      </c>
      <c r="B1119" s="37" t="n">
        <v>3402</v>
      </c>
      <c r="C1119" s="38" t="s">
        <v>5183</v>
      </c>
      <c r="D1119" s="37" t="s">
        <v>100</v>
      </c>
      <c r="E1119" s="39" t="n">
        <v>22804</v>
      </c>
      <c r="F1119" s="37" t="n">
        <f aca="true">IFERROR(DATEDIF(E1119,TODAY(),"Y"),"")</f>
        <v>64</v>
      </c>
      <c r="G1119" s="40" t="s">
        <v>5184</v>
      </c>
      <c r="H1119" s="40"/>
      <c r="I1119" s="38" t="s">
        <v>5185</v>
      </c>
      <c r="J1119" s="38" t="s">
        <v>15</v>
      </c>
      <c r="K1119" s="38" t="s">
        <v>5186</v>
      </c>
      <c r="L1119" s="38" t="s">
        <v>48</v>
      </c>
      <c r="M1119" s="37" t="s">
        <v>177</v>
      </c>
      <c r="N1119" s="39" t="n">
        <v>42537</v>
      </c>
      <c r="O1119" s="41" t="s">
        <v>23</v>
      </c>
      <c r="P1119" s="41" t="s">
        <v>105</v>
      </c>
      <c r="Q1119" s="42"/>
      <c r="R1119" s="41"/>
      <c r="S1119" s="42"/>
      <c r="T1119" s="41"/>
    </row>
    <row r="1120" customFormat="false" ht="13.5" hidden="false" customHeight="true" outlineLevel="0" collapsed="false">
      <c r="A1120" s="37" t="n">
        <v>1117</v>
      </c>
      <c r="B1120" s="37" t="n">
        <v>3404</v>
      </c>
      <c r="C1120" s="38" t="s">
        <v>5187</v>
      </c>
      <c r="D1120" s="37" t="s">
        <v>100</v>
      </c>
      <c r="E1120" s="39" t="n">
        <v>30775</v>
      </c>
      <c r="F1120" s="37" t="n">
        <f aca="true">IFERROR(DATEDIF(E1120,TODAY(),"Y"),"")</f>
        <v>42</v>
      </c>
      <c r="G1120" s="40" t="s">
        <v>5188</v>
      </c>
      <c r="H1120" s="40" t="s">
        <v>5189</v>
      </c>
      <c r="I1120" s="38" t="s">
        <v>5190</v>
      </c>
      <c r="J1120" s="38" t="s">
        <v>15</v>
      </c>
      <c r="K1120" s="38" t="s">
        <v>5191</v>
      </c>
      <c r="L1120" s="38" t="s">
        <v>55</v>
      </c>
      <c r="M1120" s="37" t="s">
        <v>104</v>
      </c>
      <c r="N1120" s="39" t="n">
        <v>42548</v>
      </c>
      <c r="O1120" s="41" t="s">
        <v>23</v>
      </c>
      <c r="P1120" s="41" t="s">
        <v>105</v>
      </c>
      <c r="Q1120" s="42"/>
      <c r="R1120" s="41"/>
      <c r="S1120" s="42"/>
      <c r="T1120" s="41"/>
    </row>
    <row r="1121" customFormat="false" ht="13.5" hidden="false" customHeight="true" outlineLevel="0" collapsed="false">
      <c r="A1121" s="37" t="n">
        <v>1118</v>
      </c>
      <c r="B1121" s="37" t="n">
        <v>3405</v>
      </c>
      <c r="C1121" s="38" t="s">
        <v>5192</v>
      </c>
      <c r="D1121" s="37" t="s">
        <v>100</v>
      </c>
      <c r="E1121" s="39" t="n">
        <v>25579</v>
      </c>
      <c r="F1121" s="37" t="n">
        <f aca="true">IFERROR(DATEDIF(E1121,TODAY(),"Y"),"")</f>
        <v>56</v>
      </c>
      <c r="G1121" s="40" t="s">
        <v>5193</v>
      </c>
      <c r="H1121" s="40" t="s">
        <v>5194</v>
      </c>
      <c r="I1121" s="38" t="s">
        <v>5195</v>
      </c>
      <c r="J1121" s="38" t="s">
        <v>15</v>
      </c>
      <c r="K1121" s="38" t="s">
        <v>5196</v>
      </c>
      <c r="L1121" s="38" t="s">
        <v>51</v>
      </c>
      <c r="M1121" s="37" t="s">
        <v>104</v>
      </c>
      <c r="N1121" s="39" t="n">
        <v>42548</v>
      </c>
      <c r="O1121" s="41" t="s">
        <v>23</v>
      </c>
      <c r="P1121" s="41" t="s">
        <v>105</v>
      </c>
      <c r="Q1121" s="42"/>
      <c r="R1121" s="41"/>
      <c r="S1121" s="42"/>
      <c r="T1121" s="41"/>
    </row>
    <row r="1122" customFormat="false" ht="13.5" hidden="false" customHeight="true" outlineLevel="0" collapsed="false">
      <c r="A1122" s="37" t="n">
        <v>1119</v>
      </c>
      <c r="B1122" s="37" t="n">
        <v>3406</v>
      </c>
      <c r="C1122" s="38" t="s">
        <v>5197</v>
      </c>
      <c r="D1122" s="37" t="s">
        <v>100</v>
      </c>
      <c r="E1122" s="39" t="n">
        <v>27164</v>
      </c>
      <c r="F1122" s="37" t="n">
        <f aca="true">IFERROR(DATEDIF(E1122,TODAY(),"Y"),"")</f>
        <v>52</v>
      </c>
      <c r="G1122" s="40" t="s">
        <v>5198</v>
      </c>
      <c r="H1122" s="40" t="s">
        <v>5199</v>
      </c>
      <c r="I1122" s="38" t="s">
        <v>5200</v>
      </c>
      <c r="J1122" s="38" t="s">
        <v>15</v>
      </c>
      <c r="K1122" s="38" t="s">
        <v>5201</v>
      </c>
      <c r="L1122" s="43" t="s">
        <v>58</v>
      </c>
      <c r="M1122" s="37" t="s">
        <v>120</v>
      </c>
      <c r="N1122" s="39" t="n">
        <v>42555</v>
      </c>
      <c r="O1122" s="41" t="s">
        <v>23</v>
      </c>
      <c r="P1122" s="41" t="s">
        <v>105</v>
      </c>
      <c r="Q1122" s="42"/>
      <c r="R1122" s="41"/>
      <c r="S1122" s="42"/>
      <c r="T1122" s="41"/>
    </row>
    <row r="1123" customFormat="false" ht="13.5" hidden="false" customHeight="true" outlineLevel="0" collapsed="false">
      <c r="A1123" s="37" t="n">
        <v>1120</v>
      </c>
      <c r="B1123" s="37" t="n">
        <v>3407</v>
      </c>
      <c r="C1123" s="38" t="s">
        <v>5202</v>
      </c>
      <c r="D1123" s="37" t="s">
        <v>100</v>
      </c>
      <c r="E1123" s="39" t="n">
        <v>31171</v>
      </c>
      <c r="F1123" s="37" t="n">
        <f aca="true">IFERROR(DATEDIF(E1123,TODAY(),"Y"),"")</f>
        <v>41</v>
      </c>
      <c r="G1123" s="40" t="s">
        <v>5203</v>
      </c>
      <c r="H1123" s="40"/>
      <c r="I1123" s="38" t="s">
        <v>5204</v>
      </c>
      <c r="J1123" s="38" t="s">
        <v>15</v>
      </c>
      <c r="K1123" s="38" t="s">
        <v>5205</v>
      </c>
      <c r="L1123" s="38" t="s">
        <v>48</v>
      </c>
      <c r="M1123" s="37" t="s">
        <v>177</v>
      </c>
      <c r="N1123" s="39" t="n">
        <v>42560</v>
      </c>
      <c r="O1123" s="41" t="s">
        <v>23</v>
      </c>
      <c r="P1123" s="41" t="s">
        <v>105</v>
      </c>
      <c r="Q1123" s="42"/>
      <c r="R1123" s="41"/>
      <c r="S1123" s="42"/>
      <c r="T1123" s="41"/>
    </row>
    <row r="1124" customFormat="false" ht="13.5" hidden="false" customHeight="true" outlineLevel="0" collapsed="false">
      <c r="A1124" s="37" t="n">
        <v>1121</v>
      </c>
      <c r="B1124" s="37" t="n">
        <v>3408</v>
      </c>
      <c r="C1124" s="38" t="s">
        <v>5206</v>
      </c>
      <c r="D1124" s="37" t="s">
        <v>100</v>
      </c>
      <c r="E1124" s="39" t="n">
        <v>23816</v>
      </c>
      <c r="F1124" s="37" t="n">
        <f aca="true">IFERROR(DATEDIF(E1124,TODAY(),"Y"),"")</f>
        <v>61</v>
      </c>
      <c r="G1124" s="40" t="s">
        <v>5207</v>
      </c>
      <c r="H1124" s="40"/>
      <c r="I1124" s="38" t="s">
        <v>5208</v>
      </c>
      <c r="J1124" s="38" t="s">
        <v>22</v>
      </c>
      <c r="K1124" s="38" t="s">
        <v>5209</v>
      </c>
      <c r="L1124" s="38" t="s">
        <v>55</v>
      </c>
      <c r="M1124" s="37" t="s">
        <v>177</v>
      </c>
      <c r="N1124" s="39" t="n">
        <v>42560</v>
      </c>
      <c r="O1124" s="41" t="s">
        <v>23</v>
      </c>
      <c r="P1124" s="41" t="s">
        <v>105</v>
      </c>
      <c r="Q1124" s="42"/>
      <c r="R1124" s="41"/>
      <c r="S1124" s="42"/>
      <c r="T1124" s="41"/>
    </row>
    <row r="1125" customFormat="false" ht="13.5" hidden="false" customHeight="true" outlineLevel="0" collapsed="false">
      <c r="A1125" s="37" t="n">
        <v>1122</v>
      </c>
      <c r="B1125" s="37" t="n">
        <v>3409</v>
      </c>
      <c r="C1125" s="38" t="s">
        <v>5210</v>
      </c>
      <c r="D1125" s="37" t="s">
        <v>100</v>
      </c>
      <c r="E1125" s="39" t="n">
        <v>27109</v>
      </c>
      <c r="F1125" s="37" t="n">
        <f aca="true">IFERROR(DATEDIF(E1125,TODAY(),"Y"),"")</f>
        <v>52</v>
      </c>
      <c r="G1125" s="40" t="s">
        <v>5211</v>
      </c>
      <c r="H1125" s="40" t="s">
        <v>5212</v>
      </c>
      <c r="I1125" s="38" t="s">
        <v>5213</v>
      </c>
      <c r="J1125" s="38" t="s">
        <v>15</v>
      </c>
      <c r="K1125" s="38" t="s">
        <v>5214</v>
      </c>
      <c r="L1125" s="38" t="s">
        <v>53</v>
      </c>
      <c r="M1125" s="37" t="s">
        <v>120</v>
      </c>
      <c r="N1125" s="39" t="n">
        <v>42563</v>
      </c>
      <c r="O1125" s="41" t="s">
        <v>23</v>
      </c>
      <c r="P1125" s="41" t="s">
        <v>105</v>
      </c>
      <c r="Q1125" s="42"/>
      <c r="R1125" s="41"/>
      <c r="S1125" s="42"/>
      <c r="T1125" s="41"/>
    </row>
    <row r="1126" customFormat="false" ht="13.5" hidden="false" customHeight="true" outlineLevel="0" collapsed="false">
      <c r="A1126" s="37" t="n">
        <v>1123</v>
      </c>
      <c r="B1126" s="37" t="n">
        <v>3410</v>
      </c>
      <c r="C1126" s="38" t="s">
        <v>5215</v>
      </c>
      <c r="D1126" s="37" t="s">
        <v>100</v>
      </c>
      <c r="E1126" s="39" t="n">
        <v>21783</v>
      </c>
      <c r="F1126" s="37" t="n">
        <f aca="true">IFERROR(DATEDIF(E1126,TODAY(),"Y"),"")</f>
        <v>66</v>
      </c>
      <c r="G1126" s="40" t="s">
        <v>5216</v>
      </c>
      <c r="H1126" s="40"/>
      <c r="I1126" s="38" t="s">
        <v>5217</v>
      </c>
      <c r="J1126" s="38" t="s">
        <v>15</v>
      </c>
      <c r="K1126" s="38" t="s">
        <v>5218</v>
      </c>
      <c r="L1126" s="38" t="s">
        <v>47</v>
      </c>
      <c r="M1126" s="37" t="s">
        <v>120</v>
      </c>
      <c r="N1126" s="39" t="n">
        <v>42564</v>
      </c>
      <c r="O1126" s="41" t="s">
        <v>23</v>
      </c>
      <c r="P1126" s="41" t="s">
        <v>105</v>
      </c>
      <c r="Q1126" s="42"/>
      <c r="R1126" s="41"/>
      <c r="S1126" s="42"/>
      <c r="T1126" s="41"/>
    </row>
    <row r="1127" customFormat="false" ht="13.5" hidden="false" customHeight="true" outlineLevel="0" collapsed="false">
      <c r="A1127" s="37" t="n">
        <v>1124</v>
      </c>
      <c r="B1127" s="37" t="n">
        <v>3411</v>
      </c>
      <c r="C1127" s="38" t="s">
        <v>5219</v>
      </c>
      <c r="D1127" s="37" t="s">
        <v>100</v>
      </c>
      <c r="E1127" s="39" t="n">
        <v>25718</v>
      </c>
      <c r="F1127" s="37" t="n">
        <f aca="true">IFERROR(DATEDIF(E1127,TODAY(),"Y"),"")</f>
        <v>56</v>
      </c>
      <c r="G1127" s="40" t="s">
        <v>5220</v>
      </c>
      <c r="H1127" s="40"/>
      <c r="I1127" s="38" t="s">
        <v>5221</v>
      </c>
      <c r="J1127" s="38" t="s">
        <v>16</v>
      </c>
      <c r="K1127" s="38" t="s">
        <v>5222</v>
      </c>
      <c r="L1127" s="38" t="s">
        <v>43</v>
      </c>
      <c r="M1127" s="37" t="s">
        <v>231</v>
      </c>
      <c r="N1127" s="39" t="n">
        <v>42568</v>
      </c>
      <c r="O1127" s="41" t="s">
        <v>23</v>
      </c>
      <c r="P1127" s="41" t="s">
        <v>105</v>
      </c>
      <c r="Q1127" s="42"/>
      <c r="R1127" s="41"/>
      <c r="S1127" s="42"/>
      <c r="T1127" s="41"/>
    </row>
    <row r="1128" customFormat="false" ht="13.5" hidden="false" customHeight="true" outlineLevel="0" collapsed="false">
      <c r="A1128" s="37" t="n">
        <v>1125</v>
      </c>
      <c r="B1128" s="37" t="n">
        <v>3412</v>
      </c>
      <c r="C1128" s="38" t="s">
        <v>5223</v>
      </c>
      <c r="D1128" s="37" t="s">
        <v>100</v>
      </c>
      <c r="E1128" s="39" t="n">
        <v>32394</v>
      </c>
      <c r="F1128" s="37" t="n">
        <f aca="true">IFERROR(DATEDIF(E1128,TODAY(),"Y"),"")</f>
        <v>37</v>
      </c>
      <c r="G1128" s="40" t="s">
        <v>5224</v>
      </c>
      <c r="H1128" s="40" t="s">
        <v>5225</v>
      </c>
      <c r="I1128" s="38" t="s">
        <v>5226</v>
      </c>
      <c r="J1128" s="38"/>
      <c r="K1128" s="38" t="s">
        <v>5227</v>
      </c>
      <c r="L1128" s="38" t="s">
        <v>48</v>
      </c>
      <c r="M1128" s="37"/>
      <c r="N1128" s="39" t="n">
        <v>42572</v>
      </c>
      <c r="O1128" s="41" t="s">
        <v>23</v>
      </c>
      <c r="P1128" s="41" t="s">
        <v>105</v>
      </c>
      <c r="Q1128" s="42"/>
      <c r="R1128" s="41"/>
      <c r="S1128" s="42"/>
      <c r="T1128" s="41"/>
    </row>
    <row r="1129" customFormat="false" ht="13.5" hidden="false" customHeight="true" outlineLevel="0" collapsed="false">
      <c r="A1129" s="37" t="n">
        <v>1126</v>
      </c>
      <c r="B1129" s="37" t="n">
        <v>3413</v>
      </c>
      <c r="C1129" s="38" t="s">
        <v>5228</v>
      </c>
      <c r="D1129" s="37" t="s">
        <v>100</v>
      </c>
      <c r="E1129" s="39" t="n">
        <v>28255</v>
      </c>
      <c r="F1129" s="37" t="n">
        <f aca="true">IFERROR(DATEDIF(E1129,TODAY(),"Y"),"")</f>
        <v>49</v>
      </c>
      <c r="G1129" s="40" t="s">
        <v>5229</v>
      </c>
      <c r="H1129" s="40"/>
      <c r="I1129" s="38" t="s">
        <v>5230</v>
      </c>
      <c r="J1129" s="38" t="s">
        <v>15</v>
      </c>
      <c r="K1129" s="38" t="s">
        <v>5231</v>
      </c>
      <c r="L1129" s="38" t="s">
        <v>48</v>
      </c>
      <c r="M1129" s="37" t="s">
        <v>120</v>
      </c>
      <c r="N1129" s="39" t="n">
        <v>42578</v>
      </c>
      <c r="O1129" s="41" t="s">
        <v>23</v>
      </c>
      <c r="P1129" s="41" t="s">
        <v>105</v>
      </c>
      <c r="Q1129" s="42"/>
      <c r="R1129" s="41"/>
      <c r="S1129" s="42"/>
      <c r="T1129" s="41"/>
    </row>
    <row r="1130" customFormat="false" ht="13.5" hidden="false" customHeight="true" outlineLevel="0" collapsed="false">
      <c r="A1130" s="37" t="n">
        <v>1127</v>
      </c>
      <c r="B1130" s="37" t="n">
        <v>3414</v>
      </c>
      <c r="C1130" s="38" t="s">
        <v>5232</v>
      </c>
      <c r="D1130" s="37" t="s">
        <v>100</v>
      </c>
      <c r="E1130" s="39" t="n">
        <v>32785</v>
      </c>
      <c r="F1130" s="37" t="n">
        <f aca="true">IFERROR(DATEDIF(E1130,TODAY(),"Y"),"")</f>
        <v>36</v>
      </c>
      <c r="G1130" s="40" t="s">
        <v>5233</v>
      </c>
      <c r="H1130" s="40" t="s">
        <v>5234</v>
      </c>
      <c r="I1130" s="38" t="s">
        <v>5235</v>
      </c>
      <c r="J1130" s="38"/>
      <c r="K1130" s="38" t="s">
        <v>5236</v>
      </c>
      <c r="L1130" s="38" t="s">
        <v>55</v>
      </c>
      <c r="M1130" s="37" t="s">
        <v>2436</v>
      </c>
      <c r="N1130" s="39" t="n">
        <v>42588</v>
      </c>
      <c r="O1130" s="41" t="s">
        <v>23</v>
      </c>
      <c r="P1130" s="41" t="s">
        <v>105</v>
      </c>
      <c r="Q1130" s="42"/>
      <c r="R1130" s="41"/>
      <c r="S1130" s="42"/>
      <c r="T1130" s="41"/>
    </row>
    <row r="1131" customFormat="false" ht="13.5" hidden="false" customHeight="true" outlineLevel="0" collapsed="false">
      <c r="A1131" s="37" t="n">
        <v>1128</v>
      </c>
      <c r="B1131" s="37" t="n">
        <v>3415</v>
      </c>
      <c r="C1131" s="38" t="s">
        <v>5237</v>
      </c>
      <c r="D1131" s="37" t="s">
        <v>100</v>
      </c>
      <c r="E1131" s="39" t="n">
        <v>30995</v>
      </c>
      <c r="F1131" s="37" t="n">
        <f aca="true">IFERROR(DATEDIF(E1131,TODAY(),"Y"),"")</f>
        <v>41</v>
      </c>
      <c r="G1131" s="40" t="s">
        <v>5238</v>
      </c>
      <c r="H1131" s="40" t="s">
        <v>5239</v>
      </c>
      <c r="I1131" s="38" t="s">
        <v>5240</v>
      </c>
      <c r="J1131" s="38" t="s">
        <v>15</v>
      </c>
      <c r="K1131" s="38" t="s">
        <v>5241</v>
      </c>
      <c r="L1131" s="38" t="s">
        <v>55</v>
      </c>
      <c r="M1131" s="37" t="s">
        <v>177</v>
      </c>
      <c r="N1131" s="39" t="n">
        <v>42590</v>
      </c>
      <c r="O1131" s="41" t="s">
        <v>23</v>
      </c>
      <c r="P1131" s="41" t="s">
        <v>105</v>
      </c>
      <c r="Q1131" s="42"/>
      <c r="R1131" s="41"/>
      <c r="S1131" s="42"/>
      <c r="T1131" s="41"/>
    </row>
    <row r="1132" customFormat="false" ht="13.5" hidden="false" customHeight="true" outlineLevel="0" collapsed="false">
      <c r="A1132" s="37" t="n">
        <v>1129</v>
      </c>
      <c r="B1132" s="37" t="n">
        <v>3416</v>
      </c>
      <c r="C1132" s="38" t="s">
        <v>5242</v>
      </c>
      <c r="D1132" s="37" t="s">
        <v>100</v>
      </c>
      <c r="E1132" s="39" t="n">
        <v>24111</v>
      </c>
      <c r="F1132" s="37" t="n">
        <f aca="true">IFERROR(DATEDIF(E1132,TODAY(),"Y"),"")</f>
        <v>60</v>
      </c>
      <c r="G1132" s="40" t="s">
        <v>5243</v>
      </c>
      <c r="H1132" s="40"/>
      <c r="I1132" s="38" t="s">
        <v>5244</v>
      </c>
      <c r="J1132" s="38" t="s">
        <v>15</v>
      </c>
      <c r="K1132" s="38" t="s">
        <v>5245</v>
      </c>
      <c r="L1132" s="38" t="s">
        <v>55</v>
      </c>
      <c r="M1132" s="37"/>
      <c r="N1132" s="39" t="n">
        <v>42590</v>
      </c>
      <c r="O1132" s="41" t="s">
        <v>23</v>
      </c>
      <c r="P1132" s="41" t="s">
        <v>105</v>
      </c>
      <c r="Q1132" s="42"/>
      <c r="R1132" s="41"/>
      <c r="S1132" s="42"/>
      <c r="T1132" s="41"/>
    </row>
    <row r="1133" customFormat="false" ht="13.5" hidden="false" customHeight="true" outlineLevel="0" collapsed="false">
      <c r="A1133" s="37" t="n">
        <v>1130</v>
      </c>
      <c r="B1133" s="37" t="n">
        <v>3417</v>
      </c>
      <c r="C1133" s="38" t="s">
        <v>5246</v>
      </c>
      <c r="D1133" s="37" t="s">
        <v>100</v>
      </c>
      <c r="E1133" s="39" t="n">
        <v>29997</v>
      </c>
      <c r="F1133" s="37" t="n">
        <f aca="true">IFERROR(DATEDIF(E1133,TODAY(),"Y"),"")</f>
        <v>44</v>
      </c>
      <c r="G1133" s="40" t="s">
        <v>5247</v>
      </c>
      <c r="H1133" s="40"/>
      <c r="I1133" s="38" t="s">
        <v>5248</v>
      </c>
      <c r="J1133" s="38"/>
      <c r="K1133" s="38" t="s">
        <v>5249</v>
      </c>
      <c r="L1133" s="43" t="s">
        <v>58</v>
      </c>
      <c r="M1133" s="37"/>
      <c r="N1133" s="39" t="n">
        <v>42593</v>
      </c>
      <c r="O1133" s="41" t="s">
        <v>23</v>
      </c>
      <c r="P1133" s="41" t="s">
        <v>105</v>
      </c>
      <c r="Q1133" s="42"/>
      <c r="R1133" s="41"/>
      <c r="S1133" s="42"/>
      <c r="T1133" s="41"/>
    </row>
    <row r="1134" customFormat="false" ht="13.5" hidden="false" customHeight="true" outlineLevel="0" collapsed="false">
      <c r="A1134" s="37" t="n">
        <v>1131</v>
      </c>
      <c r="B1134" s="37" t="n">
        <v>3418</v>
      </c>
      <c r="C1134" s="38" t="s">
        <v>5250</v>
      </c>
      <c r="D1134" s="37" t="s">
        <v>100</v>
      </c>
      <c r="E1134" s="39" t="n">
        <v>31385</v>
      </c>
      <c r="F1134" s="37" t="n">
        <f aca="true">IFERROR(DATEDIF(E1134,TODAY(),"Y"),"")</f>
        <v>40</v>
      </c>
      <c r="G1134" s="40" t="s">
        <v>5251</v>
      </c>
      <c r="H1134" s="40"/>
      <c r="I1134" s="38"/>
      <c r="J1134" s="38"/>
      <c r="K1134" s="38" t="s">
        <v>5252</v>
      </c>
      <c r="L1134" s="38" t="s">
        <v>53</v>
      </c>
      <c r="M1134" s="37"/>
      <c r="N1134" s="39" t="n">
        <v>42599</v>
      </c>
      <c r="O1134" s="41" t="s">
        <v>23</v>
      </c>
      <c r="P1134" s="41" t="s">
        <v>105</v>
      </c>
      <c r="Q1134" s="42"/>
      <c r="R1134" s="41"/>
      <c r="S1134" s="42"/>
      <c r="T1134" s="41"/>
    </row>
    <row r="1135" customFormat="false" ht="13.5" hidden="false" customHeight="true" outlineLevel="0" collapsed="false">
      <c r="A1135" s="37" t="n">
        <v>1132</v>
      </c>
      <c r="B1135" s="37" t="n">
        <v>3419</v>
      </c>
      <c r="C1135" s="38" t="s">
        <v>5253</v>
      </c>
      <c r="D1135" s="37" t="s">
        <v>100</v>
      </c>
      <c r="E1135" s="39" t="n">
        <v>26818</v>
      </c>
      <c r="F1135" s="37" t="n">
        <f aca="true">IFERROR(DATEDIF(E1135,TODAY(),"Y"),"")</f>
        <v>53</v>
      </c>
      <c r="G1135" s="40" t="s">
        <v>5254</v>
      </c>
      <c r="H1135" s="40"/>
      <c r="I1135" s="38" t="s">
        <v>5255</v>
      </c>
      <c r="J1135" s="38" t="s">
        <v>15</v>
      </c>
      <c r="K1135" s="38" t="s">
        <v>5256</v>
      </c>
      <c r="L1135" s="43" t="s">
        <v>58</v>
      </c>
      <c r="M1135" s="37" t="s">
        <v>177</v>
      </c>
      <c r="N1135" s="39" t="n">
        <v>42604</v>
      </c>
      <c r="O1135" s="41" t="s">
        <v>23</v>
      </c>
      <c r="P1135" s="41" t="s">
        <v>105</v>
      </c>
      <c r="Q1135" s="42"/>
      <c r="R1135" s="41"/>
      <c r="S1135" s="42"/>
      <c r="T1135" s="41"/>
    </row>
    <row r="1136" customFormat="false" ht="13.5" hidden="false" customHeight="true" outlineLevel="0" collapsed="false">
      <c r="A1136" s="37" t="n">
        <v>1133</v>
      </c>
      <c r="B1136" s="37" t="n">
        <v>3420</v>
      </c>
      <c r="C1136" s="38" t="s">
        <v>5257</v>
      </c>
      <c r="D1136" s="37" t="s">
        <v>100</v>
      </c>
      <c r="E1136" s="39" t="n">
        <v>24989</v>
      </c>
      <c r="F1136" s="37" t="n">
        <f aca="true">IFERROR(DATEDIF(E1136,TODAY(),"Y"),"")</f>
        <v>58</v>
      </c>
      <c r="G1136" s="40" t="s">
        <v>5258</v>
      </c>
      <c r="H1136" s="40" t="s">
        <v>5259</v>
      </c>
      <c r="I1136" s="38" t="s">
        <v>5260</v>
      </c>
      <c r="J1136" s="38" t="s">
        <v>16</v>
      </c>
      <c r="K1136" s="38" t="s">
        <v>5261</v>
      </c>
      <c r="L1136" s="38" t="s">
        <v>55</v>
      </c>
      <c r="M1136" s="37" t="s">
        <v>104</v>
      </c>
      <c r="N1136" s="39" t="n">
        <v>42619</v>
      </c>
      <c r="O1136" s="41" t="s">
        <v>23</v>
      </c>
      <c r="P1136" s="41" t="s">
        <v>105</v>
      </c>
      <c r="Q1136" s="42"/>
      <c r="R1136" s="41"/>
      <c r="S1136" s="42"/>
      <c r="T1136" s="41"/>
    </row>
    <row r="1137" customFormat="false" ht="13.5" hidden="false" customHeight="true" outlineLevel="0" collapsed="false">
      <c r="A1137" s="37" t="n">
        <v>1134</v>
      </c>
      <c r="B1137" s="37" t="n">
        <v>3421</v>
      </c>
      <c r="C1137" s="38" t="s">
        <v>5262</v>
      </c>
      <c r="D1137" s="37" t="s">
        <v>100</v>
      </c>
      <c r="E1137" s="39" t="n">
        <v>28438</v>
      </c>
      <c r="F1137" s="37" t="n">
        <f aca="true">IFERROR(DATEDIF(E1137,TODAY(),"Y"),"")</f>
        <v>48</v>
      </c>
      <c r="G1137" s="40" t="s">
        <v>5263</v>
      </c>
      <c r="H1137" s="40" t="s">
        <v>5264</v>
      </c>
      <c r="I1137" s="38" t="s">
        <v>5265</v>
      </c>
      <c r="J1137" s="38" t="s">
        <v>16</v>
      </c>
      <c r="K1137" s="38" t="s">
        <v>5266</v>
      </c>
      <c r="L1137" s="38" t="s">
        <v>53</v>
      </c>
      <c r="M1137" s="37" t="s">
        <v>104</v>
      </c>
      <c r="N1137" s="39" t="n">
        <v>42623</v>
      </c>
      <c r="O1137" s="41" t="s">
        <v>23</v>
      </c>
      <c r="P1137" s="41" t="s">
        <v>105</v>
      </c>
      <c r="Q1137" s="42"/>
      <c r="R1137" s="41"/>
      <c r="S1137" s="42"/>
      <c r="T1137" s="41"/>
    </row>
    <row r="1138" customFormat="false" ht="13.5" hidden="false" customHeight="true" outlineLevel="0" collapsed="false">
      <c r="A1138" s="37" t="n">
        <v>1135</v>
      </c>
      <c r="B1138" s="37" t="n">
        <v>3422</v>
      </c>
      <c r="C1138" s="38" t="s">
        <v>5267</v>
      </c>
      <c r="D1138" s="37" t="s">
        <v>100</v>
      </c>
      <c r="E1138" s="39" t="n">
        <v>27255</v>
      </c>
      <c r="F1138" s="37" t="n">
        <f aca="true">IFERROR(DATEDIF(E1138,TODAY(),"Y"),"")</f>
        <v>51</v>
      </c>
      <c r="G1138" s="40" t="s">
        <v>5268</v>
      </c>
      <c r="H1138" s="40"/>
      <c r="I1138" s="38" t="s">
        <v>5269</v>
      </c>
      <c r="J1138" s="38" t="s">
        <v>15</v>
      </c>
      <c r="K1138" s="38" t="s">
        <v>5270</v>
      </c>
      <c r="L1138" s="38" t="s">
        <v>44</v>
      </c>
      <c r="M1138" s="37" t="s">
        <v>104</v>
      </c>
      <c r="N1138" s="39" t="n">
        <v>42624</v>
      </c>
      <c r="O1138" s="41" t="s">
        <v>23</v>
      </c>
      <c r="P1138" s="41" t="s">
        <v>105</v>
      </c>
      <c r="Q1138" s="42"/>
      <c r="R1138" s="41"/>
      <c r="S1138" s="42"/>
      <c r="T1138" s="41"/>
    </row>
    <row r="1139" customFormat="false" ht="13.5" hidden="false" customHeight="true" outlineLevel="0" collapsed="false">
      <c r="A1139" s="37" t="n">
        <v>1136</v>
      </c>
      <c r="B1139" s="37" t="n">
        <v>3423</v>
      </c>
      <c r="C1139" s="38" t="s">
        <v>5271</v>
      </c>
      <c r="D1139" s="37" t="s">
        <v>100</v>
      </c>
      <c r="E1139" s="39" t="n">
        <v>28632</v>
      </c>
      <c r="F1139" s="37" t="n">
        <f aca="true">IFERROR(DATEDIF(E1139,TODAY(),"Y"),"")</f>
        <v>48</v>
      </c>
      <c r="G1139" s="40" t="s">
        <v>5272</v>
      </c>
      <c r="H1139" s="40"/>
      <c r="I1139" s="38" t="s">
        <v>5273</v>
      </c>
      <c r="J1139" s="38" t="s">
        <v>15</v>
      </c>
      <c r="K1139" s="38" t="s">
        <v>5274</v>
      </c>
      <c r="L1139" s="38" t="s">
        <v>48</v>
      </c>
      <c r="M1139" s="37"/>
      <c r="N1139" s="39" t="n">
        <v>42634</v>
      </c>
      <c r="O1139" s="41" t="s">
        <v>23</v>
      </c>
      <c r="P1139" s="41" t="s">
        <v>105</v>
      </c>
      <c r="Q1139" s="42"/>
      <c r="R1139" s="41"/>
      <c r="S1139" s="42"/>
      <c r="T1139" s="41"/>
    </row>
    <row r="1140" customFormat="false" ht="13.5" hidden="false" customHeight="true" outlineLevel="0" collapsed="false">
      <c r="A1140" s="37" t="n">
        <v>1137</v>
      </c>
      <c r="B1140" s="37" t="n">
        <v>3424</v>
      </c>
      <c r="C1140" s="38" t="s">
        <v>5275</v>
      </c>
      <c r="D1140" s="37" t="s">
        <v>100</v>
      </c>
      <c r="E1140" s="39" t="n">
        <v>31416</v>
      </c>
      <c r="F1140" s="37" t="n">
        <f aca="true">IFERROR(DATEDIF(E1140,TODAY(),"Y"),"")</f>
        <v>40</v>
      </c>
      <c r="G1140" s="40" t="s">
        <v>5276</v>
      </c>
      <c r="H1140" s="40"/>
      <c r="I1140" s="38" t="s">
        <v>5277</v>
      </c>
      <c r="J1140" s="38" t="s">
        <v>16</v>
      </c>
      <c r="K1140" s="38" t="s">
        <v>5278</v>
      </c>
      <c r="L1140" s="38" t="s">
        <v>50</v>
      </c>
      <c r="M1140" s="37" t="s">
        <v>104</v>
      </c>
      <c r="N1140" s="39" t="n">
        <v>42634</v>
      </c>
      <c r="O1140" s="41" t="s">
        <v>23</v>
      </c>
      <c r="P1140" s="41" t="s">
        <v>105</v>
      </c>
      <c r="Q1140" s="42"/>
      <c r="R1140" s="41"/>
      <c r="S1140" s="42"/>
      <c r="T1140" s="41"/>
    </row>
    <row r="1141" customFormat="false" ht="13.5" hidden="false" customHeight="true" outlineLevel="0" collapsed="false">
      <c r="A1141" s="37" t="n">
        <v>1138</v>
      </c>
      <c r="B1141" s="37" t="n">
        <v>3425</v>
      </c>
      <c r="C1141" s="38" t="s">
        <v>5279</v>
      </c>
      <c r="D1141" s="37" t="s">
        <v>100</v>
      </c>
      <c r="E1141" s="39" t="n">
        <v>33395</v>
      </c>
      <c r="F1141" s="37" t="n">
        <f aca="true">IFERROR(DATEDIF(E1141,TODAY(),"Y"),"")</f>
        <v>35</v>
      </c>
      <c r="G1141" s="40" t="s">
        <v>5280</v>
      </c>
      <c r="H1141" s="40" t="s">
        <v>5281</v>
      </c>
      <c r="I1141" s="38" t="s">
        <v>5282</v>
      </c>
      <c r="J1141" s="38" t="s">
        <v>15</v>
      </c>
      <c r="K1141" s="38" t="s">
        <v>5283</v>
      </c>
      <c r="L1141" s="38" t="s">
        <v>47</v>
      </c>
      <c r="M1141" s="37" t="s">
        <v>177</v>
      </c>
      <c r="N1141" s="39" t="n">
        <v>42635</v>
      </c>
      <c r="O1141" s="41" t="s">
        <v>23</v>
      </c>
      <c r="P1141" s="41" t="s">
        <v>105</v>
      </c>
      <c r="Q1141" s="42"/>
      <c r="R1141" s="41"/>
      <c r="S1141" s="42"/>
      <c r="T1141" s="41"/>
    </row>
    <row r="1142" customFormat="false" ht="13.5" hidden="false" customHeight="true" outlineLevel="0" collapsed="false">
      <c r="A1142" s="37" t="n">
        <v>1139</v>
      </c>
      <c r="B1142" s="37" t="n">
        <v>3426</v>
      </c>
      <c r="C1142" s="38" t="s">
        <v>5284</v>
      </c>
      <c r="D1142" s="37" t="s">
        <v>100</v>
      </c>
      <c r="E1142" s="39" t="n">
        <v>27259</v>
      </c>
      <c r="F1142" s="37" t="n">
        <f aca="true">IFERROR(DATEDIF(E1142,TODAY(),"Y"),"")</f>
        <v>51</v>
      </c>
      <c r="G1142" s="40" t="s">
        <v>5285</v>
      </c>
      <c r="H1142" s="40"/>
      <c r="I1142" s="38" t="s">
        <v>5286</v>
      </c>
      <c r="J1142" s="38" t="s">
        <v>16</v>
      </c>
      <c r="K1142" s="38" t="s">
        <v>5287</v>
      </c>
      <c r="L1142" s="38" t="s">
        <v>43</v>
      </c>
      <c r="M1142" s="37" t="s">
        <v>120</v>
      </c>
      <c r="N1142" s="39" t="n">
        <v>42637</v>
      </c>
      <c r="O1142" s="41" t="s">
        <v>23</v>
      </c>
      <c r="P1142" s="41" t="s">
        <v>105</v>
      </c>
      <c r="Q1142" s="42"/>
      <c r="R1142" s="41"/>
      <c r="S1142" s="42"/>
      <c r="T1142" s="41"/>
    </row>
    <row r="1143" customFormat="false" ht="13.5" hidden="false" customHeight="true" outlineLevel="0" collapsed="false">
      <c r="A1143" s="37" t="n">
        <v>1140</v>
      </c>
      <c r="B1143" s="37" t="n">
        <v>3427</v>
      </c>
      <c r="C1143" s="38" t="s">
        <v>5288</v>
      </c>
      <c r="D1143" s="37" t="s">
        <v>100</v>
      </c>
      <c r="E1143" s="39" t="n">
        <v>31556</v>
      </c>
      <c r="F1143" s="37" t="n">
        <f aca="true">IFERROR(DATEDIF(E1143,TODAY(),"Y"),"")</f>
        <v>40</v>
      </c>
      <c r="G1143" s="40" t="s">
        <v>5289</v>
      </c>
      <c r="H1143" s="40"/>
      <c r="I1143" s="38" t="s">
        <v>5290</v>
      </c>
      <c r="J1143" s="38" t="s">
        <v>16</v>
      </c>
      <c r="K1143" s="38" t="s">
        <v>5291</v>
      </c>
      <c r="L1143" s="38" t="s">
        <v>55</v>
      </c>
      <c r="M1143" s="37" t="s">
        <v>104</v>
      </c>
      <c r="N1143" s="39" t="n">
        <v>42637</v>
      </c>
      <c r="O1143" s="41" t="s">
        <v>23</v>
      </c>
      <c r="P1143" s="41" t="s">
        <v>105</v>
      </c>
      <c r="Q1143" s="42"/>
      <c r="R1143" s="41"/>
      <c r="S1143" s="42"/>
      <c r="T1143" s="41"/>
    </row>
    <row r="1144" customFormat="false" ht="13.5" hidden="false" customHeight="true" outlineLevel="0" collapsed="false">
      <c r="A1144" s="37" t="n">
        <v>1141</v>
      </c>
      <c r="B1144" s="37" t="n">
        <v>3428</v>
      </c>
      <c r="C1144" s="38" t="s">
        <v>5292</v>
      </c>
      <c r="D1144" s="37" t="s">
        <v>100</v>
      </c>
      <c r="E1144" s="39" t="n">
        <v>31396</v>
      </c>
      <c r="F1144" s="37" t="n">
        <f aca="true">IFERROR(DATEDIF(E1144,TODAY(),"Y"),"")</f>
        <v>40</v>
      </c>
      <c r="G1144" s="40" t="s">
        <v>5293</v>
      </c>
      <c r="H1144" s="40"/>
      <c r="I1144" s="38" t="s">
        <v>5294</v>
      </c>
      <c r="J1144" s="38" t="s">
        <v>16</v>
      </c>
      <c r="K1144" s="38" t="s">
        <v>5295</v>
      </c>
      <c r="L1144" s="38" t="s">
        <v>47</v>
      </c>
      <c r="M1144" s="37" t="s">
        <v>177</v>
      </c>
      <c r="N1144" s="39" t="n">
        <v>42640</v>
      </c>
      <c r="O1144" s="41" t="s">
        <v>23</v>
      </c>
      <c r="P1144" s="41" t="s">
        <v>105</v>
      </c>
      <c r="Q1144" s="42"/>
      <c r="R1144" s="41"/>
      <c r="S1144" s="42"/>
      <c r="T1144" s="41"/>
    </row>
    <row r="1145" customFormat="false" ht="13.5" hidden="false" customHeight="true" outlineLevel="0" collapsed="false">
      <c r="A1145" s="37" t="n">
        <v>1142</v>
      </c>
      <c r="B1145" s="37" t="n">
        <v>3429</v>
      </c>
      <c r="C1145" s="38" t="s">
        <v>5296</v>
      </c>
      <c r="D1145" s="37" t="s">
        <v>100</v>
      </c>
      <c r="E1145" s="39" t="n">
        <v>25354</v>
      </c>
      <c r="F1145" s="37" t="n">
        <f aca="true">IFERROR(DATEDIF(E1145,TODAY(),"Y"),"")</f>
        <v>57</v>
      </c>
      <c r="G1145" s="40" t="s">
        <v>5297</v>
      </c>
      <c r="H1145" s="40"/>
      <c r="I1145" s="38" t="s">
        <v>5298</v>
      </c>
      <c r="J1145" s="38" t="s">
        <v>16</v>
      </c>
      <c r="K1145" s="38" t="s">
        <v>5299</v>
      </c>
      <c r="L1145" s="38" t="s">
        <v>49</v>
      </c>
      <c r="M1145" s="37" t="s">
        <v>120</v>
      </c>
      <c r="N1145" s="39" t="n">
        <v>42644</v>
      </c>
      <c r="O1145" s="41" t="s">
        <v>23</v>
      </c>
      <c r="P1145" s="41" t="s">
        <v>105</v>
      </c>
      <c r="Q1145" s="42"/>
      <c r="R1145" s="41"/>
      <c r="S1145" s="42"/>
      <c r="T1145" s="41"/>
    </row>
    <row r="1146" customFormat="false" ht="13.5" hidden="false" customHeight="true" outlineLevel="0" collapsed="false">
      <c r="A1146" s="37" t="n">
        <v>1143</v>
      </c>
      <c r="B1146" s="37" t="n">
        <v>3430</v>
      </c>
      <c r="C1146" s="38" t="s">
        <v>5300</v>
      </c>
      <c r="D1146" s="37" t="s">
        <v>100</v>
      </c>
      <c r="E1146" s="39" t="n">
        <v>24527</v>
      </c>
      <c r="F1146" s="37" t="n">
        <f aca="true">IFERROR(DATEDIF(E1146,TODAY(),"Y"),"")</f>
        <v>59</v>
      </c>
      <c r="G1146" s="40" t="s">
        <v>5301</v>
      </c>
      <c r="H1146" s="40"/>
      <c r="I1146" s="38" t="s">
        <v>5302</v>
      </c>
      <c r="J1146" s="38" t="s">
        <v>16</v>
      </c>
      <c r="K1146" s="38" t="s">
        <v>5303</v>
      </c>
      <c r="L1146" s="38" t="s">
        <v>48</v>
      </c>
      <c r="M1146" s="37" t="s">
        <v>104</v>
      </c>
      <c r="N1146" s="39" t="n">
        <v>42656</v>
      </c>
      <c r="O1146" s="41" t="s">
        <v>23</v>
      </c>
      <c r="P1146" s="41" t="s">
        <v>105</v>
      </c>
      <c r="Q1146" s="42"/>
      <c r="R1146" s="41"/>
      <c r="S1146" s="42"/>
      <c r="T1146" s="41"/>
    </row>
    <row r="1147" customFormat="false" ht="13.5" hidden="false" customHeight="true" outlineLevel="0" collapsed="false">
      <c r="A1147" s="37" t="n">
        <v>1144</v>
      </c>
      <c r="B1147" s="37" t="n">
        <v>3432</v>
      </c>
      <c r="C1147" s="38" t="s">
        <v>5304</v>
      </c>
      <c r="D1147" s="37" t="s">
        <v>100</v>
      </c>
      <c r="E1147" s="39" t="n">
        <v>31703</v>
      </c>
      <c r="F1147" s="37" t="n">
        <f aca="true">IFERROR(DATEDIF(E1147,TODAY(),"Y"),"")</f>
        <v>39</v>
      </c>
      <c r="G1147" s="40" t="s">
        <v>5305</v>
      </c>
      <c r="H1147" s="40" t="s">
        <v>5306</v>
      </c>
      <c r="I1147" s="38" t="s">
        <v>5307</v>
      </c>
      <c r="J1147" s="38" t="s">
        <v>16</v>
      </c>
      <c r="K1147" s="38" t="s">
        <v>5308</v>
      </c>
      <c r="L1147" s="38" t="s">
        <v>48</v>
      </c>
      <c r="M1147" s="37" t="s">
        <v>177</v>
      </c>
      <c r="N1147" s="39" t="n">
        <v>42658</v>
      </c>
      <c r="O1147" s="41" t="s">
        <v>23</v>
      </c>
      <c r="P1147" s="41" t="s">
        <v>105</v>
      </c>
      <c r="Q1147" s="42"/>
      <c r="R1147" s="41"/>
      <c r="S1147" s="42"/>
      <c r="T1147" s="41"/>
    </row>
    <row r="1148" customFormat="false" ht="13.5" hidden="false" customHeight="true" outlineLevel="0" collapsed="false">
      <c r="A1148" s="37" t="n">
        <v>1145</v>
      </c>
      <c r="B1148" s="37" t="n">
        <v>3433</v>
      </c>
      <c r="C1148" s="38" t="s">
        <v>5309</v>
      </c>
      <c r="D1148" s="37" t="s">
        <v>100</v>
      </c>
      <c r="E1148" s="39" t="n">
        <v>31382</v>
      </c>
      <c r="F1148" s="37" t="n">
        <f aca="true">IFERROR(DATEDIF(E1148,TODAY(),"Y"),"")</f>
        <v>40</v>
      </c>
      <c r="G1148" s="40" t="s">
        <v>5310</v>
      </c>
      <c r="H1148" s="40" t="s">
        <v>5311</v>
      </c>
      <c r="I1148" s="38" t="s">
        <v>5312</v>
      </c>
      <c r="J1148" s="38" t="s">
        <v>15</v>
      </c>
      <c r="K1148" s="38" t="s">
        <v>5313</v>
      </c>
      <c r="L1148" s="38" t="s">
        <v>54</v>
      </c>
      <c r="M1148" s="37" t="s">
        <v>177</v>
      </c>
      <c r="N1148" s="39" t="n">
        <v>42659</v>
      </c>
      <c r="O1148" s="41" t="s">
        <v>23</v>
      </c>
      <c r="P1148" s="41" t="s">
        <v>105</v>
      </c>
      <c r="Q1148" s="42"/>
      <c r="R1148" s="41"/>
      <c r="S1148" s="42"/>
      <c r="T1148" s="41"/>
    </row>
    <row r="1149" customFormat="false" ht="13.5" hidden="false" customHeight="true" outlineLevel="0" collapsed="false">
      <c r="A1149" s="37" t="n">
        <v>1146</v>
      </c>
      <c r="B1149" s="37" t="n">
        <v>3435</v>
      </c>
      <c r="C1149" s="38" t="s">
        <v>5314</v>
      </c>
      <c r="D1149" s="37" t="s">
        <v>100</v>
      </c>
      <c r="E1149" s="39" t="n">
        <v>30983</v>
      </c>
      <c r="F1149" s="37" t="n">
        <f aca="true">IFERROR(DATEDIF(E1149,TODAY(),"Y"),"")</f>
        <v>41</v>
      </c>
      <c r="G1149" s="40" t="s">
        <v>5315</v>
      </c>
      <c r="H1149" s="40" t="s">
        <v>5316</v>
      </c>
      <c r="I1149" s="38" t="s">
        <v>5317</v>
      </c>
      <c r="J1149" s="38" t="s">
        <v>16</v>
      </c>
      <c r="K1149" s="38" t="s">
        <v>5318</v>
      </c>
      <c r="L1149" s="38" t="s">
        <v>46</v>
      </c>
      <c r="M1149" s="37"/>
      <c r="N1149" s="39" t="n">
        <v>42665</v>
      </c>
      <c r="O1149" s="41" t="s">
        <v>23</v>
      </c>
      <c r="P1149" s="41" t="s">
        <v>105</v>
      </c>
      <c r="Q1149" s="42"/>
      <c r="R1149" s="41"/>
      <c r="S1149" s="42"/>
      <c r="T1149" s="41"/>
    </row>
    <row r="1150" customFormat="false" ht="13.5" hidden="false" customHeight="true" outlineLevel="0" collapsed="false">
      <c r="A1150" s="37" t="n">
        <v>1147</v>
      </c>
      <c r="B1150" s="37" t="n">
        <v>3436</v>
      </c>
      <c r="C1150" s="38" t="s">
        <v>5319</v>
      </c>
      <c r="D1150" s="37" t="s">
        <v>100</v>
      </c>
      <c r="E1150" s="39" t="n">
        <v>22934</v>
      </c>
      <c r="F1150" s="37" t="n">
        <f aca="true">IFERROR(DATEDIF(E1150,TODAY(),"Y"),"")</f>
        <v>63</v>
      </c>
      <c r="G1150" s="40" t="s">
        <v>5320</v>
      </c>
      <c r="H1150" s="40"/>
      <c r="I1150" s="38" t="s">
        <v>5321</v>
      </c>
      <c r="J1150" s="38" t="s">
        <v>15</v>
      </c>
      <c r="K1150" s="38" t="s">
        <v>5322</v>
      </c>
      <c r="L1150" s="38" t="s">
        <v>50</v>
      </c>
      <c r="M1150" s="37" t="s">
        <v>120</v>
      </c>
      <c r="N1150" s="39" t="n">
        <v>42666</v>
      </c>
      <c r="O1150" s="41" t="s">
        <v>23</v>
      </c>
      <c r="P1150" s="41" t="s">
        <v>105</v>
      </c>
      <c r="Q1150" s="42"/>
      <c r="R1150" s="41"/>
      <c r="S1150" s="42"/>
      <c r="T1150" s="41"/>
    </row>
    <row r="1151" customFormat="false" ht="13.5" hidden="false" customHeight="true" outlineLevel="0" collapsed="false">
      <c r="A1151" s="37" t="n">
        <v>1148</v>
      </c>
      <c r="B1151" s="37" t="n">
        <v>3437</v>
      </c>
      <c r="C1151" s="38" t="s">
        <v>5323</v>
      </c>
      <c r="D1151" s="37" t="s">
        <v>100</v>
      </c>
      <c r="E1151" s="39" t="n">
        <v>23175</v>
      </c>
      <c r="F1151" s="37" t="n">
        <f aca="true">IFERROR(DATEDIF(E1151,TODAY(),"Y"),"")</f>
        <v>63</v>
      </c>
      <c r="G1151" s="40" t="s">
        <v>5324</v>
      </c>
      <c r="H1151" s="40"/>
      <c r="I1151" s="38" t="s">
        <v>5325</v>
      </c>
      <c r="J1151" s="38" t="s">
        <v>16</v>
      </c>
      <c r="K1151" s="38" t="s">
        <v>5326</v>
      </c>
      <c r="L1151" s="38" t="s">
        <v>43</v>
      </c>
      <c r="M1151" s="37" t="s">
        <v>177</v>
      </c>
      <c r="N1151" s="39" t="n">
        <v>42667</v>
      </c>
      <c r="O1151" s="41" t="s">
        <v>23</v>
      </c>
      <c r="P1151" s="41" t="s">
        <v>105</v>
      </c>
      <c r="Q1151" s="42"/>
      <c r="R1151" s="41"/>
      <c r="S1151" s="42"/>
      <c r="T1151" s="41"/>
    </row>
    <row r="1152" customFormat="false" ht="13.5" hidden="false" customHeight="true" outlineLevel="0" collapsed="false">
      <c r="A1152" s="37" t="n">
        <v>1149</v>
      </c>
      <c r="B1152" s="37" t="n">
        <v>3438</v>
      </c>
      <c r="C1152" s="38" t="s">
        <v>5327</v>
      </c>
      <c r="D1152" s="37" t="s">
        <v>100</v>
      </c>
      <c r="E1152" s="39" t="n">
        <v>25980</v>
      </c>
      <c r="F1152" s="37" t="n">
        <f aca="true">IFERROR(DATEDIF(E1152,TODAY(),"Y"),"")</f>
        <v>55</v>
      </c>
      <c r="G1152" s="40" t="s">
        <v>5328</v>
      </c>
      <c r="H1152" s="40"/>
      <c r="I1152" s="38" t="s">
        <v>5329</v>
      </c>
      <c r="J1152" s="38" t="s">
        <v>16</v>
      </c>
      <c r="K1152" s="38" t="s">
        <v>5330</v>
      </c>
      <c r="L1152" s="38" t="s">
        <v>47</v>
      </c>
      <c r="M1152" s="37" t="s">
        <v>120</v>
      </c>
      <c r="N1152" s="39" t="n">
        <v>42668</v>
      </c>
      <c r="O1152" s="41" t="s">
        <v>23</v>
      </c>
      <c r="P1152" s="41" t="s">
        <v>105</v>
      </c>
      <c r="Q1152" s="42"/>
      <c r="R1152" s="41"/>
      <c r="S1152" s="42"/>
      <c r="T1152" s="41"/>
    </row>
    <row r="1153" customFormat="false" ht="13.5" hidden="false" customHeight="true" outlineLevel="0" collapsed="false">
      <c r="A1153" s="37" t="n">
        <v>1150</v>
      </c>
      <c r="B1153" s="37" t="n">
        <v>3439</v>
      </c>
      <c r="C1153" s="38" t="s">
        <v>5331</v>
      </c>
      <c r="D1153" s="37" t="s">
        <v>100</v>
      </c>
      <c r="E1153" s="39" t="n">
        <v>28924</v>
      </c>
      <c r="F1153" s="37" t="n">
        <f aca="true">IFERROR(DATEDIF(E1153,TODAY(),"Y"),"")</f>
        <v>47</v>
      </c>
      <c r="G1153" s="40" t="s">
        <v>5332</v>
      </c>
      <c r="H1153" s="40"/>
      <c r="I1153" s="38" t="s">
        <v>5333</v>
      </c>
      <c r="J1153" s="38" t="s">
        <v>15</v>
      </c>
      <c r="K1153" s="38" t="s">
        <v>5334</v>
      </c>
      <c r="L1153" s="38" t="s">
        <v>47</v>
      </c>
      <c r="M1153" s="37" t="s">
        <v>231</v>
      </c>
      <c r="N1153" s="39" t="n">
        <v>42669</v>
      </c>
      <c r="O1153" s="41" t="s">
        <v>23</v>
      </c>
      <c r="P1153" s="41" t="s">
        <v>105</v>
      </c>
      <c r="Q1153" s="42"/>
      <c r="R1153" s="41"/>
      <c r="S1153" s="42"/>
      <c r="T1153" s="41"/>
    </row>
    <row r="1154" customFormat="false" ht="13.5" hidden="false" customHeight="true" outlineLevel="0" collapsed="false">
      <c r="A1154" s="37" t="n">
        <v>1151</v>
      </c>
      <c r="B1154" s="37" t="n">
        <v>3440</v>
      </c>
      <c r="C1154" s="38" t="s">
        <v>5335</v>
      </c>
      <c r="D1154" s="37" t="s">
        <v>100</v>
      </c>
      <c r="E1154" s="39" t="n">
        <v>28480</v>
      </c>
      <c r="F1154" s="37" t="n">
        <f aca="true">IFERROR(DATEDIF(E1154,TODAY(),"Y"),"")</f>
        <v>48</v>
      </c>
      <c r="G1154" s="40" t="s">
        <v>5336</v>
      </c>
      <c r="H1154" s="40" t="s">
        <v>5337</v>
      </c>
      <c r="I1154" s="38" t="s">
        <v>5338</v>
      </c>
      <c r="J1154" s="38" t="s">
        <v>16</v>
      </c>
      <c r="K1154" s="38" t="s">
        <v>5339</v>
      </c>
      <c r="L1154" s="38" t="s">
        <v>43</v>
      </c>
      <c r="M1154" s="37"/>
      <c r="N1154" s="39" t="n">
        <v>42670</v>
      </c>
      <c r="O1154" s="41" t="s">
        <v>23</v>
      </c>
      <c r="P1154" s="41" t="s">
        <v>105</v>
      </c>
      <c r="Q1154" s="42"/>
      <c r="R1154" s="41"/>
      <c r="S1154" s="42"/>
      <c r="T1154" s="41"/>
    </row>
    <row r="1155" customFormat="false" ht="13.5" hidden="false" customHeight="true" outlineLevel="0" collapsed="false">
      <c r="A1155" s="37" t="n">
        <v>1152</v>
      </c>
      <c r="B1155" s="37" t="n">
        <v>3442</v>
      </c>
      <c r="C1155" s="38" t="s">
        <v>5340</v>
      </c>
      <c r="D1155" s="37" t="s">
        <v>100</v>
      </c>
      <c r="E1155" s="39" t="n">
        <v>30646</v>
      </c>
      <c r="F1155" s="37" t="n">
        <f aca="true">IFERROR(DATEDIF(E1155,TODAY(),"Y"),"")</f>
        <v>42</v>
      </c>
      <c r="G1155" s="40" t="s">
        <v>5341</v>
      </c>
      <c r="H1155" s="40"/>
      <c r="I1155" s="38" t="s">
        <v>5342</v>
      </c>
      <c r="J1155" s="38" t="s">
        <v>15</v>
      </c>
      <c r="K1155" s="38" t="s">
        <v>5343</v>
      </c>
      <c r="L1155" s="38" t="s">
        <v>47</v>
      </c>
      <c r="M1155" s="37" t="s">
        <v>120</v>
      </c>
      <c r="N1155" s="39" t="n">
        <v>42672</v>
      </c>
      <c r="O1155" s="41" t="s">
        <v>23</v>
      </c>
      <c r="P1155" s="41" t="s">
        <v>105</v>
      </c>
      <c r="Q1155" s="42"/>
      <c r="R1155" s="41"/>
      <c r="S1155" s="42"/>
      <c r="T1155" s="41"/>
    </row>
    <row r="1156" customFormat="false" ht="13.5" hidden="false" customHeight="true" outlineLevel="0" collapsed="false">
      <c r="A1156" s="37" t="n">
        <v>1153</v>
      </c>
      <c r="B1156" s="37" t="n">
        <v>3443</v>
      </c>
      <c r="C1156" s="38" t="s">
        <v>5344</v>
      </c>
      <c r="D1156" s="37" t="s">
        <v>100</v>
      </c>
      <c r="E1156" s="39" t="n">
        <v>24431</v>
      </c>
      <c r="F1156" s="37" t="n">
        <f aca="true">IFERROR(DATEDIF(E1156,TODAY(),"Y"),"")</f>
        <v>59</v>
      </c>
      <c r="G1156" s="40" t="s">
        <v>5345</v>
      </c>
      <c r="H1156" s="40"/>
      <c r="I1156" s="38" t="s">
        <v>5346</v>
      </c>
      <c r="J1156" s="38" t="s">
        <v>16</v>
      </c>
      <c r="K1156" s="38" t="s">
        <v>5347</v>
      </c>
      <c r="L1156" s="38" t="s">
        <v>55</v>
      </c>
      <c r="M1156" s="37" t="s">
        <v>120</v>
      </c>
      <c r="N1156" s="39" t="n">
        <v>42674</v>
      </c>
      <c r="O1156" s="41" t="s">
        <v>23</v>
      </c>
      <c r="P1156" s="41" t="s">
        <v>105</v>
      </c>
      <c r="Q1156" s="42"/>
      <c r="R1156" s="41"/>
      <c r="S1156" s="42"/>
      <c r="T1156" s="41"/>
    </row>
    <row r="1157" customFormat="false" ht="13.5" hidden="false" customHeight="true" outlineLevel="0" collapsed="false">
      <c r="A1157" s="37" t="n">
        <v>1154</v>
      </c>
      <c r="B1157" s="37" t="n">
        <v>3444</v>
      </c>
      <c r="C1157" s="38" t="s">
        <v>5348</v>
      </c>
      <c r="D1157" s="37" t="s">
        <v>100</v>
      </c>
      <c r="E1157" s="39" t="n">
        <v>30673</v>
      </c>
      <c r="F1157" s="37" t="n">
        <f aca="true">IFERROR(DATEDIF(E1157,TODAY(),"Y"),"")</f>
        <v>42</v>
      </c>
      <c r="G1157" s="40" t="s">
        <v>5349</v>
      </c>
      <c r="H1157" s="40" t="s">
        <v>5350</v>
      </c>
      <c r="I1157" s="38" t="s">
        <v>5351</v>
      </c>
      <c r="J1157" s="38" t="s">
        <v>15</v>
      </c>
      <c r="K1157" s="38" t="s">
        <v>5352</v>
      </c>
      <c r="L1157" s="38" t="s">
        <v>55</v>
      </c>
      <c r="M1157" s="37"/>
      <c r="N1157" s="39" t="n">
        <v>42675</v>
      </c>
      <c r="O1157" s="41" t="s">
        <v>23</v>
      </c>
      <c r="P1157" s="41" t="s">
        <v>105</v>
      </c>
      <c r="Q1157" s="42"/>
      <c r="R1157" s="41"/>
      <c r="S1157" s="42"/>
      <c r="T1157" s="41"/>
    </row>
    <row r="1158" customFormat="false" ht="13.5" hidden="false" customHeight="true" outlineLevel="0" collapsed="false">
      <c r="A1158" s="37" t="n">
        <v>1155</v>
      </c>
      <c r="B1158" s="37" t="n">
        <v>3445</v>
      </c>
      <c r="C1158" s="38" t="s">
        <v>5353</v>
      </c>
      <c r="D1158" s="37" t="s">
        <v>100</v>
      </c>
      <c r="E1158" s="39" t="n">
        <v>25693</v>
      </c>
      <c r="F1158" s="37" t="n">
        <f aca="true">IFERROR(DATEDIF(E1158,TODAY(),"Y"),"")</f>
        <v>56</v>
      </c>
      <c r="G1158" s="40" t="s">
        <v>5354</v>
      </c>
      <c r="H1158" s="40" t="s">
        <v>5355</v>
      </c>
      <c r="I1158" s="38" t="s">
        <v>5356</v>
      </c>
      <c r="J1158" s="38" t="s">
        <v>15</v>
      </c>
      <c r="K1158" s="38" t="s">
        <v>5357</v>
      </c>
      <c r="L1158" s="38" t="s">
        <v>52</v>
      </c>
      <c r="M1158" s="37" t="s">
        <v>120</v>
      </c>
      <c r="N1158" s="39" t="n">
        <v>42676</v>
      </c>
      <c r="O1158" s="41" t="s">
        <v>23</v>
      </c>
      <c r="P1158" s="41" t="s">
        <v>105</v>
      </c>
      <c r="Q1158" s="42"/>
      <c r="R1158" s="41"/>
      <c r="S1158" s="42"/>
      <c r="T1158" s="41"/>
    </row>
    <row r="1159" customFormat="false" ht="13.5" hidden="false" customHeight="true" outlineLevel="0" collapsed="false">
      <c r="A1159" s="37" t="n">
        <v>1156</v>
      </c>
      <c r="B1159" s="37" t="n">
        <v>3446</v>
      </c>
      <c r="C1159" s="38" t="s">
        <v>5358</v>
      </c>
      <c r="D1159" s="37" t="s">
        <v>100</v>
      </c>
      <c r="E1159" s="39" t="n">
        <v>27771</v>
      </c>
      <c r="F1159" s="37" t="n">
        <f aca="true">IFERROR(DATEDIF(E1159,TODAY(),"Y"),"")</f>
        <v>50</v>
      </c>
      <c r="G1159" s="40" t="s">
        <v>5359</v>
      </c>
      <c r="H1159" s="40"/>
      <c r="I1159" s="38"/>
      <c r="J1159" s="38" t="s">
        <v>15</v>
      </c>
      <c r="K1159" s="38" t="s">
        <v>5360</v>
      </c>
      <c r="L1159" s="38" t="s">
        <v>46</v>
      </c>
      <c r="M1159" s="37" t="s">
        <v>120</v>
      </c>
      <c r="N1159" s="39" t="n">
        <v>42700</v>
      </c>
      <c r="O1159" s="41" t="s">
        <v>23</v>
      </c>
      <c r="P1159" s="41" t="s">
        <v>105</v>
      </c>
      <c r="Q1159" s="42"/>
      <c r="R1159" s="41"/>
      <c r="S1159" s="42"/>
      <c r="T1159" s="41"/>
    </row>
    <row r="1160" customFormat="false" ht="13.5" hidden="false" customHeight="true" outlineLevel="0" collapsed="false">
      <c r="A1160" s="37" t="n">
        <v>1157</v>
      </c>
      <c r="B1160" s="37" t="n">
        <v>3447</v>
      </c>
      <c r="C1160" s="38" t="s">
        <v>5361</v>
      </c>
      <c r="D1160" s="37" t="s">
        <v>100</v>
      </c>
      <c r="E1160" s="39" t="n">
        <v>26897</v>
      </c>
      <c r="F1160" s="37" t="n">
        <f aca="true">IFERROR(DATEDIF(E1160,TODAY(),"Y"),"")</f>
        <v>52</v>
      </c>
      <c r="G1160" s="40" t="s">
        <v>5362</v>
      </c>
      <c r="H1160" s="40"/>
      <c r="I1160" s="38" t="s">
        <v>5363</v>
      </c>
      <c r="J1160" s="38" t="s">
        <v>16</v>
      </c>
      <c r="K1160" s="38" t="s">
        <v>5364</v>
      </c>
      <c r="L1160" s="38" t="s">
        <v>43</v>
      </c>
      <c r="M1160" s="37" t="s">
        <v>177</v>
      </c>
      <c r="N1160" s="39" t="n">
        <v>42701</v>
      </c>
      <c r="O1160" s="41" t="s">
        <v>23</v>
      </c>
      <c r="P1160" s="41" t="s">
        <v>105</v>
      </c>
      <c r="Q1160" s="42"/>
      <c r="R1160" s="41"/>
      <c r="S1160" s="42"/>
      <c r="T1160" s="41"/>
    </row>
    <row r="1161" customFormat="false" ht="13.5" hidden="false" customHeight="true" outlineLevel="0" collapsed="false">
      <c r="A1161" s="37" t="n">
        <v>1158</v>
      </c>
      <c r="B1161" s="37" t="n">
        <v>3448</v>
      </c>
      <c r="C1161" s="38" t="s">
        <v>5365</v>
      </c>
      <c r="D1161" s="37" t="s">
        <v>100</v>
      </c>
      <c r="E1161" s="39" t="n">
        <v>27910</v>
      </c>
      <c r="F1161" s="37" t="n">
        <f aca="true">IFERROR(DATEDIF(E1161,TODAY(),"Y"),"")</f>
        <v>50</v>
      </c>
      <c r="G1161" s="40" t="s">
        <v>5366</v>
      </c>
      <c r="H1161" s="40" t="s">
        <v>5367</v>
      </c>
      <c r="I1161" s="38" t="s">
        <v>5368</v>
      </c>
      <c r="J1161" s="38" t="s">
        <v>15</v>
      </c>
      <c r="K1161" s="38" t="s">
        <v>5369</v>
      </c>
      <c r="L1161" s="38" t="s">
        <v>46</v>
      </c>
      <c r="M1161" s="37" t="s">
        <v>120</v>
      </c>
      <c r="N1161" s="39" t="n">
        <v>42708</v>
      </c>
      <c r="O1161" s="41" t="s">
        <v>23</v>
      </c>
      <c r="P1161" s="41" t="s">
        <v>105</v>
      </c>
      <c r="Q1161" s="42"/>
      <c r="R1161" s="41"/>
      <c r="S1161" s="42"/>
      <c r="T1161" s="41"/>
    </row>
    <row r="1162" customFormat="false" ht="13.5" hidden="false" customHeight="true" outlineLevel="0" collapsed="false">
      <c r="A1162" s="37" t="n">
        <v>1159</v>
      </c>
      <c r="B1162" s="37" t="n">
        <v>3449</v>
      </c>
      <c r="C1162" s="38" t="s">
        <v>5370</v>
      </c>
      <c r="D1162" s="37" t="s">
        <v>100</v>
      </c>
      <c r="E1162" s="39" t="n">
        <v>24435</v>
      </c>
      <c r="F1162" s="37" t="n">
        <f aca="true">IFERROR(DATEDIF(E1162,TODAY(),"Y"),"")</f>
        <v>59</v>
      </c>
      <c r="G1162" s="40" t="s">
        <v>5371</v>
      </c>
      <c r="H1162" s="40"/>
      <c r="I1162" s="38" t="s">
        <v>5372</v>
      </c>
      <c r="J1162" s="38" t="s">
        <v>15</v>
      </c>
      <c r="K1162" s="38" t="s">
        <v>5373</v>
      </c>
      <c r="L1162" s="38" t="s">
        <v>53</v>
      </c>
      <c r="M1162" s="37" t="s">
        <v>104</v>
      </c>
      <c r="N1162" s="39" t="n">
        <v>42708</v>
      </c>
      <c r="O1162" s="41" t="s">
        <v>23</v>
      </c>
      <c r="P1162" s="41" t="s">
        <v>105</v>
      </c>
      <c r="Q1162" s="42"/>
      <c r="R1162" s="41"/>
      <c r="S1162" s="42"/>
      <c r="T1162" s="41"/>
    </row>
    <row r="1163" customFormat="false" ht="13.5" hidden="false" customHeight="true" outlineLevel="0" collapsed="false">
      <c r="A1163" s="37" t="n">
        <v>1160</v>
      </c>
      <c r="B1163" s="37" t="n">
        <v>3450</v>
      </c>
      <c r="C1163" s="38" t="s">
        <v>5374</v>
      </c>
      <c r="D1163" s="37" t="s">
        <v>100</v>
      </c>
      <c r="E1163" s="39" t="n">
        <v>23481</v>
      </c>
      <c r="F1163" s="37" t="n">
        <f aca="true">IFERROR(DATEDIF(E1163,TODAY(),"Y"),"")</f>
        <v>62</v>
      </c>
      <c r="G1163" s="40" t="s">
        <v>5375</v>
      </c>
      <c r="H1163" s="40"/>
      <c r="I1163" s="38" t="s">
        <v>5376</v>
      </c>
      <c r="J1163" s="38" t="s">
        <v>15</v>
      </c>
      <c r="K1163" s="38" t="s">
        <v>5377</v>
      </c>
      <c r="L1163" s="38" t="s">
        <v>48</v>
      </c>
      <c r="M1163" s="37" t="s">
        <v>177</v>
      </c>
      <c r="N1163" s="39" t="n">
        <v>42708</v>
      </c>
      <c r="O1163" s="41" t="s">
        <v>23</v>
      </c>
      <c r="P1163" s="41" t="s">
        <v>105</v>
      </c>
      <c r="Q1163" s="42"/>
      <c r="R1163" s="41"/>
      <c r="S1163" s="42"/>
      <c r="T1163" s="41"/>
    </row>
    <row r="1164" customFormat="false" ht="13.5" hidden="false" customHeight="true" outlineLevel="0" collapsed="false">
      <c r="A1164" s="37" t="n">
        <v>1161</v>
      </c>
      <c r="B1164" s="37" t="n">
        <v>3452</v>
      </c>
      <c r="C1164" s="38" t="s">
        <v>5378</v>
      </c>
      <c r="D1164" s="37" t="s">
        <v>100</v>
      </c>
      <c r="E1164" s="39" t="n">
        <v>27905</v>
      </c>
      <c r="F1164" s="37" t="n">
        <f aca="true">IFERROR(DATEDIF(E1164,TODAY(),"Y"),"")</f>
        <v>50</v>
      </c>
      <c r="G1164" s="40" t="s">
        <v>5379</v>
      </c>
      <c r="H1164" s="40"/>
      <c r="I1164" s="38" t="s">
        <v>5380</v>
      </c>
      <c r="J1164" s="38" t="s">
        <v>15</v>
      </c>
      <c r="K1164" s="38" t="s">
        <v>5381</v>
      </c>
      <c r="L1164" s="38" t="s">
        <v>53</v>
      </c>
      <c r="M1164" s="37" t="s">
        <v>5382</v>
      </c>
      <c r="N1164" s="39" t="n">
        <v>42709</v>
      </c>
      <c r="O1164" s="41" t="s">
        <v>23</v>
      </c>
      <c r="P1164" s="41" t="s">
        <v>105</v>
      </c>
      <c r="Q1164" s="42"/>
      <c r="R1164" s="41"/>
      <c r="S1164" s="42"/>
      <c r="T1164" s="41"/>
    </row>
    <row r="1165" customFormat="false" ht="13.5" hidden="false" customHeight="true" outlineLevel="0" collapsed="false">
      <c r="A1165" s="37" t="n">
        <v>1162</v>
      </c>
      <c r="B1165" s="37" t="n">
        <v>3453</v>
      </c>
      <c r="C1165" s="38" t="s">
        <v>5383</v>
      </c>
      <c r="D1165" s="37" t="s">
        <v>100</v>
      </c>
      <c r="E1165" s="39" t="n">
        <v>27042</v>
      </c>
      <c r="F1165" s="37" t="n">
        <f aca="true">IFERROR(DATEDIF(E1165,TODAY(),"Y"),"")</f>
        <v>52</v>
      </c>
      <c r="G1165" s="40" t="s">
        <v>5384</v>
      </c>
      <c r="H1165" s="40" t="s">
        <v>5385</v>
      </c>
      <c r="I1165" s="38" t="s">
        <v>5386</v>
      </c>
      <c r="J1165" s="38" t="s">
        <v>15</v>
      </c>
      <c r="K1165" s="38" t="s">
        <v>5387</v>
      </c>
      <c r="L1165" s="38" t="s">
        <v>47</v>
      </c>
      <c r="M1165" s="37" t="s">
        <v>231</v>
      </c>
      <c r="N1165" s="39" t="n">
        <v>42709</v>
      </c>
      <c r="O1165" s="41" t="s">
        <v>23</v>
      </c>
      <c r="P1165" s="41" t="s">
        <v>105</v>
      </c>
      <c r="Q1165" s="42"/>
      <c r="R1165" s="41"/>
      <c r="S1165" s="42"/>
      <c r="T1165" s="41"/>
    </row>
    <row r="1166" customFormat="false" ht="13.5" hidden="false" customHeight="true" outlineLevel="0" collapsed="false">
      <c r="A1166" s="37" t="n">
        <v>1163</v>
      </c>
      <c r="B1166" s="37" t="n">
        <v>3454</v>
      </c>
      <c r="C1166" s="38" t="s">
        <v>5388</v>
      </c>
      <c r="D1166" s="37" t="s">
        <v>100</v>
      </c>
      <c r="E1166" s="39" t="n">
        <v>27338</v>
      </c>
      <c r="F1166" s="37" t="n">
        <f aca="true">IFERROR(DATEDIF(E1166,TODAY(),"Y"),"")</f>
        <v>51</v>
      </c>
      <c r="G1166" s="40" t="s">
        <v>5389</v>
      </c>
      <c r="H1166" s="40" t="s">
        <v>5390</v>
      </c>
      <c r="I1166" s="38" t="s">
        <v>5391</v>
      </c>
      <c r="J1166" s="38" t="s">
        <v>16</v>
      </c>
      <c r="K1166" s="38" t="s">
        <v>5392</v>
      </c>
      <c r="L1166" s="38" t="s">
        <v>43</v>
      </c>
      <c r="M1166" s="37" t="s">
        <v>177</v>
      </c>
      <c r="N1166" s="39" t="n">
        <v>42711</v>
      </c>
      <c r="O1166" s="41" t="s">
        <v>23</v>
      </c>
      <c r="P1166" s="41" t="s">
        <v>105</v>
      </c>
      <c r="Q1166" s="42"/>
      <c r="R1166" s="41"/>
      <c r="S1166" s="42"/>
      <c r="T1166" s="41"/>
    </row>
    <row r="1167" customFormat="false" ht="13.5" hidden="false" customHeight="true" outlineLevel="0" collapsed="false">
      <c r="A1167" s="37" t="n">
        <v>1164</v>
      </c>
      <c r="B1167" s="37" t="n">
        <v>3455</v>
      </c>
      <c r="C1167" s="38" t="s">
        <v>5393</v>
      </c>
      <c r="D1167" s="37" t="s">
        <v>100</v>
      </c>
      <c r="E1167" s="39" t="n">
        <v>27170</v>
      </c>
      <c r="F1167" s="37" t="n">
        <f aca="true">IFERROR(DATEDIF(E1167,TODAY(),"Y"),"")</f>
        <v>52</v>
      </c>
      <c r="G1167" s="40" t="s">
        <v>5394</v>
      </c>
      <c r="H1167" s="40"/>
      <c r="I1167" s="38" t="s">
        <v>5395</v>
      </c>
      <c r="J1167" s="38" t="s">
        <v>16</v>
      </c>
      <c r="K1167" s="38" t="s">
        <v>5396</v>
      </c>
      <c r="L1167" s="38" t="s">
        <v>52</v>
      </c>
      <c r="M1167" s="37" t="s">
        <v>104</v>
      </c>
      <c r="N1167" s="39" t="n">
        <v>42723</v>
      </c>
      <c r="O1167" s="41" t="s">
        <v>23</v>
      </c>
      <c r="P1167" s="41" t="s">
        <v>105</v>
      </c>
      <c r="Q1167" s="42"/>
      <c r="R1167" s="41"/>
      <c r="S1167" s="42"/>
      <c r="T1167" s="41"/>
    </row>
    <row r="1168" customFormat="false" ht="13.5" hidden="false" customHeight="true" outlineLevel="0" collapsed="false">
      <c r="A1168" s="37" t="n">
        <v>1165</v>
      </c>
      <c r="B1168" s="37" t="n">
        <v>3457</v>
      </c>
      <c r="C1168" s="38" t="s">
        <v>5397</v>
      </c>
      <c r="D1168" s="37" t="s">
        <v>100</v>
      </c>
      <c r="E1168" s="39" t="n">
        <v>21139</v>
      </c>
      <c r="F1168" s="37" t="n">
        <f aca="true">IFERROR(DATEDIF(E1168,TODAY(),"Y"),"")</f>
        <v>68</v>
      </c>
      <c r="G1168" s="40" t="s">
        <v>5398</v>
      </c>
      <c r="H1168" s="40"/>
      <c r="I1168" s="38" t="s">
        <v>5399</v>
      </c>
      <c r="J1168" s="38"/>
      <c r="K1168" s="38" t="s">
        <v>5400</v>
      </c>
      <c r="L1168" s="38" t="s">
        <v>47</v>
      </c>
      <c r="M1168" s="37"/>
      <c r="N1168" s="39" t="n">
        <v>42725</v>
      </c>
      <c r="O1168" s="41" t="s">
        <v>23</v>
      </c>
      <c r="P1168" s="41" t="s">
        <v>105</v>
      </c>
      <c r="Q1168" s="42"/>
      <c r="R1168" s="41"/>
      <c r="S1168" s="42"/>
      <c r="T1168" s="41"/>
    </row>
    <row r="1169" customFormat="false" ht="13.5" hidden="false" customHeight="true" outlineLevel="0" collapsed="false">
      <c r="A1169" s="37" t="n">
        <v>1166</v>
      </c>
      <c r="B1169" s="37" t="n">
        <v>3458</v>
      </c>
      <c r="C1169" s="38" t="s">
        <v>5401</v>
      </c>
      <c r="D1169" s="37" t="s">
        <v>100</v>
      </c>
      <c r="E1169" s="39" t="n">
        <v>25343</v>
      </c>
      <c r="F1169" s="37" t="n">
        <f aca="true">IFERROR(DATEDIF(E1169,TODAY(),"Y"),"")</f>
        <v>57</v>
      </c>
      <c r="G1169" s="40" t="s">
        <v>5402</v>
      </c>
      <c r="H1169" s="40" t="s">
        <v>5403</v>
      </c>
      <c r="I1169" s="38" t="s">
        <v>5404</v>
      </c>
      <c r="J1169" s="38" t="s">
        <v>15</v>
      </c>
      <c r="K1169" s="38" t="s">
        <v>5405</v>
      </c>
      <c r="L1169" s="38" t="s">
        <v>46</v>
      </c>
      <c r="M1169" s="37"/>
      <c r="N1169" s="39" t="n">
        <v>42725</v>
      </c>
      <c r="O1169" s="41" t="s">
        <v>23</v>
      </c>
      <c r="P1169" s="41" t="s">
        <v>105</v>
      </c>
      <c r="Q1169" s="42"/>
      <c r="R1169" s="41"/>
      <c r="S1169" s="42"/>
      <c r="T1169" s="41"/>
    </row>
    <row r="1170" customFormat="false" ht="13.5" hidden="false" customHeight="true" outlineLevel="0" collapsed="false">
      <c r="A1170" s="37" t="n">
        <v>1167</v>
      </c>
      <c r="B1170" s="37" t="n">
        <v>3459</v>
      </c>
      <c r="C1170" s="38" t="s">
        <v>5406</v>
      </c>
      <c r="D1170" s="37" t="s">
        <v>100</v>
      </c>
      <c r="E1170" s="39" t="n">
        <v>23861</v>
      </c>
      <c r="F1170" s="37" t="n">
        <f aca="true">IFERROR(DATEDIF(E1170,TODAY(),"Y"),"")</f>
        <v>61</v>
      </c>
      <c r="G1170" s="40" t="s">
        <v>5407</v>
      </c>
      <c r="H1170" s="40"/>
      <c r="I1170" s="38" t="s">
        <v>5408</v>
      </c>
      <c r="J1170" s="38" t="s">
        <v>15</v>
      </c>
      <c r="K1170" s="38" t="s">
        <v>5409</v>
      </c>
      <c r="L1170" s="38" t="s">
        <v>53</v>
      </c>
      <c r="M1170" s="37" t="s">
        <v>177</v>
      </c>
      <c r="N1170" s="39" t="n">
        <v>42725</v>
      </c>
      <c r="O1170" s="41" t="s">
        <v>23</v>
      </c>
      <c r="P1170" s="41" t="s">
        <v>105</v>
      </c>
      <c r="Q1170" s="42"/>
      <c r="R1170" s="41"/>
      <c r="S1170" s="42"/>
      <c r="T1170" s="41"/>
    </row>
    <row r="1171" customFormat="false" ht="13.5" hidden="false" customHeight="true" outlineLevel="0" collapsed="false">
      <c r="A1171" s="37" t="n">
        <v>1168</v>
      </c>
      <c r="B1171" s="37" t="n">
        <v>3460</v>
      </c>
      <c r="C1171" s="38" t="s">
        <v>5410</v>
      </c>
      <c r="D1171" s="37" t="s">
        <v>100</v>
      </c>
      <c r="E1171" s="39" t="n">
        <v>23855</v>
      </c>
      <c r="F1171" s="37" t="n">
        <f aca="true">IFERROR(DATEDIF(E1171,TODAY(),"Y"),"")</f>
        <v>61</v>
      </c>
      <c r="G1171" s="40" t="s">
        <v>5411</v>
      </c>
      <c r="H1171" s="40"/>
      <c r="I1171" s="38"/>
      <c r="J1171" s="38" t="s">
        <v>16</v>
      </c>
      <c r="K1171" s="38" t="s">
        <v>5412</v>
      </c>
      <c r="L1171" s="38" t="s">
        <v>48</v>
      </c>
      <c r="M1171" s="37"/>
      <c r="N1171" s="39" t="n">
        <v>42732</v>
      </c>
      <c r="O1171" s="41" t="s">
        <v>23</v>
      </c>
      <c r="P1171" s="41" t="s">
        <v>105</v>
      </c>
      <c r="Q1171" s="42"/>
      <c r="R1171" s="41"/>
      <c r="S1171" s="42"/>
      <c r="T1171" s="41"/>
    </row>
    <row r="1172" customFormat="false" ht="13.5" hidden="false" customHeight="true" outlineLevel="0" collapsed="false">
      <c r="A1172" s="37" t="n">
        <v>1169</v>
      </c>
      <c r="B1172" s="37" t="n">
        <v>3461</v>
      </c>
      <c r="C1172" s="38" t="s">
        <v>5413</v>
      </c>
      <c r="D1172" s="37" t="s">
        <v>100</v>
      </c>
      <c r="E1172" s="39" t="n">
        <v>26806</v>
      </c>
      <c r="F1172" s="37" t="n">
        <f aca="true">IFERROR(DATEDIF(E1172,TODAY(),"Y"),"")</f>
        <v>53</v>
      </c>
      <c r="G1172" s="40" t="s">
        <v>5414</v>
      </c>
      <c r="H1172" s="40"/>
      <c r="I1172" s="38" t="s">
        <v>5415</v>
      </c>
      <c r="J1172" s="38" t="s">
        <v>16</v>
      </c>
      <c r="K1172" s="38" t="s">
        <v>5416</v>
      </c>
      <c r="L1172" s="38" t="s">
        <v>55</v>
      </c>
      <c r="M1172" s="37" t="s">
        <v>788</v>
      </c>
      <c r="N1172" s="39" t="n">
        <v>42733</v>
      </c>
      <c r="O1172" s="41" t="s">
        <v>23</v>
      </c>
      <c r="P1172" s="41" t="s">
        <v>105</v>
      </c>
      <c r="Q1172" s="42"/>
      <c r="R1172" s="41"/>
      <c r="S1172" s="42"/>
      <c r="T1172" s="41"/>
    </row>
    <row r="1173" customFormat="false" ht="13.5" hidden="false" customHeight="true" outlineLevel="0" collapsed="false">
      <c r="A1173" s="37" t="n">
        <v>1170</v>
      </c>
      <c r="B1173" s="37" t="n">
        <v>3462</v>
      </c>
      <c r="C1173" s="38" t="s">
        <v>5417</v>
      </c>
      <c r="D1173" s="37" t="s">
        <v>100</v>
      </c>
      <c r="E1173" s="39" t="n">
        <v>22791</v>
      </c>
      <c r="F1173" s="37" t="n">
        <f aca="true">IFERROR(DATEDIF(E1173,TODAY(),"Y"),"")</f>
        <v>64</v>
      </c>
      <c r="G1173" s="40" t="s">
        <v>5418</v>
      </c>
      <c r="H1173" s="40"/>
      <c r="I1173" s="38" t="s">
        <v>5419</v>
      </c>
      <c r="J1173" s="38" t="s">
        <v>16</v>
      </c>
      <c r="K1173" s="38" t="s">
        <v>5420</v>
      </c>
      <c r="L1173" s="38" t="s">
        <v>43</v>
      </c>
      <c r="M1173" s="37" t="s">
        <v>493</v>
      </c>
      <c r="N1173" s="39" t="n">
        <v>42735</v>
      </c>
      <c r="O1173" s="41" t="s">
        <v>23</v>
      </c>
      <c r="P1173" s="41" t="s">
        <v>105</v>
      </c>
      <c r="Q1173" s="42"/>
      <c r="R1173" s="41"/>
      <c r="S1173" s="42"/>
      <c r="T1173" s="41"/>
    </row>
    <row r="1174" customFormat="false" ht="13.5" hidden="false" customHeight="true" outlineLevel="0" collapsed="false">
      <c r="A1174" s="37" t="n">
        <v>1171</v>
      </c>
      <c r="B1174" s="37" t="n">
        <v>3463</v>
      </c>
      <c r="C1174" s="38" t="s">
        <v>5421</v>
      </c>
      <c r="D1174" s="37" t="s">
        <v>100</v>
      </c>
      <c r="E1174" s="39" t="n">
        <v>27506</v>
      </c>
      <c r="F1174" s="37" t="n">
        <f aca="true">IFERROR(DATEDIF(E1174,TODAY(),"Y"),"")</f>
        <v>51</v>
      </c>
      <c r="G1174" s="40" t="s">
        <v>5422</v>
      </c>
      <c r="H1174" s="40" t="s">
        <v>5423</v>
      </c>
      <c r="I1174" s="38" t="s">
        <v>5424</v>
      </c>
      <c r="J1174" s="38" t="s">
        <v>16</v>
      </c>
      <c r="K1174" s="38" t="s">
        <v>5425</v>
      </c>
      <c r="L1174" s="38" t="s">
        <v>46</v>
      </c>
      <c r="M1174" s="37" t="s">
        <v>104</v>
      </c>
      <c r="N1174" s="39" t="n">
        <v>42738</v>
      </c>
      <c r="O1174" s="41" t="s">
        <v>23</v>
      </c>
      <c r="P1174" s="41" t="s">
        <v>105</v>
      </c>
      <c r="Q1174" s="42"/>
      <c r="R1174" s="41"/>
      <c r="S1174" s="42"/>
      <c r="T1174" s="41"/>
    </row>
    <row r="1175" customFormat="false" ht="13.5" hidden="false" customHeight="true" outlineLevel="0" collapsed="false">
      <c r="A1175" s="37" t="n">
        <v>1172</v>
      </c>
      <c r="B1175" s="37" t="n">
        <v>3465</v>
      </c>
      <c r="C1175" s="38" t="s">
        <v>5426</v>
      </c>
      <c r="D1175" s="37" t="s">
        <v>100</v>
      </c>
      <c r="E1175" s="39" t="n">
        <v>26439</v>
      </c>
      <c r="F1175" s="37" t="n">
        <f aca="true">IFERROR(DATEDIF(E1175,TODAY(),"Y"),"")</f>
        <v>54</v>
      </c>
      <c r="G1175" s="40" t="s">
        <v>5427</v>
      </c>
      <c r="H1175" s="40"/>
      <c r="I1175" s="38" t="s">
        <v>5428</v>
      </c>
      <c r="J1175" s="38" t="s">
        <v>15</v>
      </c>
      <c r="K1175" s="38" t="s">
        <v>5429</v>
      </c>
      <c r="L1175" s="38" t="s">
        <v>51</v>
      </c>
      <c r="M1175" s="37" t="s">
        <v>120</v>
      </c>
      <c r="N1175" s="39" t="n">
        <v>42740</v>
      </c>
      <c r="O1175" s="41" t="s">
        <v>23</v>
      </c>
      <c r="P1175" s="41" t="s">
        <v>105</v>
      </c>
      <c r="Q1175" s="42"/>
      <c r="R1175" s="41"/>
      <c r="S1175" s="42"/>
      <c r="T1175" s="41"/>
    </row>
    <row r="1176" customFormat="false" ht="13.5" hidden="false" customHeight="true" outlineLevel="0" collapsed="false">
      <c r="A1176" s="37" t="n">
        <v>1173</v>
      </c>
      <c r="B1176" s="37" t="n">
        <v>3466</v>
      </c>
      <c r="C1176" s="38" t="s">
        <v>5430</v>
      </c>
      <c r="D1176" s="37" t="s">
        <v>100</v>
      </c>
      <c r="E1176" s="39" t="n">
        <v>27208</v>
      </c>
      <c r="F1176" s="37" t="n">
        <f aca="true">IFERROR(DATEDIF(E1176,TODAY(),"Y"),"")</f>
        <v>52</v>
      </c>
      <c r="G1176" s="40" t="s">
        <v>5431</v>
      </c>
      <c r="H1176" s="40"/>
      <c r="I1176" s="38" t="s">
        <v>5432</v>
      </c>
      <c r="J1176" s="38" t="s">
        <v>16</v>
      </c>
      <c r="K1176" s="38" t="s">
        <v>5433</v>
      </c>
      <c r="L1176" s="38" t="s">
        <v>43</v>
      </c>
      <c r="M1176" s="37" t="s">
        <v>177</v>
      </c>
      <c r="N1176" s="39" t="n">
        <v>42740</v>
      </c>
      <c r="O1176" s="41" t="s">
        <v>23</v>
      </c>
      <c r="P1176" s="41" t="s">
        <v>105</v>
      </c>
      <c r="Q1176" s="42"/>
      <c r="R1176" s="41"/>
      <c r="S1176" s="42"/>
      <c r="T1176" s="41"/>
    </row>
    <row r="1177" customFormat="false" ht="13.5" hidden="false" customHeight="true" outlineLevel="0" collapsed="false">
      <c r="A1177" s="37" t="n">
        <v>1174</v>
      </c>
      <c r="B1177" s="37" t="n">
        <v>3467</v>
      </c>
      <c r="C1177" s="38" t="s">
        <v>5434</v>
      </c>
      <c r="D1177" s="37" t="s">
        <v>100</v>
      </c>
      <c r="E1177" s="39" t="n">
        <v>24234</v>
      </c>
      <c r="F1177" s="37" t="n">
        <f aca="true">IFERROR(DATEDIF(E1177,TODAY(),"Y"),"")</f>
        <v>60</v>
      </c>
      <c r="G1177" s="40" t="s">
        <v>5435</v>
      </c>
      <c r="H1177" s="40" t="s">
        <v>5436</v>
      </c>
      <c r="I1177" s="38" t="s">
        <v>5437</v>
      </c>
      <c r="J1177" s="38" t="s">
        <v>15</v>
      </c>
      <c r="K1177" s="38" t="s">
        <v>5438</v>
      </c>
      <c r="L1177" s="38" t="s">
        <v>55</v>
      </c>
      <c r="M1177" s="37" t="s">
        <v>120</v>
      </c>
      <c r="N1177" s="39" t="n">
        <v>42740</v>
      </c>
      <c r="O1177" s="41" t="s">
        <v>23</v>
      </c>
      <c r="P1177" s="41" t="s">
        <v>105</v>
      </c>
      <c r="Q1177" s="42"/>
      <c r="R1177" s="41"/>
      <c r="S1177" s="42"/>
      <c r="T1177" s="41"/>
    </row>
    <row r="1178" customFormat="false" ht="13.5" hidden="false" customHeight="true" outlineLevel="0" collapsed="false">
      <c r="A1178" s="37" t="n">
        <v>1175</v>
      </c>
      <c r="B1178" s="37" t="n">
        <v>3468</v>
      </c>
      <c r="C1178" s="38" t="s">
        <v>5439</v>
      </c>
      <c r="D1178" s="37" t="s">
        <v>100</v>
      </c>
      <c r="E1178" s="39" t="n">
        <v>30807</v>
      </c>
      <c r="F1178" s="37" t="n">
        <f aca="true">IFERROR(DATEDIF(E1178,TODAY(),"Y"),"")</f>
        <v>42</v>
      </c>
      <c r="G1178" s="40" t="s">
        <v>5440</v>
      </c>
      <c r="H1178" s="40" t="s">
        <v>5441</v>
      </c>
      <c r="I1178" s="38" t="s">
        <v>5442</v>
      </c>
      <c r="J1178" s="38" t="s">
        <v>15</v>
      </c>
      <c r="K1178" s="38" t="s">
        <v>5443</v>
      </c>
      <c r="L1178" s="38" t="s">
        <v>55</v>
      </c>
      <c r="M1178" s="37" t="s">
        <v>177</v>
      </c>
      <c r="N1178" s="39" t="n">
        <v>42742</v>
      </c>
      <c r="O1178" s="41" t="s">
        <v>23</v>
      </c>
      <c r="P1178" s="41" t="s">
        <v>105</v>
      </c>
      <c r="Q1178" s="42"/>
      <c r="R1178" s="41"/>
      <c r="S1178" s="42"/>
      <c r="T1178" s="41"/>
    </row>
    <row r="1179" customFormat="false" ht="13.5" hidden="false" customHeight="true" outlineLevel="0" collapsed="false">
      <c r="A1179" s="37" t="n">
        <v>1176</v>
      </c>
      <c r="B1179" s="37" t="n">
        <v>3469</v>
      </c>
      <c r="C1179" s="38" t="s">
        <v>5444</v>
      </c>
      <c r="D1179" s="37" t="s">
        <v>100</v>
      </c>
      <c r="E1179" s="39" t="n">
        <v>24623</v>
      </c>
      <c r="F1179" s="37" t="n">
        <f aca="true">IFERROR(DATEDIF(E1179,TODAY(),"Y"),"")</f>
        <v>59</v>
      </c>
      <c r="G1179" s="40" t="s">
        <v>5445</v>
      </c>
      <c r="H1179" s="40"/>
      <c r="I1179" s="38" t="s">
        <v>5446</v>
      </c>
      <c r="J1179" s="38" t="s">
        <v>16</v>
      </c>
      <c r="K1179" s="38" t="s">
        <v>5447</v>
      </c>
      <c r="L1179" s="38" t="s">
        <v>43</v>
      </c>
      <c r="M1179" s="37" t="s">
        <v>104</v>
      </c>
      <c r="N1179" s="39" t="n">
        <v>42744</v>
      </c>
      <c r="O1179" s="41" t="s">
        <v>23</v>
      </c>
      <c r="P1179" s="41" t="s">
        <v>105</v>
      </c>
      <c r="Q1179" s="42"/>
      <c r="R1179" s="41"/>
      <c r="S1179" s="42"/>
      <c r="T1179" s="41"/>
    </row>
    <row r="1180" customFormat="false" ht="13.5" hidden="false" customHeight="true" outlineLevel="0" collapsed="false">
      <c r="A1180" s="37" t="n">
        <v>1177</v>
      </c>
      <c r="B1180" s="37" t="n">
        <v>3470</v>
      </c>
      <c r="C1180" s="38" t="s">
        <v>5448</v>
      </c>
      <c r="D1180" s="37" t="s">
        <v>100</v>
      </c>
      <c r="E1180" s="39" t="n">
        <v>33361</v>
      </c>
      <c r="F1180" s="37" t="n">
        <f aca="true">IFERROR(DATEDIF(E1180,TODAY(),"Y"),"")</f>
        <v>35</v>
      </c>
      <c r="G1180" s="40" t="s">
        <v>5449</v>
      </c>
      <c r="H1180" s="40" t="s">
        <v>5450</v>
      </c>
      <c r="I1180" s="38" t="s">
        <v>5451</v>
      </c>
      <c r="J1180" s="38" t="s">
        <v>16</v>
      </c>
      <c r="K1180" s="38" t="s">
        <v>5452</v>
      </c>
      <c r="L1180" s="38" t="s">
        <v>48</v>
      </c>
      <c r="M1180" s="37" t="s">
        <v>177</v>
      </c>
      <c r="N1180" s="39" t="n">
        <v>42749</v>
      </c>
      <c r="O1180" s="41" t="s">
        <v>23</v>
      </c>
      <c r="P1180" s="41" t="s">
        <v>105</v>
      </c>
      <c r="Q1180" s="42"/>
      <c r="R1180" s="41"/>
      <c r="S1180" s="42"/>
      <c r="T1180" s="41"/>
    </row>
    <row r="1181" customFormat="false" ht="13.5" hidden="false" customHeight="true" outlineLevel="0" collapsed="false">
      <c r="A1181" s="37" t="n">
        <v>1178</v>
      </c>
      <c r="B1181" s="37" t="n">
        <v>3471</v>
      </c>
      <c r="C1181" s="38" t="s">
        <v>5453</v>
      </c>
      <c r="D1181" s="37" t="s">
        <v>100</v>
      </c>
      <c r="E1181" s="39" t="n">
        <v>25632</v>
      </c>
      <c r="F1181" s="37" t="n">
        <f aca="true">IFERROR(DATEDIF(E1181,TODAY(),"Y"),"")</f>
        <v>56</v>
      </c>
      <c r="G1181" s="40" t="s">
        <v>5454</v>
      </c>
      <c r="H1181" s="40"/>
      <c r="I1181" s="38" t="s">
        <v>5455</v>
      </c>
      <c r="J1181" s="38" t="s">
        <v>15</v>
      </c>
      <c r="K1181" s="38" t="s">
        <v>5456</v>
      </c>
      <c r="L1181" s="38" t="s">
        <v>49</v>
      </c>
      <c r="M1181" s="37" t="s">
        <v>104</v>
      </c>
      <c r="N1181" s="39" t="n">
        <v>42750</v>
      </c>
      <c r="O1181" s="41" t="s">
        <v>23</v>
      </c>
      <c r="P1181" s="41" t="s">
        <v>105</v>
      </c>
      <c r="Q1181" s="42"/>
      <c r="R1181" s="41"/>
      <c r="S1181" s="42"/>
      <c r="T1181" s="41"/>
    </row>
    <row r="1182" customFormat="false" ht="13.5" hidden="false" customHeight="true" outlineLevel="0" collapsed="false">
      <c r="A1182" s="37" t="n">
        <v>1179</v>
      </c>
      <c r="B1182" s="37" t="n">
        <v>3472</v>
      </c>
      <c r="C1182" s="38" t="s">
        <v>5457</v>
      </c>
      <c r="D1182" s="37" t="s">
        <v>100</v>
      </c>
      <c r="E1182" s="39" t="n">
        <v>30613</v>
      </c>
      <c r="F1182" s="37" t="n">
        <f aca="true">IFERROR(DATEDIF(E1182,TODAY(),"Y"),"")</f>
        <v>42</v>
      </c>
      <c r="G1182" s="40" t="s">
        <v>5458</v>
      </c>
      <c r="H1182" s="40"/>
      <c r="I1182" s="38" t="s">
        <v>5459</v>
      </c>
      <c r="J1182" s="38" t="s">
        <v>16</v>
      </c>
      <c r="K1182" s="38" t="s">
        <v>5460</v>
      </c>
      <c r="L1182" s="38" t="s">
        <v>48</v>
      </c>
      <c r="M1182" s="37" t="s">
        <v>120</v>
      </c>
      <c r="N1182" s="39" t="n">
        <v>42753</v>
      </c>
      <c r="O1182" s="41" t="s">
        <v>23</v>
      </c>
      <c r="P1182" s="41" t="s">
        <v>105</v>
      </c>
      <c r="Q1182" s="42"/>
      <c r="R1182" s="41"/>
      <c r="S1182" s="42"/>
      <c r="T1182" s="41"/>
    </row>
    <row r="1183" customFormat="false" ht="13.5" hidden="false" customHeight="true" outlineLevel="0" collapsed="false">
      <c r="A1183" s="37" t="n">
        <v>1180</v>
      </c>
      <c r="B1183" s="37" t="n">
        <v>3476</v>
      </c>
      <c r="C1183" s="38" t="s">
        <v>5461</v>
      </c>
      <c r="D1183" s="37" t="s">
        <v>100</v>
      </c>
      <c r="E1183" s="39" t="n">
        <v>22395</v>
      </c>
      <c r="F1183" s="37" t="n">
        <f aca="true">IFERROR(DATEDIF(E1183,TODAY(),"Y"),"")</f>
        <v>65</v>
      </c>
      <c r="G1183" s="40" t="s">
        <v>5462</v>
      </c>
      <c r="H1183" s="40" t="s">
        <v>5463</v>
      </c>
      <c r="I1183" s="38" t="s">
        <v>5464</v>
      </c>
      <c r="J1183" s="38" t="s">
        <v>16</v>
      </c>
      <c r="K1183" s="38" t="s">
        <v>5465</v>
      </c>
      <c r="L1183" s="38" t="s">
        <v>54</v>
      </c>
      <c r="M1183" s="37" t="s">
        <v>120</v>
      </c>
      <c r="N1183" s="39" t="n">
        <v>42768</v>
      </c>
      <c r="O1183" s="41" t="s">
        <v>23</v>
      </c>
      <c r="P1183" s="41" t="s">
        <v>105</v>
      </c>
      <c r="Q1183" s="42"/>
      <c r="R1183" s="41"/>
      <c r="S1183" s="42"/>
      <c r="T1183" s="41"/>
    </row>
    <row r="1184" customFormat="false" ht="13.5" hidden="false" customHeight="true" outlineLevel="0" collapsed="false">
      <c r="A1184" s="37" t="n">
        <v>1181</v>
      </c>
      <c r="B1184" s="37" t="n">
        <v>3477</v>
      </c>
      <c r="C1184" s="38" t="s">
        <v>5466</v>
      </c>
      <c r="D1184" s="37" t="s">
        <v>100</v>
      </c>
      <c r="E1184" s="39" t="n">
        <v>29594</v>
      </c>
      <c r="F1184" s="37" t="n">
        <f aca="true">IFERROR(DATEDIF(E1184,TODAY(),"Y"),"")</f>
        <v>45</v>
      </c>
      <c r="G1184" s="40" t="s">
        <v>5467</v>
      </c>
      <c r="H1184" s="40" t="s">
        <v>5468</v>
      </c>
      <c r="I1184" s="38" t="s">
        <v>5469</v>
      </c>
      <c r="J1184" s="38" t="s">
        <v>16</v>
      </c>
      <c r="K1184" s="38" t="s">
        <v>5470</v>
      </c>
      <c r="L1184" s="38" t="s">
        <v>55</v>
      </c>
      <c r="M1184" s="37" t="s">
        <v>120</v>
      </c>
      <c r="N1184" s="39" t="n">
        <v>42770</v>
      </c>
      <c r="O1184" s="41" t="s">
        <v>23</v>
      </c>
      <c r="P1184" s="41" t="s">
        <v>105</v>
      </c>
      <c r="Q1184" s="42"/>
      <c r="R1184" s="41"/>
      <c r="S1184" s="42"/>
      <c r="T1184" s="41"/>
    </row>
    <row r="1185" customFormat="false" ht="13.5" hidden="false" customHeight="true" outlineLevel="0" collapsed="false">
      <c r="A1185" s="37" t="n">
        <v>1182</v>
      </c>
      <c r="B1185" s="37" t="n">
        <v>3480</v>
      </c>
      <c r="C1185" s="38" t="s">
        <v>5471</v>
      </c>
      <c r="D1185" s="37" t="s">
        <v>100</v>
      </c>
      <c r="E1185" s="39" t="n">
        <v>25346</v>
      </c>
      <c r="F1185" s="37" t="n">
        <f aca="true">IFERROR(DATEDIF(E1185,TODAY(),"Y"),"")</f>
        <v>57</v>
      </c>
      <c r="G1185" s="40" t="s">
        <v>5472</v>
      </c>
      <c r="H1185" s="40"/>
      <c r="I1185" s="38" t="s">
        <v>5473</v>
      </c>
      <c r="J1185" s="38" t="s">
        <v>15</v>
      </c>
      <c r="K1185" s="38" t="s">
        <v>5474</v>
      </c>
      <c r="L1185" s="38" t="s">
        <v>47</v>
      </c>
      <c r="M1185" s="37"/>
      <c r="N1185" s="39" t="n">
        <v>42779</v>
      </c>
      <c r="O1185" s="41" t="s">
        <v>23</v>
      </c>
      <c r="P1185" s="41" t="s">
        <v>105</v>
      </c>
      <c r="Q1185" s="42"/>
      <c r="R1185" s="41"/>
      <c r="S1185" s="42"/>
      <c r="T1185" s="41"/>
    </row>
    <row r="1186" customFormat="false" ht="13.5" hidden="false" customHeight="true" outlineLevel="0" collapsed="false">
      <c r="A1186" s="37" t="n">
        <v>1183</v>
      </c>
      <c r="B1186" s="37" t="n">
        <v>3481</v>
      </c>
      <c r="C1186" s="38" t="s">
        <v>5475</v>
      </c>
      <c r="D1186" s="37" t="s">
        <v>100</v>
      </c>
      <c r="E1186" s="39" t="n">
        <v>22051</v>
      </c>
      <c r="F1186" s="37" t="n">
        <f aca="true">IFERROR(DATEDIF(E1186,TODAY(),"Y"),"")</f>
        <v>66</v>
      </c>
      <c r="G1186" s="40" t="s">
        <v>5476</v>
      </c>
      <c r="H1186" s="40"/>
      <c r="I1186" s="38" t="s">
        <v>5477</v>
      </c>
      <c r="J1186" s="38" t="s">
        <v>15</v>
      </c>
      <c r="K1186" s="38" t="s">
        <v>5478</v>
      </c>
      <c r="L1186" s="38" t="s">
        <v>47</v>
      </c>
      <c r="M1186" s="37" t="s">
        <v>104</v>
      </c>
      <c r="N1186" s="39" t="n">
        <v>42781</v>
      </c>
      <c r="O1186" s="41" t="s">
        <v>23</v>
      </c>
      <c r="P1186" s="41" t="s">
        <v>105</v>
      </c>
      <c r="Q1186" s="42"/>
      <c r="R1186" s="41"/>
      <c r="S1186" s="42"/>
      <c r="T1186" s="41"/>
    </row>
    <row r="1187" customFormat="false" ht="13.5" hidden="false" customHeight="true" outlineLevel="0" collapsed="false">
      <c r="A1187" s="37" t="n">
        <v>1184</v>
      </c>
      <c r="B1187" s="37" t="n">
        <v>3483</v>
      </c>
      <c r="C1187" s="38" t="s">
        <v>5479</v>
      </c>
      <c r="D1187" s="37" t="s">
        <v>100</v>
      </c>
      <c r="E1187" s="39" t="n">
        <v>26970</v>
      </c>
      <c r="F1187" s="37" t="n">
        <f aca="true">IFERROR(DATEDIF(E1187,TODAY(),"Y"),"")</f>
        <v>52</v>
      </c>
      <c r="G1187" s="40" t="s">
        <v>5480</v>
      </c>
      <c r="H1187" s="40"/>
      <c r="I1187" s="38" t="s">
        <v>5481</v>
      </c>
      <c r="J1187" s="38" t="s">
        <v>15</v>
      </c>
      <c r="K1187" s="38" t="s">
        <v>5482</v>
      </c>
      <c r="L1187" s="38" t="s">
        <v>50</v>
      </c>
      <c r="M1187" s="37" t="s">
        <v>104</v>
      </c>
      <c r="N1187" s="39" t="n">
        <v>42784</v>
      </c>
      <c r="O1187" s="41" t="s">
        <v>23</v>
      </c>
      <c r="P1187" s="41" t="s">
        <v>105</v>
      </c>
      <c r="Q1187" s="42"/>
      <c r="R1187" s="41"/>
      <c r="S1187" s="42"/>
      <c r="T1187" s="41"/>
    </row>
    <row r="1188" customFormat="false" ht="13.5" hidden="false" customHeight="true" outlineLevel="0" collapsed="false">
      <c r="A1188" s="37" t="n">
        <v>1185</v>
      </c>
      <c r="B1188" s="37" t="n">
        <v>3484</v>
      </c>
      <c r="C1188" s="38" t="s">
        <v>5483</v>
      </c>
      <c r="D1188" s="37" t="s">
        <v>100</v>
      </c>
      <c r="E1188" s="39" t="n">
        <v>22851</v>
      </c>
      <c r="F1188" s="37" t="n">
        <f aca="true">IFERROR(DATEDIF(E1188,TODAY(),"Y"),"")</f>
        <v>64</v>
      </c>
      <c r="G1188" s="40" t="s">
        <v>5484</v>
      </c>
      <c r="H1188" s="40"/>
      <c r="I1188" s="38" t="s">
        <v>5485</v>
      </c>
      <c r="J1188" s="38" t="s">
        <v>16</v>
      </c>
      <c r="K1188" s="38" t="s">
        <v>5486</v>
      </c>
      <c r="L1188" s="38" t="s">
        <v>55</v>
      </c>
      <c r="M1188" s="37" t="s">
        <v>120</v>
      </c>
      <c r="N1188" s="39" t="n">
        <v>42785</v>
      </c>
      <c r="O1188" s="41" t="s">
        <v>23</v>
      </c>
      <c r="P1188" s="41" t="s">
        <v>105</v>
      </c>
      <c r="Q1188" s="42"/>
      <c r="R1188" s="41"/>
      <c r="S1188" s="42"/>
      <c r="T1188" s="41"/>
    </row>
    <row r="1189" customFormat="false" ht="13.5" hidden="false" customHeight="true" outlineLevel="0" collapsed="false">
      <c r="A1189" s="37" t="n">
        <v>1186</v>
      </c>
      <c r="B1189" s="37" t="n">
        <v>3486</v>
      </c>
      <c r="C1189" s="38" t="s">
        <v>5487</v>
      </c>
      <c r="D1189" s="37" t="s">
        <v>100</v>
      </c>
      <c r="E1189" s="39" t="n">
        <v>26444</v>
      </c>
      <c r="F1189" s="37" t="n">
        <f aca="true">IFERROR(DATEDIF(E1189,TODAY(),"Y"),"")</f>
        <v>54</v>
      </c>
      <c r="G1189" s="40" t="s">
        <v>5488</v>
      </c>
      <c r="H1189" s="40"/>
      <c r="I1189" s="38" t="s">
        <v>5489</v>
      </c>
      <c r="J1189" s="38" t="s">
        <v>15</v>
      </c>
      <c r="K1189" s="38" t="s">
        <v>5490</v>
      </c>
      <c r="L1189" s="38" t="s">
        <v>54</v>
      </c>
      <c r="M1189" s="37" t="s">
        <v>120</v>
      </c>
      <c r="N1189" s="39" t="n">
        <v>42792</v>
      </c>
      <c r="O1189" s="41" t="s">
        <v>23</v>
      </c>
      <c r="P1189" s="41" t="s">
        <v>105</v>
      </c>
      <c r="Q1189" s="42"/>
      <c r="R1189" s="41"/>
      <c r="S1189" s="42"/>
      <c r="T1189" s="41"/>
    </row>
    <row r="1190" customFormat="false" ht="13.5" hidden="false" customHeight="true" outlineLevel="0" collapsed="false">
      <c r="A1190" s="37" t="n">
        <v>1187</v>
      </c>
      <c r="B1190" s="37" t="n">
        <v>3487</v>
      </c>
      <c r="C1190" s="38" t="s">
        <v>5491</v>
      </c>
      <c r="D1190" s="37" t="s">
        <v>100</v>
      </c>
      <c r="E1190" s="39" t="n">
        <v>31445</v>
      </c>
      <c r="F1190" s="37" t="n">
        <f aca="true">IFERROR(DATEDIF(E1190,TODAY(),"Y"),"")</f>
        <v>40</v>
      </c>
      <c r="G1190" s="40" t="s">
        <v>5492</v>
      </c>
      <c r="H1190" s="40"/>
      <c r="I1190" s="38" t="s">
        <v>5493</v>
      </c>
      <c r="J1190" s="38" t="s">
        <v>15</v>
      </c>
      <c r="K1190" s="38" t="s">
        <v>5494</v>
      </c>
      <c r="L1190" s="38" t="s">
        <v>49</v>
      </c>
      <c r="M1190" s="37" t="s">
        <v>120</v>
      </c>
      <c r="N1190" s="39" t="n">
        <v>42793</v>
      </c>
      <c r="O1190" s="41" t="s">
        <v>23</v>
      </c>
      <c r="P1190" s="41" t="s">
        <v>105</v>
      </c>
      <c r="Q1190" s="42"/>
      <c r="R1190" s="41"/>
      <c r="S1190" s="42"/>
      <c r="T1190" s="41"/>
    </row>
    <row r="1191" customFormat="false" ht="13.5" hidden="false" customHeight="true" outlineLevel="0" collapsed="false">
      <c r="A1191" s="37" t="n">
        <v>1188</v>
      </c>
      <c r="B1191" s="37" t="n">
        <v>3489</v>
      </c>
      <c r="C1191" s="38" t="s">
        <v>5495</v>
      </c>
      <c r="D1191" s="37" t="s">
        <v>100</v>
      </c>
      <c r="E1191" s="39" t="n">
        <v>30810</v>
      </c>
      <c r="F1191" s="37" t="n">
        <f aca="true">IFERROR(DATEDIF(E1191,TODAY(),"Y"),"")</f>
        <v>42</v>
      </c>
      <c r="G1191" s="40" t="s">
        <v>5496</v>
      </c>
      <c r="H1191" s="40"/>
      <c r="I1191" s="38" t="s">
        <v>5497</v>
      </c>
      <c r="J1191" s="38" t="s">
        <v>16</v>
      </c>
      <c r="K1191" s="38" t="s">
        <v>5498</v>
      </c>
      <c r="L1191" s="38" t="s">
        <v>50</v>
      </c>
      <c r="M1191" s="37" t="s">
        <v>104</v>
      </c>
      <c r="N1191" s="39" t="n">
        <v>42799</v>
      </c>
      <c r="O1191" s="41" t="s">
        <v>23</v>
      </c>
      <c r="P1191" s="41" t="s">
        <v>105</v>
      </c>
      <c r="Q1191" s="42"/>
      <c r="R1191" s="41"/>
      <c r="S1191" s="42"/>
      <c r="T1191" s="41"/>
    </row>
    <row r="1192" customFormat="false" ht="13.5" hidden="false" customHeight="true" outlineLevel="0" collapsed="false">
      <c r="A1192" s="37" t="n">
        <v>1189</v>
      </c>
      <c r="B1192" s="37" t="n">
        <v>3490</v>
      </c>
      <c r="C1192" s="38" t="s">
        <v>5499</v>
      </c>
      <c r="D1192" s="37" t="s">
        <v>100</v>
      </c>
      <c r="E1192" s="39" t="n">
        <v>27781</v>
      </c>
      <c r="F1192" s="37" t="n">
        <f aca="true">IFERROR(DATEDIF(E1192,TODAY(),"Y"),"")</f>
        <v>50</v>
      </c>
      <c r="G1192" s="40" t="s">
        <v>5500</v>
      </c>
      <c r="H1192" s="40"/>
      <c r="I1192" s="38" t="s">
        <v>5501</v>
      </c>
      <c r="J1192" s="38" t="s">
        <v>22</v>
      </c>
      <c r="K1192" s="38" t="s">
        <v>5502</v>
      </c>
      <c r="L1192" s="38" t="s">
        <v>55</v>
      </c>
      <c r="M1192" s="37" t="s">
        <v>177</v>
      </c>
      <c r="N1192" s="39" t="n">
        <v>42800</v>
      </c>
      <c r="O1192" s="41" t="s">
        <v>23</v>
      </c>
      <c r="P1192" s="41" t="s">
        <v>105</v>
      </c>
      <c r="Q1192" s="42"/>
      <c r="R1192" s="41"/>
      <c r="S1192" s="42"/>
      <c r="T1192" s="41"/>
    </row>
    <row r="1193" customFormat="false" ht="13.5" hidden="false" customHeight="true" outlineLevel="0" collapsed="false">
      <c r="A1193" s="37" t="n">
        <v>1190</v>
      </c>
      <c r="B1193" s="37" t="n">
        <v>3491</v>
      </c>
      <c r="C1193" s="38" t="s">
        <v>5503</v>
      </c>
      <c r="D1193" s="37" t="s">
        <v>100</v>
      </c>
      <c r="E1193" s="39" t="n">
        <v>28500</v>
      </c>
      <c r="F1193" s="37" t="n">
        <f aca="true">IFERROR(DATEDIF(E1193,TODAY(),"Y"),"")</f>
        <v>48</v>
      </c>
      <c r="G1193" s="40" t="s">
        <v>5504</v>
      </c>
      <c r="H1193" s="40" t="s">
        <v>5505</v>
      </c>
      <c r="I1193" s="38" t="s">
        <v>5506</v>
      </c>
      <c r="J1193" s="38" t="s">
        <v>15</v>
      </c>
      <c r="K1193" s="38" t="s">
        <v>5507</v>
      </c>
      <c r="L1193" s="38" t="s">
        <v>50</v>
      </c>
      <c r="M1193" s="37" t="s">
        <v>104</v>
      </c>
      <c r="N1193" s="39" t="n">
        <v>42802</v>
      </c>
      <c r="O1193" s="41" t="s">
        <v>23</v>
      </c>
      <c r="P1193" s="41" t="s">
        <v>105</v>
      </c>
      <c r="Q1193" s="42"/>
      <c r="R1193" s="41"/>
      <c r="S1193" s="42"/>
      <c r="T1193" s="41"/>
    </row>
    <row r="1194" customFormat="false" ht="13.5" hidden="false" customHeight="true" outlineLevel="0" collapsed="false">
      <c r="A1194" s="37" t="n">
        <v>1191</v>
      </c>
      <c r="B1194" s="37" t="n">
        <v>3492</v>
      </c>
      <c r="C1194" s="38" t="s">
        <v>5508</v>
      </c>
      <c r="D1194" s="37" t="s">
        <v>100</v>
      </c>
      <c r="E1194" s="39" t="n">
        <v>28954</v>
      </c>
      <c r="F1194" s="37" t="n">
        <f aca="true">IFERROR(DATEDIF(E1194,TODAY(),"Y"),"")</f>
        <v>47</v>
      </c>
      <c r="G1194" s="40" t="s">
        <v>5509</v>
      </c>
      <c r="H1194" s="40" t="s">
        <v>5510</v>
      </c>
      <c r="I1194" s="38" t="s">
        <v>5511</v>
      </c>
      <c r="J1194" s="38" t="s">
        <v>15</v>
      </c>
      <c r="K1194" s="38" t="s">
        <v>5512</v>
      </c>
      <c r="L1194" s="38" t="s">
        <v>51</v>
      </c>
      <c r="M1194" s="37" t="s">
        <v>231</v>
      </c>
      <c r="N1194" s="39" t="n">
        <v>42802</v>
      </c>
      <c r="O1194" s="41" t="s">
        <v>23</v>
      </c>
      <c r="P1194" s="41" t="s">
        <v>105</v>
      </c>
      <c r="Q1194" s="42"/>
      <c r="R1194" s="41"/>
      <c r="S1194" s="42"/>
      <c r="T1194" s="41"/>
    </row>
    <row r="1195" customFormat="false" ht="13.5" hidden="false" customHeight="true" outlineLevel="0" collapsed="false">
      <c r="A1195" s="37" t="n">
        <v>1192</v>
      </c>
      <c r="B1195" s="37" t="n">
        <v>3493</v>
      </c>
      <c r="C1195" s="38" t="s">
        <v>5513</v>
      </c>
      <c r="D1195" s="37" t="s">
        <v>100</v>
      </c>
      <c r="E1195" s="39" t="n">
        <v>28204</v>
      </c>
      <c r="F1195" s="37" t="n">
        <f aca="true">IFERROR(DATEDIF(E1195,TODAY(),"Y"),"")</f>
        <v>49</v>
      </c>
      <c r="G1195" s="40" t="s">
        <v>5514</v>
      </c>
      <c r="H1195" s="40"/>
      <c r="I1195" s="38" t="s">
        <v>5515</v>
      </c>
      <c r="J1195" s="38" t="s">
        <v>15</v>
      </c>
      <c r="K1195" s="38" t="s">
        <v>5516</v>
      </c>
      <c r="L1195" s="38" t="s">
        <v>47</v>
      </c>
      <c r="M1195" s="37" t="s">
        <v>104</v>
      </c>
      <c r="N1195" s="39" t="n">
        <v>42814</v>
      </c>
      <c r="O1195" s="41" t="s">
        <v>23</v>
      </c>
      <c r="P1195" s="41" t="s">
        <v>105</v>
      </c>
      <c r="Q1195" s="42"/>
      <c r="R1195" s="41"/>
      <c r="S1195" s="42"/>
      <c r="T1195" s="41"/>
    </row>
    <row r="1196" customFormat="false" ht="13.5" hidden="false" customHeight="true" outlineLevel="0" collapsed="false">
      <c r="A1196" s="37" t="n">
        <v>1193</v>
      </c>
      <c r="B1196" s="37" t="n">
        <v>3494</v>
      </c>
      <c r="C1196" s="38" t="s">
        <v>5517</v>
      </c>
      <c r="D1196" s="37" t="s">
        <v>100</v>
      </c>
      <c r="E1196" s="39" t="n">
        <v>28977</v>
      </c>
      <c r="F1196" s="37" t="n">
        <f aca="true">IFERROR(DATEDIF(E1196,TODAY(),"Y"),"")</f>
        <v>47</v>
      </c>
      <c r="G1196" s="40" t="s">
        <v>5518</v>
      </c>
      <c r="H1196" s="40"/>
      <c r="I1196" s="38" t="s">
        <v>5519</v>
      </c>
      <c r="J1196" s="38" t="s">
        <v>18</v>
      </c>
      <c r="K1196" s="38" t="s">
        <v>5520</v>
      </c>
      <c r="L1196" s="38" t="s">
        <v>52</v>
      </c>
      <c r="M1196" s="37" t="s">
        <v>231</v>
      </c>
      <c r="N1196" s="39" t="n">
        <v>42816</v>
      </c>
      <c r="O1196" s="41" t="s">
        <v>23</v>
      </c>
      <c r="P1196" s="41" t="s">
        <v>105</v>
      </c>
      <c r="Q1196" s="42"/>
      <c r="R1196" s="41"/>
      <c r="S1196" s="42"/>
      <c r="T1196" s="41"/>
    </row>
    <row r="1197" customFormat="false" ht="13.5" hidden="false" customHeight="true" outlineLevel="0" collapsed="false">
      <c r="A1197" s="37" t="n">
        <v>1194</v>
      </c>
      <c r="B1197" s="37" t="n">
        <v>3495</v>
      </c>
      <c r="C1197" s="38" t="s">
        <v>5521</v>
      </c>
      <c r="D1197" s="37" t="s">
        <v>100</v>
      </c>
      <c r="E1197" s="39" t="n">
        <v>27373</v>
      </c>
      <c r="F1197" s="37" t="n">
        <f aca="true">IFERROR(DATEDIF(E1197,TODAY(),"Y"),"")</f>
        <v>51</v>
      </c>
      <c r="G1197" s="40" t="s">
        <v>5522</v>
      </c>
      <c r="H1197" s="40" t="s">
        <v>5523</v>
      </c>
      <c r="I1197" s="38" t="s">
        <v>5524</v>
      </c>
      <c r="J1197" s="38" t="s">
        <v>15</v>
      </c>
      <c r="K1197" s="38" t="s">
        <v>5525</v>
      </c>
      <c r="L1197" s="38" t="s">
        <v>50</v>
      </c>
      <c r="M1197" s="37" t="s">
        <v>120</v>
      </c>
      <c r="N1197" s="39" t="n">
        <v>42816</v>
      </c>
      <c r="O1197" s="41" t="s">
        <v>23</v>
      </c>
      <c r="P1197" s="41" t="s">
        <v>105</v>
      </c>
      <c r="Q1197" s="42"/>
      <c r="R1197" s="41"/>
      <c r="S1197" s="42"/>
      <c r="T1197" s="41"/>
    </row>
    <row r="1198" customFormat="false" ht="13.5" hidden="false" customHeight="true" outlineLevel="0" collapsed="false">
      <c r="A1198" s="37" t="n">
        <v>1195</v>
      </c>
      <c r="B1198" s="37" t="n">
        <v>3497</v>
      </c>
      <c r="C1198" s="38" t="s">
        <v>5526</v>
      </c>
      <c r="D1198" s="37" t="s">
        <v>100</v>
      </c>
      <c r="E1198" s="39" t="n">
        <v>24619</v>
      </c>
      <c r="F1198" s="37" t="n">
        <f aca="true">IFERROR(DATEDIF(E1198,TODAY(),"Y"),"")</f>
        <v>59</v>
      </c>
      <c r="G1198" s="40" t="s">
        <v>5527</v>
      </c>
      <c r="H1198" s="40"/>
      <c r="I1198" s="38" t="s">
        <v>5528</v>
      </c>
      <c r="J1198" s="38" t="s">
        <v>16</v>
      </c>
      <c r="K1198" s="38" t="s">
        <v>5529</v>
      </c>
      <c r="L1198" s="38" t="s">
        <v>49</v>
      </c>
      <c r="M1198" s="37" t="s">
        <v>120</v>
      </c>
      <c r="N1198" s="39" t="n">
        <v>42826</v>
      </c>
      <c r="O1198" s="41" t="s">
        <v>23</v>
      </c>
      <c r="P1198" s="41" t="s">
        <v>105</v>
      </c>
      <c r="Q1198" s="42"/>
      <c r="R1198" s="41"/>
      <c r="S1198" s="42"/>
      <c r="T1198" s="41"/>
    </row>
    <row r="1199" customFormat="false" ht="13.5" hidden="false" customHeight="true" outlineLevel="0" collapsed="false">
      <c r="A1199" s="37" t="n">
        <v>1196</v>
      </c>
      <c r="B1199" s="37" t="n">
        <v>3499</v>
      </c>
      <c r="C1199" s="38" t="s">
        <v>5530</v>
      </c>
      <c r="D1199" s="37" t="s">
        <v>100</v>
      </c>
      <c r="E1199" s="39" t="n">
        <v>27959</v>
      </c>
      <c r="F1199" s="37" t="n">
        <f aca="true">IFERROR(DATEDIF(E1199,TODAY(),"Y"),"")</f>
        <v>50</v>
      </c>
      <c r="G1199" s="40" t="s">
        <v>5531</v>
      </c>
      <c r="H1199" s="40"/>
      <c r="I1199" s="38" t="s">
        <v>5532</v>
      </c>
      <c r="J1199" s="38" t="s">
        <v>15</v>
      </c>
      <c r="K1199" s="38" t="s">
        <v>5533</v>
      </c>
      <c r="L1199" s="38" t="s">
        <v>47</v>
      </c>
      <c r="M1199" s="37" t="s">
        <v>120</v>
      </c>
      <c r="N1199" s="39" t="n">
        <v>42826</v>
      </c>
      <c r="O1199" s="41" t="s">
        <v>23</v>
      </c>
      <c r="P1199" s="41" t="s">
        <v>105</v>
      </c>
      <c r="Q1199" s="42"/>
      <c r="R1199" s="41"/>
      <c r="S1199" s="42"/>
      <c r="T1199" s="41"/>
    </row>
    <row r="1200" customFormat="false" ht="13.5" hidden="false" customHeight="true" outlineLevel="0" collapsed="false">
      <c r="A1200" s="37" t="n">
        <v>1197</v>
      </c>
      <c r="B1200" s="37" t="n">
        <v>3501</v>
      </c>
      <c r="C1200" s="38" t="s">
        <v>5534</v>
      </c>
      <c r="D1200" s="37" t="s">
        <v>100</v>
      </c>
      <c r="E1200" s="39" t="n">
        <v>30665</v>
      </c>
      <c r="F1200" s="37" t="n">
        <f aca="true">IFERROR(DATEDIF(E1200,TODAY(),"Y"),"")</f>
        <v>42</v>
      </c>
      <c r="G1200" s="40" t="s">
        <v>5535</v>
      </c>
      <c r="H1200" s="40" t="s">
        <v>5536</v>
      </c>
      <c r="I1200" s="38" t="s">
        <v>5537</v>
      </c>
      <c r="J1200" s="38" t="s">
        <v>16</v>
      </c>
      <c r="K1200" s="38" t="s">
        <v>5538</v>
      </c>
      <c r="L1200" s="38" t="s">
        <v>53</v>
      </c>
      <c r="M1200" s="37"/>
      <c r="N1200" s="39" t="n">
        <v>42831</v>
      </c>
      <c r="O1200" s="41" t="s">
        <v>23</v>
      </c>
      <c r="P1200" s="41" t="s">
        <v>105</v>
      </c>
      <c r="Q1200" s="42"/>
      <c r="R1200" s="41"/>
      <c r="S1200" s="42"/>
      <c r="T1200" s="41"/>
    </row>
    <row r="1201" customFormat="false" ht="13.5" hidden="false" customHeight="true" outlineLevel="0" collapsed="false">
      <c r="A1201" s="37" t="n">
        <v>1198</v>
      </c>
      <c r="B1201" s="37" t="n">
        <v>3502</v>
      </c>
      <c r="C1201" s="38" t="s">
        <v>5539</v>
      </c>
      <c r="D1201" s="37" t="s">
        <v>100</v>
      </c>
      <c r="E1201" s="39" t="n">
        <v>27545</v>
      </c>
      <c r="F1201" s="37" t="n">
        <f aca="true">IFERROR(DATEDIF(E1201,TODAY(),"Y"),"")</f>
        <v>51</v>
      </c>
      <c r="G1201" s="40" t="s">
        <v>5540</v>
      </c>
      <c r="H1201" s="40"/>
      <c r="I1201" s="38" t="s">
        <v>5541</v>
      </c>
      <c r="J1201" s="38" t="s">
        <v>16</v>
      </c>
      <c r="K1201" s="38" t="s">
        <v>5542</v>
      </c>
      <c r="L1201" s="38" t="s">
        <v>53</v>
      </c>
      <c r="M1201" s="37" t="s">
        <v>120</v>
      </c>
      <c r="N1201" s="39" t="n">
        <v>42831</v>
      </c>
      <c r="O1201" s="41" t="s">
        <v>23</v>
      </c>
      <c r="P1201" s="41" t="s">
        <v>105</v>
      </c>
      <c r="Q1201" s="42"/>
      <c r="R1201" s="41"/>
      <c r="S1201" s="42"/>
      <c r="T1201" s="41"/>
    </row>
    <row r="1202" customFormat="false" ht="13.5" hidden="false" customHeight="true" outlineLevel="0" collapsed="false">
      <c r="A1202" s="37" t="n">
        <v>1199</v>
      </c>
      <c r="B1202" s="37" t="n">
        <v>3503</v>
      </c>
      <c r="C1202" s="38" t="s">
        <v>5543</v>
      </c>
      <c r="D1202" s="37" t="s">
        <v>100</v>
      </c>
      <c r="E1202" s="39" t="n">
        <v>33777</v>
      </c>
      <c r="F1202" s="37" t="n">
        <f aca="true">IFERROR(DATEDIF(E1202,TODAY(),"Y"),"")</f>
        <v>34</v>
      </c>
      <c r="G1202" s="40" t="s">
        <v>5544</v>
      </c>
      <c r="H1202" s="40"/>
      <c r="I1202" s="38" t="s">
        <v>5545</v>
      </c>
      <c r="J1202" s="38" t="s">
        <v>18</v>
      </c>
      <c r="K1202" s="38" t="s">
        <v>5546</v>
      </c>
      <c r="L1202" s="38" t="s">
        <v>55</v>
      </c>
      <c r="M1202" s="37" t="s">
        <v>788</v>
      </c>
      <c r="N1202" s="39" t="n">
        <v>42836</v>
      </c>
      <c r="O1202" s="41" t="s">
        <v>23</v>
      </c>
      <c r="P1202" s="41" t="s">
        <v>105</v>
      </c>
      <c r="Q1202" s="42"/>
      <c r="R1202" s="41"/>
      <c r="S1202" s="42"/>
      <c r="T1202" s="41"/>
    </row>
    <row r="1203" customFormat="false" ht="13.5" hidden="false" customHeight="true" outlineLevel="0" collapsed="false">
      <c r="A1203" s="37" t="n">
        <v>1200</v>
      </c>
      <c r="B1203" s="37" t="n">
        <v>3505</v>
      </c>
      <c r="C1203" s="38" t="s">
        <v>5547</v>
      </c>
      <c r="D1203" s="37" t="s">
        <v>100</v>
      </c>
      <c r="E1203" s="39" t="n">
        <v>27494</v>
      </c>
      <c r="F1203" s="37" t="n">
        <f aca="true">IFERROR(DATEDIF(E1203,TODAY(),"Y"),"")</f>
        <v>51</v>
      </c>
      <c r="G1203" s="40" t="s">
        <v>5548</v>
      </c>
      <c r="H1203" s="40"/>
      <c r="I1203" s="38" t="s">
        <v>5549</v>
      </c>
      <c r="J1203" s="38" t="s">
        <v>15</v>
      </c>
      <c r="K1203" s="38" t="s">
        <v>5550</v>
      </c>
      <c r="L1203" s="38" t="s">
        <v>48</v>
      </c>
      <c r="M1203" s="37" t="s">
        <v>177</v>
      </c>
      <c r="N1203" s="39" t="n">
        <v>42837</v>
      </c>
      <c r="O1203" s="41" t="s">
        <v>23</v>
      </c>
      <c r="P1203" s="41" t="s">
        <v>105</v>
      </c>
      <c r="Q1203" s="42"/>
      <c r="R1203" s="41"/>
      <c r="S1203" s="42"/>
      <c r="T1203" s="41"/>
    </row>
    <row r="1204" customFormat="false" ht="13.5" hidden="false" customHeight="true" outlineLevel="0" collapsed="false">
      <c r="A1204" s="37" t="n">
        <v>1201</v>
      </c>
      <c r="B1204" s="37" t="n">
        <v>3506</v>
      </c>
      <c r="C1204" s="38" t="s">
        <v>5551</v>
      </c>
      <c r="D1204" s="37" t="s">
        <v>100</v>
      </c>
      <c r="E1204" s="39" t="n">
        <v>21137</v>
      </c>
      <c r="F1204" s="37" t="n">
        <f aca="true">IFERROR(DATEDIF(E1204,TODAY(),"Y"),"")</f>
        <v>68</v>
      </c>
      <c r="G1204" s="40" t="s">
        <v>5552</v>
      </c>
      <c r="H1204" s="40" t="s">
        <v>5553</v>
      </c>
      <c r="I1204" s="38" t="s">
        <v>5554</v>
      </c>
      <c r="J1204" s="38" t="s">
        <v>16</v>
      </c>
      <c r="K1204" s="38" t="s">
        <v>5555</v>
      </c>
      <c r="L1204" s="38" t="s">
        <v>48</v>
      </c>
      <c r="M1204" s="37" t="s">
        <v>104</v>
      </c>
      <c r="N1204" s="39" t="n">
        <v>42837</v>
      </c>
      <c r="O1204" s="41" t="s">
        <v>23</v>
      </c>
      <c r="P1204" s="41" t="s">
        <v>105</v>
      </c>
      <c r="Q1204" s="42"/>
      <c r="R1204" s="41"/>
      <c r="S1204" s="42"/>
      <c r="T1204" s="41"/>
    </row>
    <row r="1205" customFormat="false" ht="13.5" hidden="false" customHeight="true" outlineLevel="0" collapsed="false">
      <c r="A1205" s="37" t="n">
        <v>1202</v>
      </c>
      <c r="B1205" s="37" t="n">
        <v>3507</v>
      </c>
      <c r="C1205" s="38" t="s">
        <v>5556</v>
      </c>
      <c r="D1205" s="37" t="s">
        <v>100</v>
      </c>
      <c r="E1205" s="39" t="n">
        <v>31531</v>
      </c>
      <c r="F1205" s="37" t="n">
        <f aca="true">IFERROR(DATEDIF(E1205,TODAY(),"Y"),"")</f>
        <v>40</v>
      </c>
      <c r="G1205" s="40" t="s">
        <v>5557</v>
      </c>
      <c r="H1205" s="40"/>
      <c r="I1205" s="38" t="s">
        <v>5558</v>
      </c>
      <c r="J1205" s="38" t="s">
        <v>15</v>
      </c>
      <c r="K1205" s="38" t="s">
        <v>5559</v>
      </c>
      <c r="L1205" s="38" t="s">
        <v>50</v>
      </c>
      <c r="M1205" s="37" t="s">
        <v>120</v>
      </c>
      <c r="N1205" s="39" t="n">
        <v>42838</v>
      </c>
      <c r="O1205" s="41" t="s">
        <v>23</v>
      </c>
      <c r="P1205" s="41" t="s">
        <v>105</v>
      </c>
      <c r="Q1205" s="42"/>
      <c r="R1205" s="41"/>
      <c r="S1205" s="42"/>
      <c r="T1205" s="41"/>
    </row>
    <row r="1206" customFormat="false" ht="13.5" hidden="false" customHeight="true" outlineLevel="0" collapsed="false">
      <c r="A1206" s="37" t="n">
        <v>1203</v>
      </c>
      <c r="B1206" s="37" t="n">
        <v>3508</v>
      </c>
      <c r="C1206" s="38" t="s">
        <v>5560</v>
      </c>
      <c r="D1206" s="37" t="s">
        <v>100</v>
      </c>
      <c r="E1206" s="39" t="n">
        <v>32836</v>
      </c>
      <c r="F1206" s="37" t="n">
        <f aca="true">IFERROR(DATEDIF(E1206,TODAY(),"Y"),"")</f>
        <v>36</v>
      </c>
      <c r="G1206" s="40" t="s">
        <v>5561</v>
      </c>
      <c r="H1206" s="40"/>
      <c r="I1206" s="38" t="s">
        <v>5562</v>
      </c>
      <c r="J1206" s="38" t="s">
        <v>16</v>
      </c>
      <c r="K1206" s="38" t="s">
        <v>5563</v>
      </c>
      <c r="L1206" s="38" t="s">
        <v>48</v>
      </c>
      <c r="M1206" s="37" t="s">
        <v>120</v>
      </c>
      <c r="N1206" s="39" t="n">
        <v>42840</v>
      </c>
      <c r="O1206" s="41" t="s">
        <v>23</v>
      </c>
      <c r="P1206" s="41" t="s">
        <v>105</v>
      </c>
      <c r="Q1206" s="42"/>
      <c r="R1206" s="41"/>
      <c r="S1206" s="42"/>
      <c r="T1206" s="41"/>
    </row>
    <row r="1207" customFormat="false" ht="13.5" hidden="false" customHeight="true" outlineLevel="0" collapsed="false">
      <c r="A1207" s="37" t="n">
        <v>1204</v>
      </c>
      <c r="B1207" s="37" t="n">
        <v>3509</v>
      </c>
      <c r="C1207" s="38" t="s">
        <v>5564</v>
      </c>
      <c r="D1207" s="37" t="s">
        <v>100</v>
      </c>
      <c r="E1207" s="39" t="n">
        <v>19338</v>
      </c>
      <c r="F1207" s="37" t="n">
        <f aca="true">IFERROR(DATEDIF(E1207,TODAY(),"Y"),"")</f>
        <v>73</v>
      </c>
      <c r="G1207" s="40" t="s">
        <v>5565</v>
      </c>
      <c r="H1207" s="40"/>
      <c r="I1207" s="38" t="s">
        <v>5566</v>
      </c>
      <c r="J1207" s="38" t="s">
        <v>15</v>
      </c>
      <c r="K1207" s="38" t="s">
        <v>5567</v>
      </c>
      <c r="L1207" s="38" t="s">
        <v>55</v>
      </c>
      <c r="M1207" s="37" t="s">
        <v>120</v>
      </c>
      <c r="N1207" s="39" t="n">
        <v>42843</v>
      </c>
      <c r="O1207" s="41" t="s">
        <v>23</v>
      </c>
      <c r="P1207" s="41" t="s">
        <v>105</v>
      </c>
      <c r="Q1207" s="42"/>
      <c r="R1207" s="41"/>
      <c r="S1207" s="42"/>
      <c r="T1207" s="41"/>
    </row>
    <row r="1208" customFormat="false" ht="13.5" hidden="false" customHeight="true" outlineLevel="0" collapsed="false">
      <c r="A1208" s="37" t="n">
        <v>1205</v>
      </c>
      <c r="B1208" s="37" t="n">
        <v>3511</v>
      </c>
      <c r="C1208" s="38" t="s">
        <v>5568</v>
      </c>
      <c r="D1208" s="37" t="s">
        <v>100</v>
      </c>
      <c r="E1208" s="39" t="n">
        <v>31735</v>
      </c>
      <c r="F1208" s="37" t="n">
        <f aca="true">IFERROR(DATEDIF(E1208,TODAY(),"Y"),"")</f>
        <v>39</v>
      </c>
      <c r="G1208" s="40" t="s">
        <v>5569</v>
      </c>
      <c r="H1208" s="40"/>
      <c r="I1208" s="38" t="s">
        <v>5570</v>
      </c>
      <c r="J1208" s="38" t="s">
        <v>15</v>
      </c>
      <c r="K1208" s="38" t="s">
        <v>5571</v>
      </c>
      <c r="L1208" s="38" t="s">
        <v>51</v>
      </c>
      <c r="M1208" s="37" t="s">
        <v>120</v>
      </c>
      <c r="N1208" s="39" t="n">
        <v>42856</v>
      </c>
      <c r="O1208" s="41" t="s">
        <v>23</v>
      </c>
      <c r="P1208" s="41" t="s">
        <v>105</v>
      </c>
      <c r="Q1208" s="42"/>
      <c r="R1208" s="41"/>
      <c r="S1208" s="42"/>
      <c r="T1208" s="41"/>
    </row>
    <row r="1209" customFormat="false" ht="13.5" hidden="false" customHeight="true" outlineLevel="0" collapsed="false">
      <c r="A1209" s="37" t="n">
        <v>1206</v>
      </c>
      <c r="B1209" s="37" t="n">
        <v>3514</v>
      </c>
      <c r="C1209" s="38" t="s">
        <v>5572</v>
      </c>
      <c r="D1209" s="37" t="s">
        <v>100</v>
      </c>
      <c r="E1209" s="39" t="n">
        <v>28953</v>
      </c>
      <c r="F1209" s="37" t="n">
        <f aca="true">IFERROR(DATEDIF(E1209,TODAY(),"Y"),"")</f>
        <v>47</v>
      </c>
      <c r="G1209" s="40" t="s">
        <v>5573</v>
      </c>
      <c r="H1209" s="40"/>
      <c r="I1209" s="38" t="s">
        <v>5574</v>
      </c>
      <c r="J1209" s="38" t="s">
        <v>16</v>
      </c>
      <c r="K1209" s="38" t="s">
        <v>5575</v>
      </c>
      <c r="L1209" s="38" t="s">
        <v>55</v>
      </c>
      <c r="M1209" s="37" t="s">
        <v>104</v>
      </c>
      <c r="N1209" s="39" t="n">
        <v>42868</v>
      </c>
      <c r="O1209" s="41" t="s">
        <v>23</v>
      </c>
      <c r="P1209" s="41" t="s">
        <v>105</v>
      </c>
      <c r="Q1209" s="42"/>
      <c r="R1209" s="41"/>
      <c r="S1209" s="42"/>
      <c r="T1209" s="41"/>
    </row>
    <row r="1210" customFormat="false" ht="13.5" hidden="false" customHeight="true" outlineLevel="0" collapsed="false">
      <c r="A1210" s="37" t="n">
        <v>1207</v>
      </c>
      <c r="B1210" s="37" t="n">
        <v>3515</v>
      </c>
      <c r="C1210" s="38" t="s">
        <v>5576</v>
      </c>
      <c r="D1210" s="37" t="s">
        <v>100</v>
      </c>
      <c r="E1210" s="39" t="n">
        <v>28307</v>
      </c>
      <c r="F1210" s="37" t="n">
        <f aca="true">IFERROR(DATEDIF(E1210,TODAY(),"Y"),"")</f>
        <v>49</v>
      </c>
      <c r="G1210" s="40" t="s">
        <v>5577</v>
      </c>
      <c r="H1210" s="40"/>
      <c r="I1210" s="38" t="s">
        <v>5578</v>
      </c>
      <c r="J1210" s="38" t="s">
        <v>16</v>
      </c>
      <c r="K1210" s="38" t="s">
        <v>5579</v>
      </c>
      <c r="L1210" s="38" t="s">
        <v>57</v>
      </c>
      <c r="M1210" s="37" t="s">
        <v>177</v>
      </c>
      <c r="N1210" s="39" t="n">
        <v>42868</v>
      </c>
      <c r="O1210" s="41" t="s">
        <v>23</v>
      </c>
      <c r="P1210" s="41" t="s">
        <v>105</v>
      </c>
      <c r="Q1210" s="42"/>
      <c r="R1210" s="41"/>
      <c r="S1210" s="42"/>
      <c r="T1210" s="41"/>
    </row>
    <row r="1211" customFormat="false" ht="13.5" hidden="false" customHeight="true" outlineLevel="0" collapsed="false">
      <c r="A1211" s="37" t="n">
        <v>1208</v>
      </c>
      <c r="B1211" s="37" t="n">
        <v>3516</v>
      </c>
      <c r="C1211" s="38" t="s">
        <v>5580</v>
      </c>
      <c r="D1211" s="37" t="s">
        <v>100</v>
      </c>
      <c r="E1211" s="39" t="n">
        <v>24941</v>
      </c>
      <c r="F1211" s="37" t="n">
        <f aca="true">IFERROR(DATEDIF(E1211,TODAY(),"Y"),"")</f>
        <v>58</v>
      </c>
      <c r="G1211" s="40" t="s">
        <v>5581</v>
      </c>
      <c r="H1211" s="40"/>
      <c r="I1211" s="38" t="s">
        <v>5582</v>
      </c>
      <c r="J1211" s="38" t="s">
        <v>16</v>
      </c>
      <c r="K1211" s="38" t="s">
        <v>5583</v>
      </c>
      <c r="L1211" s="38" t="s">
        <v>53</v>
      </c>
      <c r="M1211" s="37" t="s">
        <v>104</v>
      </c>
      <c r="N1211" s="39" t="n">
        <v>42872</v>
      </c>
      <c r="O1211" s="41" t="s">
        <v>23</v>
      </c>
      <c r="P1211" s="41" t="s">
        <v>105</v>
      </c>
      <c r="Q1211" s="42"/>
      <c r="R1211" s="41"/>
      <c r="S1211" s="42"/>
      <c r="T1211" s="41"/>
    </row>
    <row r="1212" customFormat="false" ht="13.5" hidden="false" customHeight="true" outlineLevel="0" collapsed="false">
      <c r="A1212" s="37" t="n">
        <v>1209</v>
      </c>
      <c r="B1212" s="37" t="n">
        <v>3517</v>
      </c>
      <c r="C1212" s="38" t="s">
        <v>5584</v>
      </c>
      <c r="D1212" s="37" t="s">
        <v>100</v>
      </c>
      <c r="E1212" s="39" t="n">
        <v>27738</v>
      </c>
      <c r="F1212" s="37" t="n">
        <f aca="true">IFERROR(DATEDIF(E1212,TODAY(),"Y"),"")</f>
        <v>50</v>
      </c>
      <c r="G1212" s="40" t="s">
        <v>5585</v>
      </c>
      <c r="H1212" s="40"/>
      <c r="I1212" s="38" t="s">
        <v>5586</v>
      </c>
      <c r="J1212" s="38" t="s">
        <v>16</v>
      </c>
      <c r="K1212" s="38" t="s">
        <v>5587</v>
      </c>
      <c r="L1212" s="38" t="s">
        <v>46</v>
      </c>
      <c r="M1212" s="37" t="s">
        <v>120</v>
      </c>
      <c r="N1212" s="39" t="n">
        <v>42872</v>
      </c>
      <c r="O1212" s="41" t="s">
        <v>23</v>
      </c>
      <c r="P1212" s="41" t="s">
        <v>105</v>
      </c>
      <c r="Q1212" s="42"/>
      <c r="R1212" s="41"/>
      <c r="S1212" s="42"/>
      <c r="T1212" s="41"/>
    </row>
    <row r="1213" customFormat="false" ht="13.5" hidden="false" customHeight="true" outlineLevel="0" collapsed="false">
      <c r="A1213" s="37" t="n">
        <v>1210</v>
      </c>
      <c r="B1213" s="37" t="n">
        <v>3518</v>
      </c>
      <c r="C1213" s="38" t="s">
        <v>5588</v>
      </c>
      <c r="D1213" s="37" t="s">
        <v>100</v>
      </c>
      <c r="E1213" s="39" t="n">
        <v>27812</v>
      </c>
      <c r="F1213" s="37" t="n">
        <f aca="true">IFERROR(DATEDIF(E1213,TODAY(),"Y"),"")</f>
        <v>50</v>
      </c>
      <c r="G1213" s="40" t="s">
        <v>5589</v>
      </c>
      <c r="H1213" s="40" t="s">
        <v>5590</v>
      </c>
      <c r="I1213" s="38" t="s">
        <v>5591</v>
      </c>
      <c r="J1213" s="38" t="s">
        <v>18</v>
      </c>
      <c r="K1213" s="38" t="s">
        <v>5592</v>
      </c>
      <c r="L1213" s="38" t="s">
        <v>55</v>
      </c>
      <c r="M1213" s="37" t="s">
        <v>177</v>
      </c>
      <c r="N1213" s="39" t="n">
        <v>42875</v>
      </c>
      <c r="O1213" s="41" t="s">
        <v>23</v>
      </c>
      <c r="P1213" s="41" t="s">
        <v>105</v>
      </c>
      <c r="Q1213" s="42"/>
      <c r="R1213" s="41"/>
      <c r="S1213" s="42"/>
      <c r="T1213" s="41"/>
    </row>
    <row r="1214" customFormat="false" ht="13.5" hidden="false" customHeight="true" outlineLevel="0" collapsed="false">
      <c r="A1214" s="37" t="n">
        <v>1211</v>
      </c>
      <c r="B1214" s="37" t="n">
        <v>3519</v>
      </c>
      <c r="C1214" s="38" t="s">
        <v>5593</v>
      </c>
      <c r="D1214" s="37" t="s">
        <v>100</v>
      </c>
      <c r="E1214" s="39" t="n">
        <v>30169</v>
      </c>
      <c r="F1214" s="37" t="n">
        <f aca="true">IFERROR(DATEDIF(E1214,TODAY(),"Y"),"")</f>
        <v>44</v>
      </c>
      <c r="G1214" s="40" t="s">
        <v>5594</v>
      </c>
      <c r="H1214" s="40"/>
      <c r="I1214" s="38" t="s">
        <v>5595</v>
      </c>
      <c r="J1214" s="38" t="s">
        <v>15</v>
      </c>
      <c r="K1214" s="38" t="s">
        <v>5596</v>
      </c>
      <c r="L1214" s="38" t="s">
        <v>55</v>
      </c>
      <c r="M1214" s="37"/>
      <c r="N1214" s="39" t="n">
        <v>42879</v>
      </c>
      <c r="O1214" s="41" t="s">
        <v>23</v>
      </c>
      <c r="P1214" s="41" t="s">
        <v>105</v>
      </c>
      <c r="Q1214" s="42"/>
      <c r="R1214" s="41"/>
      <c r="S1214" s="42"/>
      <c r="T1214" s="41"/>
    </row>
    <row r="1215" customFormat="false" ht="13.5" hidden="false" customHeight="true" outlineLevel="0" collapsed="false">
      <c r="A1215" s="37" t="n">
        <v>1212</v>
      </c>
      <c r="B1215" s="37" t="n">
        <v>3520</v>
      </c>
      <c r="C1215" s="38" t="s">
        <v>5597</v>
      </c>
      <c r="D1215" s="37" t="s">
        <v>100</v>
      </c>
      <c r="E1215" s="39" t="n">
        <v>21460</v>
      </c>
      <c r="F1215" s="37" t="n">
        <f aca="true">IFERROR(DATEDIF(E1215,TODAY(),"Y"),"")</f>
        <v>67</v>
      </c>
      <c r="G1215" s="40" t="s">
        <v>5598</v>
      </c>
      <c r="H1215" s="40"/>
      <c r="I1215" s="38"/>
      <c r="J1215" s="38" t="s">
        <v>15</v>
      </c>
      <c r="K1215" s="38" t="s">
        <v>5599</v>
      </c>
      <c r="L1215" s="38" t="s">
        <v>47</v>
      </c>
      <c r="M1215" s="37"/>
      <c r="N1215" s="39" t="n">
        <v>42882</v>
      </c>
      <c r="O1215" s="41" t="s">
        <v>23</v>
      </c>
      <c r="P1215" s="41" t="s">
        <v>105</v>
      </c>
      <c r="Q1215" s="42"/>
      <c r="R1215" s="41"/>
      <c r="S1215" s="42"/>
      <c r="T1215" s="41"/>
    </row>
    <row r="1216" customFormat="false" ht="13.5" hidden="false" customHeight="true" outlineLevel="0" collapsed="false">
      <c r="A1216" s="37" t="n">
        <v>1213</v>
      </c>
      <c r="B1216" s="37" t="n">
        <v>3521</v>
      </c>
      <c r="C1216" s="38" t="s">
        <v>5600</v>
      </c>
      <c r="D1216" s="37" t="s">
        <v>100</v>
      </c>
      <c r="E1216" s="39" t="n">
        <v>29625</v>
      </c>
      <c r="F1216" s="37" t="n">
        <f aca="true">IFERROR(DATEDIF(E1216,TODAY(),"Y"),"")</f>
        <v>45</v>
      </c>
      <c r="G1216" s="40" t="s">
        <v>5601</v>
      </c>
      <c r="H1216" s="40"/>
      <c r="I1216" s="38" t="s">
        <v>5602</v>
      </c>
      <c r="J1216" s="38" t="s">
        <v>15</v>
      </c>
      <c r="K1216" s="38" t="s">
        <v>5603</v>
      </c>
      <c r="L1216" s="38" t="s">
        <v>47</v>
      </c>
      <c r="M1216" s="37" t="s">
        <v>177</v>
      </c>
      <c r="N1216" s="39" t="n">
        <v>42883</v>
      </c>
      <c r="O1216" s="41" t="s">
        <v>23</v>
      </c>
      <c r="P1216" s="41" t="s">
        <v>105</v>
      </c>
      <c r="Q1216" s="42"/>
      <c r="R1216" s="41"/>
      <c r="S1216" s="42"/>
      <c r="T1216" s="41"/>
    </row>
    <row r="1217" customFormat="false" ht="13.5" hidden="false" customHeight="true" outlineLevel="0" collapsed="false">
      <c r="A1217" s="37" t="n">
        <v>1214</v>
      </c>
      <c r="B1217" s="37" t="n">
        <v>3522</v>
      </c>
      <c r="C1217" s="38" t="s">
        <v>5604</v>
      </c>
      <c r="D1217" s="37" t="s">
        <v>100</v>
      </c>
      <c r="E1217" s="39" t="n">
        <v>24247</v>
      </c>
      <c r="F1217" s="37" t="n">
        <f aca="true">IFERROR(DATEDIF(E1217,TODAY(),"Y"),"")</f>
        <v>60</v>
      </c>
      <c r="G1217" s="40" t="s">
        <v>5605</v>
      </c>
      <c r="H1217" s="40"/>
      <c r="I1217" s="38" t="s">
        <v>5606</v>
      </c>
      <c r="J1217" s="38" t="s">
        <v>18</v>
      </c>
      <c r="K1217" s="38" t="s">
        <v>5607</v>
      </c>
      <c r="L1217" s="38" t="s">
        <v>54</v>
      </c>
      <c r="M1217" s="37" t="s">
        <v>177</v>
      </c>
      <c r="N1217" s="39" t="n">
        <v>42887</v>
      </c>
      <c r="O1217" s="41" t="s">
        <v>23</v>
      </c>
      <c r="P1217" s="41" t="s">
        <v>105</v>
      </c>
      <c r="Q1217" s="42"/>
      <c r="R1217" s="41"/>
      <c r="S1217" s="42"/>
      <c r="T1217" s="41"/>
    </row>
    <row r="1218" customFormat="false" ht="13.5" hidden="false" customHeight="true" outlineLevel="0" collapsed="false">
      <c r="A1218" s="37" t="n">
        <v>1215</v>
      </c>
      <c r="B1218" s="37" t="n">
        <v>3523</v>
      </c>
      <c r="C1218" s="38" t="s">
        <v>5608</v>
      </c>
      <c r="D1218" s="37" t="s">
        <v>100</v>
      </c>
      <c r="E1218" s="39" t="n">
        <v>27169</v>
      </c>
      <c r="F1218" s="37" t="n">
        <f aca="true">IFERROR(DATEDIF(E1218,TODAY(),"Y"),"")</f>
        <v>52</v>
      </c>
      <c r="G1218" s="40" t="s">
        <v>5609</v>
      </c>
      <c r="H1218" s="40"/>
      <c r="I1218" s="38" t="s">
        <v>5610</v>
      </c>
      <c r="J1218" s="38" t="s">
        <v>16</v>
      </c>
      <c r="K1218" s="38" t="s">
        <v>5611</v>
      </c>
      <c r="L1218" s="38" t="s">
        <v>54</v>
      </c>
      <c r="M1218" s="37" t="s">
        <v>177</v>
      </c>
      <c r="N1218" s="39" t="n">
        <v>42897</v>
      </c>
      <c r="O1218" s="41" t="s">
        <v>23</v>
      </c>
      <c r="P1218" s="41" t="s">
        <v>105</v>
      </c>
      <c r="Q1218" s="42"/>
      <c r="R1218" s="41"/>
      <c r="S1218" s="42"/>
      <c r="T1218" s="41"/>
    </row>
    <row r="1219" customFormat="false" ht="13.5" hidden="false" customHeight="true" outlineLevel="0" collapsed="false">
      <c r="A1219" s="37" t="n">
        <v>1216</v>
      </c>
      <c r="B1219" s="37" t="n">
        <v>3524</v>
      </c>
      <c r="C1219" s="38" t="s">
        <v>5612</v>
      </c>
      <c r="D1219" s="37" t="s">
        <v>100</v>
      </c>
      <c r="E1219" s="39" t="n">
        <v>31156</v>
      </c>
      <c r="F1219" s="37" t="n">
        <f aca="true">IFERROR(DATEDIF(E1219,TODAY(),"Y"),"")</f>
        <v>41</v>
      </c>
      <c r="G1219" s="40" t="s">
        <v>5613</v>
      </c>
      <c r="H1219" s="40" t="s">
        <v>5614</v>
      </c>
      <c r="I1219" s="38" t="s">
        <v>5615</v>
      </c>
      <c r="J1219" s="38" t="s">
        <v>18</v>
      </c>
      <c r="K1219" s="38" t="s">
        <v>5616</v>
      </c>
      <c r="L1219" s="38" t="s">
        <v>55</v>
      </c>
      <c r="M1219" s="37" t="s">
        <v>104</v>
      </c>
      <c r="N1219" s="39" t="n">
        <v>42900</v>
      </c>
      <c r="O1219" s="41" t="s">
        <v>23</v>
      </c>
      <c r="P1219" s="41" t="s">
        <v>105</v>
      </c>
      <c r="Q1219" s="42"/>
      <c r="R1219" s="41"/>
      <c r="S1219" s="42"/>
      <c r="T1219" s="41"/>
    </row>
    <row r="1220" customFormat="false" ht="13.5" hidden="false" customHeight="true" outlineLevel="0" collapsed="false">
      <c r="A1220" s="37" t="n">
        <v>1217</v>
      </c>
      <c r="B1220" s="37" t="n">
        <v>3525</v>
      </c>
      <c r="C1220" s="38" t="s">
        <v>5617</v>
      </c>
      <c r="D1220" s="37" t="s">
        <v>100</v>
      </c>
      <c r="E1220" s="39" t="n">
        <v>22859</v>
      </c>
      <c r="F1220" s="37" t="n">
        <f aca="true">IFERROR(DATEDIF(E1220,TODAY(),"Y"),"")</f>
        <v>64</v>
      </c>
      <c r="G1220" s="40" t="s">
        <v>5618</v>
      </c>
      <c r="H1220" s="40"/>
      <c r="I1220" s="38" t="s">
        <v>5619</v>
      </c>
      <c r="J1220" s="38" t="s">
        <v>18</v>
      </c>
      <c r="K1220" s="38" t="s">
        <v>5620</v>
      </c>
      <c r="L1220" s="38" t="s">
        <v>51</v>
      </c>
      <c r="M1220" s="37" t="s">
        <v>120</v>
      </c>
      <c r="N1220" s="39" t="n">
        <v>42900</v>
      </c>
      <c r="O1220" s="41" t="s">
        <v>23</v>
      </c>
      <c r="P1220" s="41" t="s">
        <v>105</v>
      </c>
      <c r="Q1220" s="42"/>
      <c r="R1220" s="41"/>
      <c r="S1220" s="42"/>
      <c r="T1220" s="41"/>
    </row>
    <row r="1221" customFormat="false" ht="13.5" hidden="false" customHeight="true" outlineLevel="0" collapsed="false">
      <c r="A1221" s="37" t="n">
        <v>1218</v>
      </c>
      <c r="B1221" s="37" t="n">
        <v>3526</v>
      </c>
      <c r="C1221" s="38" t="s">
        <v>5621</v>
      </c>
      <c r="D1221" s="37" t="s">
        <v>100</v>
      </c>
      <c r="E1221" s="39" t="n">
        <v>25936</v>
      </c>
      <c r="F1221" s="37" t="n">
        <f aca="true">IFERROR(DATEDIF(E1221,TODAY(),"Y"),"")</f>
        <v>55</v>
      </c>
      <c r="G1221" s="40" t="s">
        <v>5622</v>
      </c>
      <c r="H1221" s="40"/>
      <c r="I1221" s="38" t="s">
        <v>5623</v>
      </c>
      <c r="J1221" s="38" t="s">
        <v>15</v>
      </c>
      <c r="K1221" s="38" t="s">
        <v>5624</v>
      </c>
      <c r="L1221" s="38" t="s">
        <v>53</v>
      </c>
      <c r="M1221" s="37" t="s">
        <v>104</v>
      </c>
      <c r="N1221" s="39" t="n">
        <v>42900</v>
      </c>
      <c r="O1221" s="41" t="s">
        <v>23</v>
      </c>
      <c r="P1221" s="41" t="s">
        <v>105</v>
      </c>
      <c r="Q1221" s="42"/>
      <c r="R1221" s="41"/>
      <c r="S1221" s="42"/>
      <c r="T1221" s="41"/>
    </row>
    <row r="1222" customFormat="false" ht="13.5" hidden="false" customHeight="true" outlineLevel="0" collapsed="false">
      <c r="A1222" s="37" t="n">
        <v>1219</v>
      </c>
      <c r="B1222" s="37" t="n">
        <v>3527</v>
      </c>
      <c r="C1222" s="38" t="s">
        <v>5625</v>
      </c>
      <c r="D1222" s="37" t="s">
        <v>100</v>
      </c>
      <c r="E1222" s="39" t="n">
        <v>27174</v>
      </c>
      <c r="F1222" s="37" t="n">
        <f aca="true">IFERROR(DATEDIF(E1222,TODAY(),"Y"),"")</f>
        <v>52</v>
      </c>
      <c r="G1222" s="40" t="s">
        <v>5626</v>
      </c>
      <c r="H1222" s="40"/>
      <c r="I1222" s="38" t="s">
        <v>5627</v>
      </c>
      <c r="J1222" s="38" t="s">
        <v>18</v>
      </c>
      <c r="K1222" s="38" t="s">
        <v>5628</v>
      </c>
      <c r="L1222" s="38" t="s">
        <v>52</v>
      </c>
      <c r="M1222" s="37" t="s">
        <v>177</v>
      </c>
      <c r="N1222" s="39" t="n">
        <v>42900</v>
      </c>
      <c r="O1222" s="41" t="s">
        <v>23</v>
      </c>
      <c r="P1222" s="41" t="s">
        <v>105</v>
      </c>
      <c r="Q1222" s="42"/>
      <c r="R1222" s="41"/>
      <c r="S1222" s="42"/>
      <c r="T1222" s="41"/>
    </row>
    <row r="1223" customFormat="false" ht="13.5" hidden="false" customHeight="true" outlineLevel="0" collapsed="false">
      <c r="A1223" s="37" t="n">
        <v>1220</v>
      </c>
      <c r="B1223" s="37" t="n">
        <v>3528</v>
      </c>
      <c r="C1223" s="38" t="s">
        <v>5629</v>
      </c>
      <c r="D1223" s="37" t="s">
        <v>100</v>
      </c>
      <c r="E1223" s="39" t="n">
        <v>20928</v>
      </c>
      <c r="F1223" s="37" t="n">
        <f aca="true">IFERROR(DATEDIF(E1223,TODAY(),"Y"),"")</f>
        <v>69</v>
      </c>
      <c r="G1223" s="40" t="s">
        <v>5630</v>
      </c>
      <c r="H1223" s="40" t="s">
        <v>5631</v>
      </c>
      <c r="I1223" s="38" t="s">
        <v>5632</v>
      </c>
      <c r="J1223" s="38" t="s">
        <v>15</v>
      </c>
      <c r="K1223" s="38" t="s">
        <v>5633</v>
      </c>
      <c r="L1223" s="38" t="s">
        <v>48</v>
      </c>
      <c r="M1223" s="37"/>
      <c r="N1223" s="39" t="n">
        <v>32551</v>
      </c>
      <c r="O1223" s="41" t="s">
        <v>23</v>
      </c>
      <c r="P1223" s="41" t="s">
        <v>105</v>
      </c>
      <c r="Q1223" s="42"/>
      <c r="R1223" s="41"/>
      <c r="S1223" s="42"/>
      <c r="T1223" s="41"/>
    </row>
    <row r="1224" customFormat="false" ht="13.5" hidden="false" customHeight="true" outlineLevel="0" collapsed="false">
      <c r="A1224" s="37" t="n">
        <v>1221</v>
      </c>
      <c r="B1224" s="37" t="n">
        <v>3529</v>
      </c>
      <c r="C1224" s="38" t="s">
        <v>5634</v>
      </c>
      <c r="D1224" s="37" t="s">
        <v>100</v>
      </c>
      <c r="E1224" s="39" t="n">
        <v>29514</v>
      </c>
      <c r="F1224" s="37" t="n">
        <f aca="true">IFERROR(DATEDIF(E1224,TODAY(),"Y"),"")</f>
        <v>45</v>
      </c>
      <c r="G1224" s="40" t="s">
        <v>5635</v>
      </c>
      <c r="H1224" s="40"/>
      <c r="I1224" s="38" t="s">
        <v>5636</v>
      </c>
      <c r="J1224" s="38" t="s">
        <v>16</v>
      </c>
      <c r="K1224" s="38" t="s">
        <v>5637</v>
      </c>
      <c r="L1224" s="38" t="s">
        <v>45</v>
      </c>
      <c r="M1224" s="37" t="s">
        <v>120</v>
      </c>
      <c r="N1224" s="39" t="n">
        <v>42907</v>
      </c>
      <c r="O1224" s="41" t="s">
        <v>23</v>
      </c>
      <c r="P1224" s="41" t="s">
        <v>105</v>
      </c>
      <c r="Q1224" s="42"/>
      <c r="R1224" s="41"/>
      <c r="S1224" s="42"/>
      <c r="T1224" s="41"/>
    </row>
    <row r="1225" customFormat="false" ht="13.5" hidden="false" customHeight="true" outlineLevel="0" collapsed="false">
      <c r="A1225" s="37" t="n">
        <v>1222</v>
      </c>
      <c r="B1225" s="37" t="n">
        <v>3530</v>
      </c>
      <c r="C1225" s="38" t="s">
        <v>5638</v>
      </c>
      <c r="D1225" s="37" t="s">
        <v>100</v>
      </c>
      <c r="E1225" s="39" t="n">
        <v>24978</v>
      </c>
      <c r="F1225" s="37" t="n">
        <f aca="true">IFERROR(DATEDIF(E1225,TODAY(),"Y"),"")</f>
        <v>58</v>
      </c>
      <c r="G1225" s="40" t="s">
        <v>5639</v>
      </c>
      <c r="H1225" s="40" t="s">
        <v>5640</v>
      </c>
      <c r="I1225" s="38" t="s">
        <v>5641</v>
      </c>
      <c r="J1225" s="38" t="s">
        <v>16</v>
      </c>
      <c r="K1225" s="38" t="s">
        <v>5642</v>
      </c>
      <c r="L1225" s="38" t="s">
        <v>55</v>
      </c>
      <c r="M1225" s="37" t="s">
        <v>120</v>
      </c>
      <c r="N1225" s="39" t="n">
        <v>42907</v>
      </c>
      <c r="O1225" s="41" t="s">
        <v>23</v>
      </c>
      <c r="P1225" s="41" t="s">
        <v>105</v>
      </c>
      <c r="Q1225" s="42"/>
      <c r="R1225" s="41"/>
      <c r="S1225" s="42"/>
      <c r="T1225" s="41"/>
    </row>
    <row r="1226" customFormat="false" ht="13.5" hidden="false" customHeight="true" outlineLevel="0" collapsed="false">
      <c r="A1226" s="37" t="n">
        <v>1223</v>
      </c>
      <c r="B1226" s="37" t="n">
        <v>3531</v>
      </c>
      <c r="C1226" s="38" t="s">
        <v>5643</v>
      </c>
      <c r="D1226" s="37" t="s">
        <v>100</v>
      </c>
      <c r="E1226" s="39" t="n">
        <v>27518</v>
      </c>
      <c r="F1226" s="37" t="n">
        <f aca="true">IFERROR(DATEDIF(E1226,TODAY(),"Y"),"")</f>
        <v>51</v>
      </c>
      <c r="G1226" s="40" t="s">
        <v>5644</v>
      </c>
      <c r="H1226" s="40"/>
      <c r="I1226" s="38" t="s">
        <v>5645</v>
      </c>
      <c r="J1226" s="38" t="s">
        <v>15</v>
      </c>
      <c r="K1226" s="38" t="s">
        <v>5646</v>
      </c>
      <c r="L1226" s="38" t="s">
        <v>46</v>
      </c>
      <c r="M1226" s="37" t="s">
        <v>177</v>
      </c>
      <c r="N1226" s="39" t="n">
        <v>42907</v>
      </c>
      <c r="O1226" s="41" t="s">
        <v>23</v>
      </c>
      <c r="P1226" s="41" t="s">
        <v>105</v>
      </c>
      <c r="Q1226" s="42"/>
      <c r="R1226" s="41"/>
      <c r="S1226" s="42"/>
      <c r="T1226" s="41"/>
    </row>
    <row r="1227" customFormat="false" ht="13.5" hidden="false" customHeight="true" outlineLevel="0" collapsed="false">
      <c r="A1227" s="37" t="n">
        <v>1224</v>
      </c>
      <c r="B1227" s="37" t="n">
        <v>3532</v>
      </c>
      <c r="C1227" s="38" t="s">
        <v>5647</v>
      </c>
      <c r="D1227" s="37" t="s">
        <v>100</v>
      </c>
      <c r="E1227" s="39" t="n">
        <v>28537</v>
      </c>
      <c r="F1227" s="37" t="n">
        <f aca="true">IFERROR(DATEDIF(E1227,TODAY(),"Y"),"")</f>
        <v>48</v>
      </c>
      <c r="G1227" s="40" t="s">
        <v>5648</v>
      </c>
      <c r="H1227" s="40" t="s">
        <v>5649</v>
      </c>
      <c r="I1227" s="38" t="s">
        <v>5650</v>
      </c>
      <c r="J1227" s="38" t="s">
        <v>15</v>
      </c>
      <c r="K1227" s="38" t="s">
        <v>5651</v>
      </c>
      <c r="L1227" s="38" t="s">
        <v>47</v>
      </c>
      <c r="M1227" s="37" t="s">
        <v>177</v>
      </c>
      <c r="N1227" s="39" t="n">
        <v>42938</v>
      </c>
      <c r="O1227" s="41" t="s">
        <v>23</v>
      </c>
      <c r="P1227" s="41" t="s">
        <v>105</v>
      </c>
      <c r="Q1227" s="42"/>
      <c r="R1227" s="41"/>
      <c r="S1227" s="42"/>
      <c r="T1227" s="41"/>
    </row>
    <row r="1228" customFormat="false" ht="13.5" hidden="false" customHeight="true" outlineLevel="0" collapsed="false">
      <c r="A1228" s="37" t="n">
        <v>1225</v>
      </c>
      <c r="B1228" s="37" t="n">
        <v>3534</v>
      </c>
      <c r="C1228" s="38" t="s">
        <v>5652</v>
      </c>
      <c r="D1228" s="37" t="s">
        <v>100</v>
      </c>
      <c r="E1228" s="39" t="n">
        <v>31125</v>
      </c>
      <c r="F1228" s="37" t="n">
        <f aca="true">IFERROR(DATEDIF(E1228,TODAY(),"Y"),"")</f>
        <v>41</v>
      </c>
      <c r="G1228" s="40" t="s">
        <v>5653</v>
      </c>
      <c r="H1228" s="40"/>
      <c r="I1228" s="38" t="s">
        <v>5654</v>
      </c>
      <c r="J1228" s="38" t="s">
        <v>18</v>
      </c>
      <c r="K1228" s="38" t="s">
        <v>5655</v>
      </c>
      <c r="L1228" s="38" t="s">
        <v>52</v>
      </c>
      <c r="M1228" s="37" t="s">
        <v>120</v>
      </c>
      <c r="N1228" s="39" t="n">
        <v>42953</v>
      </c>
      <c r="O1228" s="41" t="s">
        <v>23</v>
      </c>
      <c r="P1228" s="41" t="s">
        <v>105</v>
      </c>
      <c r="Q1228" s="42"/>
      <c r="R1228" s="41"/>
      <c r="S1228" s="42"/>
      <c r="T1228" s="41"/>
    </row>
    <row r="1229" customFormat="false" ht="13.5" hidden="false" customHeight="true" outlineLevel="0" collapsed="false">
      <c r="A1229" s="37" t="n">
        <v>1226</v>
      </c>
      <c r="B1229" s="37" t="n">
        <v>3535</v>
      </c>
      <c r="C1229" s="38" t="s">
        <v>5656</v>
      </c>
      <c r="D1229" s="37" t="s">
        <v>100</v>
      </c>
      <c r="E1229" s="39" t="n">
        <v>31557</v>
      </c>
      <c r="F1229" s="37" t="n">
        <f aca="true">IFERROR(DATEDIF(E1229,TODAY(),"Y"),"")</f>
        <v>40</v>
      </c>
      <c r="G1229" s="40"/>
      <c r="H1229" s="40"/>
      <c r="I1229" s="38" t="s">
        <v>5657</v>
      </c>
      <c r="J1229" s="38" t="s">
        <v>15</v>
      </c>
      <c r="K1229" s="38" t="s">
        <v>5658</v>
      </c>
      <c r="L1229" s="38" t="s">
        <v>55</v>
      </c>
      <c r="M1229" s="37" t="s">
        <v>120</v>
      </c>
      <c r="N1229" s="39" t="n">
        <v>42956</v>
      </c>
      <c r="O1229" s="41" t="s">
        <v>23</v>
      </c>
      <c r="P1229" s="41" t="s">
        <v>105</v>
      </c>
      <c r="Q1229" s="42"/>
      <c r="R1229" s="41"/>
      <c r="S1229" s="42"/>
      <c r="T1229" s="41"/>
    </row>
    <row r="1230" customFormat="false" ht="13.5" hidden="false" customHeight="true" outlineLevel="0" collapsed="false">
      <c r="A1230" s="37" t="n">
        <v>1227</v>
      </c>
      <c r="B1230" s="37" t="n">
        <v>3536</v>
      </c>
      <c r="C1230" s="38" t="s">
        <v>5659</v>
      </c>
      <c r="D1230" s="37" t="s">
        <v>100</v>
      </c>
      <c r="E1230" s="39" t="n">
        <v>22428</v>
      </c>
      <c r="F1230" s="37" t="n">
        <f aca="true">IFERROR(DATEDIF(E1230,TODAY(),"Y"),"")</f>
        <v>65</v>
      </c>
      <c r="G1230" s="40" t="s">
        <v>5660</v>
      </c>
      <c r="H1230" s="40"/>
      <c r="I1230" s="38" t="s">
        <v>5661</v>
      </c>
      <c r="J1230" s="38" t="s">
        <v>15</v>
      </c>
      <c r="K1230" s="38" t="s">
        <v>5662</v>
      </c>
      <c r="L1230" s="38" t="s">
        <v>47</v>
      </c>
      <c r="M1230" s="37"/>
      <c r="N1230" s="39" t="n">
        <v>42959</v>
      </c>
      <c r="O1230" s="41" t="s">
        <v>23</v>
      </c>
      <c r="P1230" s="41" t="s">
        <v>105</v>
      </c>
      <c r="Q1230" s="42"/>
      <c r="R1230" s="41"/>
      <c r="S1230" s="42"/>
      <c r="T1230" s="41"/>
    </row>
    <row r="1231" customFormat="false" ht="13.5" hidden="false" customHeight="true" outlineLevel="0" collapsed="false">
      <c r="A1231" s="37" t="n">
        <v>1228</v>
      </c>
      <c r="B1231" s="37" t="n">
        <v>3537</v>
      </c>
      <c r="C1231" s="38" t="s">
        <v>5663</v>
      </c>
      <c r="D1231" s="37" t="s">
        <v>100</v>
      </c>
      <c r="E1231" s="39" t="n">
        <v>27067</v>
      </c>
      <c r="F1231" s="37" t="n">
        <f aca="true">IFERROR(DATEDIF(E1231,TODAY(),"Y"),"")</f>
        <v>52</v>
      </c>
      <c r="G1231" s="40" t="s">
        <v>5664</v>
      </c>
      <c r="H1231" s="40"/>
      <c r="I1231" s="38" t="s">
        <v>5665</v>
      </c>
      <c r="J1231" s="38" t="s">
        <v>16</v>
      </c>
      <c r="K1231" s="38" t="s">
        <v>5666</v>
      </c>
      <c r="L1231" s="38" t="s">
        <v>53</v>
      </c>
      <c r="M1231" s="37" t="s">
        <v>177</v>
      </c>
      <c r="N1231" s="39" t="n">
        <v>42967</v>
      </c>
      <c r="O1231" s="41" t="s">
        <v>23</v>
      </c>
      <c r="P1231" s="41" t="s">
        <v>105</v>
      </c>
      <c r="Q1231" s="42"/>
      <c r="R1231" s="41"/>
      <c r="S1231" s="42"/>
      <c r="T1231" s="41"/>
    </row>
    <row r="1232" customFormat="false" ht="13.5" hidden="false" customHeight="true" outlineLevel="0" collapsed="false">
      <c r="A1232" s="37" t="n">
        <v>1229</v>
      </c>
      <c r="B1232" s="37" t="n">
        <v>3538</v>
      </c>
      <c r="C1232" s="38" t="s">
        <v>5667</v>
      </c>
      <c r="D1232" s="37" t="s">
        <v>100</v>
      </c>
      <c r="E1232" s="39" t="n">
        <v>24988</v>
      </c>
      <c r="F1232" s="37" t="n">
        <f aca="true">IFERROR(DATEDIF(E1232,TODAY(),"Y"),"")</f>
        <v>58</v>
      </c>
      <c r="G1232" s="40" t="s">
        <v>5668</v>
      </c>
      <c r="H1232" s="40"/>
      <c r="I1232" s="38" t="s">
        <v>5669</v>
      </c>
      <c r="J1232" s="38" t="s">
        <v>16</v>
      </c>
      <c r="K1232" s="38" t="s">
        <v>5670</v>
      </c>
      <c r="L1232" s="38" t="s">
        <v>53</v>
      </c>
      <c r="M1232" s="37" t="s">
        <v>177</v>
      </c>
      <c r="N1232" s="39" t="n">
        <v>42967</v>
      </c>
      <c r="O1232" s="41" t="s">
        <v>23</v>
      </c>
      <c r="P1232" s="41" t="s">
        <v>105</v>
      </c>
      <c r="Q1232" s="42"/>
      <c r="R1232" s="41"/>
      <c r="S1232" s="42"/>
      <c r="T1232" s="41"/>
    </row>
    <row r="1233" customFormat="false" ht="13.5" hidden="false" customHeight="true" outlineLevel="0" collapsed="false">
      <c r="A1233" s="37" t="n">
        <v>1230</v>
      </c>
      <c r="B1233" s="37" t="n">
        <v>3539</v>
      </c>
      <c r="C1233" s="38" t="s">
        <v>5671</v>
      </c>
      <c r="D1233" s="37" t="s">
        <v>100</v>
      </c>
      <c r="E1233" s="39" t="n">
        <v>26434</v>
      </c>
      <c r="F1233" s="37" t="n">
        <f aca="true">IFERROR(DATEDIF(E1233,TODAY(),"Y"),"")</f>
        <v>54</v>
      </c>
      <c r="G1233" s="40" t="s">
        <v>5672</v>
      </c>
      <c r="H1233" s="40"/>
      <c r="I1233" s="38" t="s">
        <v>5673</v>
      </c>
      <c r="J1233" s="38" t="s">
        <v>15</v>
      </c>
      <c r="K1233" s="38" t="s">
        <v>5674</v>
      </c>
      <c r="L1233" s="38" t="s">
        <v>55</v>
      </c>
      <c r="M1233" s="37" t="s">
        <v>177</v>
      </c>
      <c r="N1233" s="39" t="n">
        <v>42967</v>
      </c>
      <c r="O1233" s="41" t="s">
        <v>23</v>
      </c>
      <c r="P1233" s="41" t="s">
        <v>105</v>
      </c>
      <c r="Q1233" s="42"/>
      <c r="R1233" s="41"/>
      <c r="S1233" s="42"/>
      <c r="T1233" s="41"/>
    </row>
    <row r="1234" customFormat="false" ht="13.5" hidden="false" customHeight="true" outlineLevel="0" collapsed="false">
      <c r="A1234" s="37" t="n">
        <v>1231</v>
      </c>
      <c r="B1234" s="37" t="n">
        <v>3540</v>
      </c>
      <c r="C1234" s="38" t="s">
        <v>5675</v>
      </c>
      <c r="D1234" s="37" t="s">
        <v>100</v>
      </c>
      <c r="E1234" s="39" t="n">
        <v>27121</v>
      </c>
      <c r="F1234" s="37" t="n">
        <f aca="true">IFERROR(DATEDIF(E1234,TODAY(),"Y"),"")</f>
        <v>52</v>
      </c>
      <c r="G1234" s="40" t="s">
        <v>5676</v>
      </c>
      <c r="H1234" s="40"/>
      <c r="I1234" s="38" t="s">
        <v>5677</v>
      </c>
      <c r="J1234" s="38" t="s">
        <v>15</v>
      </c>
      <c r="K1234" s="38" t="s">
        <v>5678</v>
      </c>
      <c r="L1234" s="38" t="s">
        <v>47</v>
      </c>
      <c r="M1234" s="37" t="s">
        <v>493</v>
      </c>
      <c r="N1234" s="39" t="n">
        <v>42968</v>
      </c>
      <c r="O1234" s="41" t="s">
        <v>23</v>
      </c>
      <c r="P1234" s="41" t="s">
        <v>105</v>
      </c>
      <c r="Q1234" s="42"/>
      <c r="R1234" s="41"/>
      <c r="S1234" s="42"/>
      <c r="T1234" s="41"/>
    </row>
    <row r="1235" customFormat="false" ht="13.5" hidden="false" customHeight="true" outlineLevel="0" collapsed="false">
      <c r="A1235" s="37" t="n">
        <v>1232</v>
      </c>
      <c r="B1235" s="37" t="n">
        <v>3541</v>
      </c>
      <c r="C1235" s="38" t="s">
        <v>5679</v>
      </c>
      <c r="D1235" s="37" t="s">
        <v>100</v>
      </c>
      <c r="E1235" s="39" t="n">
        <v>27910</v>
      </c>
      <c r="F1235" s="37" t="n">
        <f aca="true">IFERROR(DATEDIF(E1235,TODAY(),"Y"),"")</f>
        <v>50</v>
      </c>
      <c r="G1235" s="40" t="s">
        <v>5680</v>
      </c>
      <c r="H1235" s="40"/>
      <c r="I1235" s="38" t="s">
        <v>5681</v>
      </c>
      <c r="J1235" s="38" t="s">
        <v>15</v>
      </c>
      <c r="K1235" s="38" t="s">
        <v>5682</v>
      </c>
      <c r="L1235" s="38" t="s">
        <v>50</v>
      </c>
      <c r="M1235" s="37"/>
      <c r="N1235" s="39" t="n">
        <v>42969</v>
      </c>
      <c r="O1235" s="41" t="s">
        <v>23</v>
      </c>
      <c r="P1235" s="41" t="s">
        <v>105</v>
      </c>
      <c r="Q1235" s="42"/>
      <c r="R1235" s="41"/>
      <c r="S1235" s="42"/>
      <c r="T1235" s="41"/>
    </row>
    <row r="1236" customFormat="false" ht="13.5" hidden="false" customHeight="true" outlineLevel="0" collapsed="false">
      <c r="A1236" s="37" t="n">
        <v>1233</v>
      </c>
      <c r="B1236" s="37" t="n">
        <v>3543</v>
      </c>
      <c r="C1236" s="38" t="s">
        <v>5683</v>
      </c>
      <c r="D1236" s="37" t="s">
        <v>100</v>
      </c>
      <c r="E1236" s="39" t="n">
        <v>29594</v>
      </c>
      <c r="F1236" s="37" t="n">
        <f aca="true">IFERROR(DATEDIF(E1236,TODAY(),"Y"),"")</f>
        <v>45</v>
      </c>
      <c r="G1236" s="40" t="s">
        <v>5684</v>
      </c>
      <c r="H1236" s="40" t="s">
        <v>5685</v>
      </c>
      <c r="I1236" s="38" t="s">
        <v>5686</v>
      </c>
      <c r="J1236" s="38" t="s">
        <v>16</v>
      </c>
      <c r="K1236" s="38" t="s">
        <v>5687</v>
      </c>
      <c r="L1236" s="38" t="s">
        <v>46</v>
      </c>
      <c r="M1236" s="37" t="s">
        <v>177</v>
      </c>
      <c r="N1236" s="39" t="n">
        <v>42985</v>
      </c>
      <c r="O1236" s="41" t="s">
        <v>23</v>
      </c>
      <c r="P1236" s="41" t="s">
        <v>105</v>
      </c>
      <c r="Q1236" s="42"/>
      <c r="R1236" s="41"/>
      <c r="S1236" s="42"/>
      <c r="T1236" s="41"/>
    </row>
    <row r="1237" customFormat="false" ht="13.5" hidden="false" customHeight="true" outlineLevel="0" collapsed="false">
      <c r="A1237" s="37" t="n">
        <v>1234</v>
      </c>
      <c r="B1237" s="37" t="n">
        <v>3544</v>
      </c>
      <c r="C1237" s="38" t="s">
        <v>5688</v>
      </c>
      <c r="D1237" s="37" t="s">
        <v>100</v>
      </c>
      <c r="E1237" s="39" t="n">
        <v>28621</v>
      </c>
      <c r="F1237" s="37" t="n">
        <f aca="true">IFERROR(DATEDIF(E1237,TODAY(),"Y"),"")</f>
        <v>48</v>
      </c>
      <c r="G1237" s="40" t="s">
        <v>5689</v>
      </c>
      <c r="H1237" s="40" t="s">
        <v>5690</v>
      </c>
      <c r="I1237" s="38" t="s">
        <v>5691</v>
      </c>
      <c r="J1237" s="38"/>
      <c r="K1237" s="38" t="s">
        <v>5692</v>
      </c>
      <c r="L1237" s="38" t="s">
        <v>46</v>
      </c>
      <c r="M1237" s="37" t="s">
        <v>120</v>
      </c>
      <c r="N1237" s="39" t="n">
        <v>42997</v>
      </c>
      <c r="O1237" s="41" t="s">
        <v>23</v>
      </c>
      <c r="P1237" s="41" t="s">
        <v>105</v>
      </c>
      <c r="Q1237" s="42"/>
      <c r="R1237" s="41"/>
      <c r="S1237" s="42"/>
      <c r="T1237" s="41"/>
    </row>
    <row r="1238" customFormat="false" ht="13.5" hidden="false" customHeight="true" outlineLevel="0" collapsed="false">
      <c r="A1238" s="37" t="n">
        <v>1235</v>
      </c>
      <c r="B1238" s="37" t="n">
        <v>3545</v>
      </c>
      <c r="C1238" s="38" t="s">
        <v>5693</v>
      </c>
      <c r="D1238" s="37" t="s">
        <v>100</v>
      </c>
      <c r="E1238" s="39" t="n">
        <v>27698</v>
      </c>
      <c r="F1238" s="37" t="n">
        <f aca="true">IFERROR(DATEDIF(E1238,TODAY(),"Y"),"")</f>
        <v>50</v>
      </c>
      <c r="G1238" s="40" t="s">
        <v>5694</v>
      </c>
      <c r="H1238" s="40"/>
      <c r="I1238" s="38" t="s">
        <v>5695</v>
      </c>
      <c r="J1238" s="38" t="s">
        <v>16</v>
      </c>
      <c r="K1238" s="38" t="s">
        <v>5696</v>
      </c>
      <c r="L1238" s="38" t="s">
        <v>51</v>
      </c>
      <c r="M1238" s="37" t="s">
        <v>104</v>
      </c>
      <c r="N1238" s="39" t="n">
        <v>42997</v>
      </c>
      <c r="O1238" s="41" t="s">
        <v>23</v>
      </c>
      <c r="P1238" s="41" t="s">
        <v>105</v>
      </c>
      <c r="Q1238" s="42"/>
      <c r="R1238" s="41"/>
      <c r="S1238" s="42"/>
      <c r="T1238" s="41"/>
    </row>
    <row r="1239" customFormat="false" ht="13.5" hidden="false" customHeight="true" outlineLevel="0" collapsed="false">
      <c r="A1239" s="37" t="n">
        <v>1236</v>
      </c>
      <c r="B1239" s="37" t="n">
        <v>3546</v>
      </c>
      <c r="C1239" s="38" t="s">
        <v>5697</v>
      </c>
      <c r="D1239" s="37" t="s">
        <v>100</v>
      </c>
      <c r="E1239" s="39" t="n">
        <v>26804</v>
      </c>
      <c r="F1239" s="37" t="n">
        <f aca="true">IFERROR(DATEDIF(E1239,TODAY(),"Y"),"")</f>
        <v>53</v>
      </c>
      <c r="G1239" s="40" t="s">
        <v>5698</v>
      </c>
      <c r="H1239" s="40"/>
      <c r="I1239" s="38" t="s">
        <v>5699</v>
      </c>
      <c r="J1239" s="38" t="s">
        <v>15</v>
      </c>
      <c r="K1239" s="38" t="s">
        <v>5700</v>
      </c>
      <c r="L1239" s="38" t="s">
        <v>51</v>
      </c>
      <c r="M1239" s="37" t="s">
        <v>104</v>
      </c>
      <c r="N1239" s="39" t="n">
        <v>42998</v>
      </c>
      <c r="O1239" s="41" t="s">
        <v>23</v>
      </c>
      <c r="P1239" s="41" t="s">
        <v>105</v>
      </c>
      <c r="Q1239" s="42"/>
      <c r="R1239" s="41"/>
      <c r="S1239" s="42"/>
      <c r="T1239" s="41"/>
    </row>
    <row r="1240" customFormat="false" ht="13.5" hidden="false" customHeight="true" outlineLevel="0" collapsed="false">
      <c r="A1240" s="37" t="n">
        <v>1237</v>
      </c>
      <c r="B1240" s="37" t="n">
        <v>3547</v>
      </c>
      <c r="C1240" s="38" t="s">
        <v>5701</v>
      </c>
      <c r="D1240" s="37" t="s">
        <v>100</v>
      </c>
      <c r="E1240" s="39" t="n">
        <v>27884</v>
      </c>
      <c r="F1240" s="37" t="n">
        <f aca="true">IFERROR(DATEDIF(E1240,TODAY(),"Y"),"")</f>
        <v>50</v>
      </c>
      <c r="G1240" s="40" t="s">
        <v>5702</v>
      </c>
      <c r="H1240" s="40"/>
      <c r="I1240" s="38" t="s">
        <v>5703</v>
      </c>
      <c r="J1240" s="38" t="s">
        <v>15</v>
      </c>
      <c r="K1240" s="38" t="s">
        <v>5704</v>
      </c>
      <c r="L1240" s="38" t="s">
        <v>48</v>
      </c>
      <c r="M1240" s="37" t="s">
        <v>104</v>
      </c>
      <c r="N1240" s="39" t="n">
        <v>43003</v>
      </c>
      <c r="O1240" s="41" t="s">
        <v>23</v>
      </c>
      <c r="P1240" s="41" t="s">
        <v>105</v>
      </c>
      <c r="Q1240" s="42"/>
      <c r="R1240" s="41"/>
      <c r="S1240" s="42"/>
      <c r="T1240" s="41"/>
    </row>
    <row r="1241" customFormat="false" ht="13.5" hidden="false" customHeight="true" outlineLevel="0" collapsed="false">
      <c r="A1241" s="37" t="n">
        <v>1238</v>
      </c>
      <c r="B1241" s="37" t="n">
        <v>3548</v>
      </c>
      <c r="C1241" s="38" t="s">
        <v>5705</v>
      </c>
      <c r="D1241" s="37" t="s">
        <v>100</v>
      </c>
      <c r="E1241" s="39" t="n">
        <v>29178</v>
      </c>
      <c r="F1241" s="37" t="n">
        <f aca="true">IFERROR(DATEDIF(E1241,TODAY(),"Y"),"")</f>
        <v>46</v>
      </c>
      <c r="G1241" s="40" t="s">
        <v>5706</v>
      </c>
      <c r="H1241" s="40" t="s">
        <v>5707</v>
      </c>
      <c r="I1241" s="38" t="s">
        <v>5708</v>
      </c>
      <c r="J1241" s="38" t="s">
        <v>15</v>
      </c>
      <c r="K1241" s="38" t="s">
        <v>5709</v>
      </c>
      <c r="L1241" s="38" t="s">
        <v>55</v>
      </c>
      <c r="M1241" s="37"/>
      <c r="N1241" s="39" t="n">
        <v>43015</v>
      </c>
      <c r="O1241" s="41" t="s">
        <v>23</v>
      </c>
      <c r="P1241" s="41" t="s">
        <v>105</v>
      </c>
      <c r="Q1241" s="42"/>
      <c r="R1241" s="41"/>
      <c r="S1241" s="42"/>
      <c r="T1241" s="41"/>
    </row>
    <row r="1242" customFormat="false" ht="13.5" hidden="false" customHeight="true" outlineLevel="0" collapsed="false">
      <c r="A1242" s="37" t="n">
        <v>1239</v>
      </c>
      <c r="B1242" s="37" t="n">
        <v>3549</v>
      </c>
      <c r="C1242" s="38" t="s">
        <v>5710</v>
      </c>
      <c r="D1242" s="37" t="s">
        <v>100</v>
      </c>
      <c r="E1242" s="39" t="n">
        <v>23224</v>
      </c>
      <c r="F1242" s="37" t="n">
        <f aca="true">IFERROR(DATEDIF(E1242,TODAY(),"Y"),"")</f>
        <v>63</v>
      </c>
      <c r="G1242" s="40" t="s">
        <v>5711</v>
      </c>
      <c r="H1242" s="40"/>
      <c r="I1242" s="38" t="s">
        <v>5712</v>
      </c>
      <c r="J1242" s="38" t="s">
        <v>16</v>
      </c>
      <c r="K1242" s="38" t="s">
        <v>5713</v>
      </c>
      <c r="L1242" s="38" t="s">
        <v>49</v>
      </c>
      <c r="M1242" s="37" t="s">
        <v>120</v>
      </c>
      <c r="N1242" s="39" t="n">
        <v>43016</v>
      </c>
      <c r="O1242" s="41" t="s">
        <v>23</v>
      </c>
      <c r="P1242" s="41" t="s">
        <v>105</v>
      </c>
      <c r="Q1242" s="42"/>
      <c r="R1242" s="41"/>
      <c r="S1242" s="42"/>
      <c r="T1242" s="41"/>
    </row>
    <row r="1243" customFormat="false" ht="13.5" hidden="false" customHeight="true" outlineLevel="0" collapsed="false">
      <c r="A1243" s="37" t="n">
        <v>1240</v>
      </c>
      <c r="B1243" s="37" t="n">
        <v>3550</v>
      </c>
      <c r="C1243" s="38" t="s">
        <v>5714</v>
      </c>
      <c r="D1243" s="37" t="s">
        <v>100</v>
      </c>
      <c r="E1243" s="39" t="n">
        <v>25330</v>
      </c>
      <c r="F1243" s="37" t="n">
        <f aca="true">IFERROR(DATEDIF(E1243,TODAY(),"Y"),"")</f>
        <v>57</v>
      </c>
      <c r="G1243" s="40" t="s">
        <v>5715</v>
      </c>
      <c r="H1243" s="40"/>
      <c r="I1243" s="38" t="s">
        <v>5716</v>
      </c>
      <c r="J1243" s="38" t="s">
        <v>15</v>
      </c>
      <c r="K1243" s="38" t="s">
        <v>5717</v>
      </c>
      <c r="L1243" s="38" t="s">
        <v>43</v>
      </c>
      <c r="M1243" s="37" t="s">
        <v>177</v>
      </c>
      <c r="N1243" s="39" t="n">
        <v>43019</v>
      </c>
      <c r="O1243" s="41" t="s">
        <v>23</v>
      </c>
      <c r="P1243" s="41" t="s">
        <v>105</v>
      </c>
      <c r="Q1243" s="42"/>
      <c r="R1243" s="41"/>
      <c r="S1243" s="42"/>
      <c r="T1243" s="41"/>
    </row>
    <row r="1244" customFormat="false" ht="13.5" hidden="false" customHeight="true" outlineLevel="0" collapsed="false">
      <c r="A1244" s="37" t="n">
        <v>1241</v>
      </c>
      <c r="B1244" s="37" t="n">
        <v>3551</v>
      </c>
      <c r="C1244" s="38" t="s">
        <v>5718</v>
      </c>
      <c r="D1244" s="37" t="s">
        <v>100</v>
      </c>
      <c r="E1244" s="39" t="n">
        <v>25588</v>
      </c>
      <c r="F1244" s="37" t="n">
        <f aca="true">IFERROR(DATEDIF(E1244,TODAY(),"Y"),"")</f>
        <v>56</v>
      </c>
      <c r="G1244" s="40" t="s">
        <v>5719</v>
      </c>
      <c r="H1244" s="40"/>
      <c r="I1244" s="38" t="s">
        <v>5720</v>
      </c>
      <c r="J1244" s="38" t="s">
        <v>18</v>
      </c>
      <c r="K1244" s="38" t="s">
        <v>5721</v>
      </c>
      <c r="L1244" s="38" t="s">
        <v>55</v>
      </c>
      <c r="M1244" s="37"/>
      <c r="N1244" s="39" t="n">
        <v>43020</v>
      </c>
      <c r="O1244" s="41" t="s">
        <v>23</v>
      </c>
      <c r="P1244" s="41" t="s">
        <v>105</v>
      </c>
      <c r="Q1244" s="42"/>
      <c r="R1244" s="41"/>
      <c r="S1244" s="42"/>
      <c r="T1244" s="41"/>
    </row>
    <row r="1245" customFormat="false" ht="13.5" hidden="false" customHeight="true" outlineLevel="0" collapsed="false">
      <c r="A1245" s="37" t="n">
        <v>1242</v>
      </c>
      <c r="B1245" s="37" t="n">
        <v>3552</v>
      </c>
      <c r="C1245" s="38" t="s">
        <v>5722</v>
      </c>
      <c r="D1245" s="37" t="s">
        <v>100</v>
      </c>
      <c r="E1245" s="39" t="n">
        <v>26313</v>
      </c>
      <c r="F1245" s="37" t="n">
        <f aca="true">IFERROR(DATEDIF(E1245,TODAY(),"Y"),"")</f>
        <v>54</v>
      </c>
      <c r="G1245" s="40" t="s">
        <v>5723</v>
      </c>
      <c r="H1245" s="40"/>
      <c r="I1245" s="38" t="s">
        <v>5724</v>
      </c>
      <c r="J1245" s="38" t="s">
        <v>15</v>
      </c>
      <c r="K1245" s="38" t="s">
        <v>5725</v>
      </c>
      <c r="L1245" s="38" t="s">
        <v>44</v>
      </c>
      <c r="M1245" s="37"/>
      <c r="N1245" s="39" t="n">
        <v>43029</v>
      </c>
      <c r="O1245" s="41" t="s">
        <v>23</v>
      </c>
      <c r="P1245" s="41" t="s">
        <v>105</v>
      </c>
      <c r="Q1245" s="42"/>
      <c r="R1245" s="41"/>
      <c r="S1245" s="42"/>
      <c r="T1245" s="41"/>
    </row>
    <row r="1246" customFormat="false" ht="13.5" hidden="false" customHeight="true" outlineLevel="0" collapsed="false">
      <c r="A1246" s="37" t="n">
        <v>1243</v>
      </c>
      <c r="B1246" s="37" t="n">
        <v>3553</v>
      </c>
      <c r="C1246" s="38" t="s">
        <v>5726</v>
      </c>
      <c r="D1246" s="37" t="s">
        <v>100</v>
      </c>
      <c r="E1246" s="39" t="n">
        <v>30829</v>
      </c>
      <c r="F1246" s="37" t="n">
        <f aca="true">IFERROR(DATEDIF(E1246,TODAY(),"Y"),"")</f>
        <v>42</v>
      </c>
      <c r="G1246" s="40" t="s">
        <v>5727</v>
      </c>
      <c r="H1246" s="40" t="s">
        <v>5728</v>
      </c>
      <c r="I1246" s="38" t="s">
        <v>5729</v>
      </c>
      <c r="J1246" s="38" t="s">
        <v>16</v>
      </c>
      <c r="K1246" s="38" t="s">
        <v>5730</v>
      </c>
      <c r="L1246" s="38" t="s">
        <v>54</v>
      </c>
      <c r="M1246" s="37" t="s">
        <v>104</v>
      </c>
      <c r="N1246" s="39" t="n">
        <v>43029</v>
      </c>
      <c r="O1246" s="41" t="s">
        <v>23</v>
      </c>
      <c r="P1246" s="41" t="s">
        <v>105</v>
      </c>
      <c r="Q1246" s="42"/>
      <c r="R1246" s="41"/>
      <c r="S1246" s="42"/>
      <c r="T1246" s="41"/>
    </row>
    <row r="1247" customFormat="false" ht="13.5" hidden="false" customHeight="true" outlineLevel="0" collapsed="false">
      <c r="A1247" s="37" t="n">
        <v>1244</v>
      </c>
      <c r="B1247" s="37" t="n">
        <v>3554</v>
      </c>
      <c r="C1247" s="38" t="s">
        <v>5731</v>
      </c>
      <c r="D1247" s="37" t="s">
        <v>100</v>
      </c>
      <c r="E1247" s="39" t="n">
        <v>28980</v>
      </c>
      <c r="F1247" s="37" t="n">
        <f aca="true">IFERROR(DATEDIF(E1247,TODAY(),"Y"),"")</f>
        <v>47</v>
      </c>
      <c r="G1247" s="40" t="s">
        <v>5732</v>
      </c>
      <c r="H1247" s="40" t="s">
        <v>5733</v>
      </c>
      <c r="I1247" s="38" t="s">
        <v>5734</v>
      </c>
      <c r="J1247" s="38" t="s">
        <v>16</v>
      </c>
      <c r="K1247" s="38" t="s">
        <v>5735</v>
      </c>
      <c r="L1247" s="38" t="s">
        <v>55</v>
      </c>
      <c r="M1247" s="37" t="s">
        <v>120</v>
      </c>
      <c r="N1247" s="39" t="n">
        <v>43029</v>
      </c>
      <c r="O1247" s="41" t="s">
        <v>23</v>
      </c>
      <c r="P1247" s="41" t="s">
        <v>105</v>
      </c>
      <c r="Q1247" s="42"/>
      <c r="R1247" s="41"/>
      <c r="S1247" s="42"/>
      <c r="T1247" s="41"/>
    </row>
    <row r="1248" customFormat="false" ht="13.5" hidden="false" customHeight="true" outlineLevel="0" collapsed="false">
      <c r="A1248" s="37" t="n">
        <v>1245</v>
      </c>
      <c r="B1248" s="37" t="n">
        <v>3555</v>
      </c>
      <c r="C1248" s="38" t="s">
        <v>5736</v>
      </c>
      <c r="D1248" s="37" t="s">
        <v>100</v>
      </c>
      <c r="E1248" s="39" t="n">
        <v>28296</v>
      </c>
      <c r="F1248" s="37" t="n">
        <f aca="true">IFERROR(DATEDIF(E1248,TODAY(),"Y"),"")</f>
        <v>49</v>
      </c>
      <c r="G1248" s="40" t="s">
        <v>5737</v>
      </c>
      <c r="H1248" s="40"/>
      <c r="I1248" s="38" t="s">
        <v>5738</v>
      </c>
      <c r="J1248" s="38" t="s">
        <v>15</v>
      </c>
      <c r="K1248" s="38" t="s">
        <v>5739</v>
      </c>
      <c r="L1248" s="38" t="s">
        <v>47</v>
      </c>
      <c r="M1248" s="37" t="s">
        <v>104</v>
      </c>
      <c r="N1248" s="39" t="n">
        <v>43031</v>
      </c>
      <c r="O1248" s="41" t="s">
        <v>23</v>
      </c>
      <c r="P1248" s="41" t="s">
        <v>105</v>
      </c>
      <c r="Q1248" s="42"/>
      <c r="R1248" s="41"/>
      <c r="S1248" s="42"/>
      <c r="T1248" s="41"/>
    </row>
    <row r="1249" customFormat="false" ht="13.5" hidden="false" customHeight="true" outlineLevel="0" collapsed="false">
      <c r="A1249" s="37" t="n">
        <v>1246</v>
      </c>
      <c r="B1249" s="37" t="n">
        <v>3556</v>
      </c>
      <c r="C1249" s="38" t="s">
        <v>5740</v>
      </c>
      <c r="D1249" s="37" t="s">
        <v>100</v>
      </c>
      <c r="E1249" s="39" t="n">
        <v>25269</v>
      </c>
      <c r="F1249" s="37" t="n">
        <f aca="true">IFERROR(DATEDIF(E1249,TODAY(),"Y"),"")</f>
        <v>57</v>
      </c>
      <c r="G1249" s="40" t="s">
        <v>5741</v>
      </c>
      <c r="H1249" s="40"/>
      <c r="I1249" s="38" t="s">
        <v>5742</v>
      </c>
      <c r="J1249" s="38" t="s">
        <v>16</v>
      </c>
      <c r="K1249" s="38" t="s">
        <v>5743</v>
      </c>
      <c r="L1249" s="38" t="s">
        <v>47</v>
      </c>
      <c r="M1249" s="37" t="s">
        <v>104</v>
      </c>
      <c r="N1249" s="39" t="n">
        <v>43031</v>
      </c>
      <c r="O1249" s="41" t="s">
        <v>23</v>
      </c>
      <c r="P1249" s="41" t="s">
        <v>105</v>
      </c>
      <c r="Q1249" s="42"/>
      <c r="R1249" s="41"/>
      <c r="S1249" s="42"/>
      <c r="T1249" s="41"/>
    </row>
    <row r="1250" customFormat="false" ht="13.5" hidden="false" customHeight="true" outlineLevel="0" collapsed="false">
      <c r="A1250" s="37" t="n">
        <v>1247</v>
      </c>
      <c r="B1250" s="37" t="n">
        <v>3557</v>
      </c>
      <c r="C1250" s="38" t="s">
        <v>5744</v>
      </c>
      <c r="D1250" s="37" t="s">
        <v>100</v>
      </c>
      <c r="E1250" s="39" t="n">
        <v>29401</v>
      </c>
      <c r="F1250" s="37" t="n">
        <f aca="true">IFERROR(DATEDIF(E1250,TODAY(),"Y"),"")</f>
        <v>46</v>
      </c>
      <c r="G1250" s="40" t="s">
        <v>5745</v>
      </c>
      <c r="H1250" s="40"/>
      <c r="I1250" s="38" t="s">
        <v>5746</v>
      </c>
      <c r="J1250" s="38" t="s">
        <v>16</v>
      </c>
      <c r="K1250" s="38" t="s">
        <v>5747</v>
      </c>
      <c r="L1250" s="43" t="s">
        <v>58</v>
      </c>
      <c r="M1250" s="37"/>
      <c r="N1250" s="39" t="n">
        <v>43031</v>
      </c>
      <c r="O1250" s="41" t="s">
        <v>23</v>
      </c>
      <c r="P1250" s="41" t="s">
        <v>105</v>
      </c>
      <c r="Q1250" s="42"/>
      <c r="R1250" s="41"/>
      <c r="S1250" s="42"/>
      <c r="T1250" s="41"/>
    </row>
    <row r="1251" customFormat="false" ht="13.5" hidden="false" customHeight="true" outlineLevel="0" collapsed="false">
      <c r="A1251" s="37" t="n">
        <v>1248</v>
      </c>
      <c r="B1251" s="37" t="n">
        <v>3558</v>
      </c>
      <c r="C1251" s="38" t="s">
        <v>5748</v>
      </c>
      <c r="D1251" s="37" t="s">
        <v>100</v>
      </c>
      <c r="E1251" s="39" t="n">
        <v>23417</v>
      </c>
      <c r="F1251" s="37" t="n">
        <f aca="true">IFERROR(DATEDIF(E1251,TODAY(),"Y"),"")</f>
        <v>62</v>
      </c>
      <c r="G1251" s="40" t="s">
        <v>5749</v>
      </c>
      <c r="H1251" s="40" t="s">
        <v>5750</v>
      </c>
      <c r="I1251" s="38" t="s">
        <v>5751</v>
      </c>
      <c r="J1251" s="38" t="s">
        <v>15</v>
      </c>
      <c r="K1251" s="38" t="s">
        <v>5752</v>
      </c>
      <c r="L1251" s="38" t="s">
        <v>51</v>
      </c>
      <c r="M1251" s="37" t="s">
        <v>177</v>
      </c>
      <c r="N1251" s="39" t="n">
        <v>43033</v>
      </c>
      <c r="O1251" s="41" t="s">
        <v>23</v>
      </c>
      <c r="P1251" s="41" t="s">
        <v>105</v>
      </c>
      <c r="Q1251" s="42"/>
      <c r="R1251" s="41"/>
      <c r="S1251" s="42"/>
      <c r="T1251" s="41"/>
    </row>
    <row r="1252" customFormat="false" ht="13.5" hidden="false" customHeight="true" outlineLevel="0" collapsed="false">
      <c r="A1252" s="37" t="n">
        <v>1249</v>
      </c>
      <c r="B1252" s="37" t="n">
        <v>3559</v>
      </c>
      <c r="C1252" s="38" t="s">
        <v>5753</v>
      </c>
      <c r="D1252" s="37" t="s">
        <v>100</v>
      </c>
      <c r="E1252" s="39" t="n">
        <v>24181</v>
      </c>
      <c r="F1252" s="37" t="n">
        <f aca="true">IFERROR(DATEDIF(E1252,TODAY(),"Y"),"")</f>
        <v>60</v>
      </c>
      <c r="G1252" s="40" t="s">
        <v>5754</v>
      </c>
      <c r="H1252" s="40"/>
      <c r="I1252" s="38" t="s">
        <v>5755</v>
      </c>
      <c r="J1252" s="38" t="s">
        <v>15</v>
      </c>
      <c r="K1252" s="38" t="s">
        <v>5756</v>
      </c>
      <c r="L1252" s="38" t="s">
        <v>53</v>
      </c>
      <c r="M1252" s="37" t="s">
        <v>177</v>
      </c>
      <c r="N1252" s="39" t="n">
        <v>43045</v>
      </c>
      <c r="O1252" s="41" t="s">
        <v>23</v>
      </c>
      <c r="P1252" s="41" t="s">
        <v>105</v>
      </c>
      <c r="Q1252" s="42"/>
      <c r="R1252" s="41"/>
      <c r="S1252" s="42"/>
      <c r="T1252" s="41"/>
    </row>
    <row r="1253" customFormat="false" ht="13.5" hidden="false" customHeight="true" outlineLevel="0" collapsed="false">
      <c r="A1253" s="37" t="n">
        <v>1250</v>
      </c>
      <c r="B1253" s="37" t="n">
        <v>3560</v>
      </c>
      <c r="C1253" s="38" t="s">
        <v>5757</v>
      </c>
      <c r="D1253" s="37" t="s">
        <v>100</v>
      </c>
      <c r="E1253" s="39" t="n">
        <v>22014</v>
      </c>
      <c r="F1253" s="37" t="n">
        <f aca="true">IFERROR(DATEDIF(E1253,TODAY(),"Y"),"")</f>
        <v>66</v>
      </c>
      <c r="G1253" s="40" t="s">
        <v>5758</v>
      </c>
      <c r="H1253" s="40" t="s">
        <v>5759</v>
      </c>
      <c r="I1253" s="38" t="s">
        <v>5760</v>
      </c>
      <c r="J1253" s="38" t="s">
        <v>16</v>
      </c>
      <c r="K1253" s="38" t="s">
        <v>5761</v>
      </c>
      <c r="L1253" s="38" t="s">
        <v>48</v>
      </c>
      <c r="M1253" s="37" t="s">
        <v>177</v>
      </c>
      <c r="N1253" s="39" t="n">
        <v>43046</v>
      </c>
      <c r="O1253" s="41" t="s">
        <v>23</v>
      </c>
      <c r="P1253" s="41" t="s">
        <v>105</v>
      </c>
      <c r="Q1253" s="42"/>
      <c r="R1253" s="41"/>
      <c r="S1253" s="42"/>
      <c r="T1253" s="41"/>
    </row>
    <row r="1254" customFormat="false" ht="13.5" hidden="false" customHeight="true" outlineLevel="0" collapsed="false">
      <c r="A1254" s="37" t="n">
        <v>1251</v>
      </c>
      <c r="B1254" s="37" t="n">
        <v>3561</v>
      </c>
      <c r="C1254" s="38" t="s">
        <v>5762</v>
      </c>
      <c r="D1254" s="37" t="s">
        <v>100</v>
      </c>
      <c r="E1254" s="39" t="n">
        <v>27900</v>
      </c>
      <c r="F1254" s="37" t="n">
        <f aca="true">IFERROR(DATEDIF(E1254,TODAY(),"Y"),"")</f>
        <v>50</v>
      </c>
      <c r="G1254" s="40" t="s">
        <v>5763</v>
      </c>
      <c r="H1254" s="40" t="s">
        <v>5764</v>
      </c>
      <c r="I1254" s="38" t="s">
        <v>5765</v>
      </c>
      <c r="J1254" s="38" t="s">
        <v>15</v>
      </c>
      <c r="K1254" s="38" t="s">
        <v>5766</v>
      </c>
      <c r="L1254" s="38" t="s">
        <v>50</v>
      </c>
      <c r="M1254" s="37" t="s">
        <v>120</v>
      </c>
      <c r="N1254" s="39" t="n">
        <v>43054</v>
      </c>
      <c r="O1254" s="41" t="s">
        <v>23</v>
      </c>
      <c r="P1254" s="41" t="s">
        <v>105</v>
      </c>
      <c r="Q1254" s="42"/>
      <c r="R1254" s="41"/>
      <c r="S1254" s="42"/>
      <c r="T1254" s="41"/>
    </row>
    <row r="1255" customFormat="false" ht="13.5" hidden="false" customHeight="true" outlineLevel="0" collapsed="false">
      <c r="A1255" s="37" t="n">
        <v>1252</v>
      </c>
      <c r="B1255" s="37" t="n">
        <v>3562</v>
      </c>
      <c r="C1255" s="38" t="s">
        <v>5767</v>
      </c>
      <c r="D1255" s="37" t="s">
        <v>100</v>
      </c>
      <c r="E1255" s="39" t="n">
        <v>24983</v>
      </c>
      <c r="F1255" s="37" t="n">
        <f aca="true">IFERROR(DATEDIF(E1255,TODAY(),"Y"),"")</f>
        <v>58</v>
      </c>
      <c r="G1255" s="40" t="s">
        <v>5768</v>
      </c>
      <c r="H1255" s="40" t="s">
        <v>5769</v>
      </c>
      <c r="I1255" s="38" t="s">
        <v>5770</v>
      </c>
      <c r="J1255" s="38" t="s">
        <v>15</v>
      </c>
      <c r="K1255" s="38" t="s">
        <v>5771</v>
      </c>
      <c r="L1255" s="38" t="s">
        <v>51</v>
      </c>
      <c r="M1255" s="37" t="s">
        <v>120</v>
      </c>
      <c r="N1255" s="39" t="n">
        <v>43054</v>
      </c>
      <c r="O1255" s="41" t="s">
        <v>23</v>
      </c>
      <c r="P1255" s="41" t="s">
        <v>105</v>
      </c>
      <c r="Q1255" s="42"/>
      <c r="R1255" s="41"/>
      <c r="S1255" s="42"/>
      <c r="T1255" s="41"/>
    </row>
    <row r="1256" customFormat="false" ht="13.5" hidden="false" customHeight="true" outlineLevel="0" collapsed="false">
      <c r="A1256" s="37" t="n">
        <v>1253</v>
      </c>
      <c r="B1256" s="37" t="n">
        <v>3563</v>
      </c>
      <c r="C1256" s="38" t="s">
        <v>5772</v>
      </c>
      <c r="D1256" s="37" t="s">
        <v>100</v>
      </c>
      <c r="E1256" s="39" t="n">
        <v>24949</v>
      </c>
      <c r="F1256" s="37" t="n">
        <f aca="true">IFERROR(DATEDIF(E1256,TODAY(),"Y"),"")</f>
        <v>58</v>
      </c>
      <c r="G1256" s="40" t="s">
        <v>5773</v>
      </c>
      <c r="H1256" s="40" t="s">
        <v>5774</v>
      </c>
      <c r="I1256" s="38" t="s">
        <v>5775</v>
      </c>
      <c r="J1256" s="38" t="s">
        <v>18</v>
      </c>
      <c r="K1256" s="38" t="s">
        <v>5776</v>
      </c>
      <c r="L1256" s="38" t="s">
        <v>55</v>
      </c>
      <c r="M1256" s="37" t="s">
        <v>120</v>
      </c>
      <c r="N1256" s="39" t="n">
        <v>43054</v>
      </c>
      <c r="O1256" s="41" t="s">
        <v>23</v>
      </c>
      <c r="P1256" s="41" t="s">
        <v>105</v>
      </c>
      <c r="Q1256" s="42"/>
      <c r="R1256" s="41"/>
      <c r="S1256" s="42"/>
      <c r="T1256" s="41"/>
    </row>
    <row r="1257" customFormat="false" ht="13.5" hidden="false" customHeight="true" outlineLevel="0" collapsed="false">
      <c r="A1257" s="37" t="n">
        <v>1254</v>
      </c>
      <c r="B1257" s="37" t="n">
        <v>3564</v>
      </c>
      <c r="C1257" s="38" t="s">
        <v>5777</v>
      </c>
      <c r="D1257" s="37" t="s">
        <v>100</v>
      </c>
      <c r="E1257" s="39" t="n">
        <v>21591</v>
      </c>
      <c r="F1257" s="37" t="n">
        <f aca="true">IFERROR(DATEDIF(E1257,TODAY(),"Y"),"")</f>
        <v>67</v>
      </c>
      <c r="G1257" s="40" t="s">
        <v>5778</v>
      </c>
      <c r="H1257" s="40" t="s">
        <v>5779</v>
      </c>
      <c r="I1257" s="38" t="s">
        <v>5780</v>
      </c>
      <c r="J1257" s="38" t="s">
        <v>15</v>
      </c>
      <c r="K1257" s="38" t="s">
        <v>5781</v>
      </c>
      <c r="L1257" s="38" t="s">
        <v>50</v>
      </c>
      <c r="M1257" s="37" t="s">
        <v>104</v>
      </c>
      <c r="N1257" s="39" t="n">
        <v>43055</v>
      </c>
      <c r="O1257" s="41" t="s">
        <v>23</v>
      </c>
      <c r="P1257" s="41" t="s">
        <v>105</v>
      </c>
      <c r="Q1257" s="42"/>
      <c r="R1257" s="41"/>
      <c r="S1257" s="42"/>
      <c r="T1257" s="41"/>
    </row>
    <row r="1258" customFormat="false" ht="13.5" hidden="false" customHeight="true" outlineLevel="0" collapsed="false">
      <c r="A1258" s="37" t="n">
        <v>1255</v>
      </c>
      <c r="B1258" s="37" t="n">
        <v>3565</v>
      </c>
      <c r="C1258" s="38" t="s">
        <v>5782</v>
      </c>
      <c r="D1258" s="37" t="s">
        <v>100</v>
      </c>
      <c r="E1258" s="39" t="n">
        <v>31191</v>
      </c>
      <c r="F1258" s="37" t="n">
        <f aca="true">IFERROR(DATEDIF(E1258,TODAY(),"Y"),"")</f>
        <v>41</v>
      </c>
      <c r="G1258" s="40" t="s">
        <v>5783</v>
      </c>
      <c r="H1258" s="40"/>
      <c r="I1258" s="38" t="s">
        <v>5784</v>
      </c>
      <c r="J1258" s="38" t="s">
        <v>16</v>
      </c>
      <c r="K1258" s="38" t="s">
        <v>5785</v>
      </c>
      <c r="L1258" s="38" t="s">
        <v>44</v>
      </c>
      <c r="M1258" s="37" t="s">
        <v>104</v>
      </c>
      <c r="N1258" s="39" t="n">
        <v>43055</v>
      </c>
      <c r="O1258" s="41" t="s">
        <v>23</v>
      </c>
      <c r="P1258" s="41" t="s">
        <v>105</v>
      </c>
      <c r="Q1258" s="42"/>
      <c r="R1258" s="41"/>
      <c r="S1258" s="42"/>
      <c r="T1258" s="41"/>
    </row>
    <row r="1259" customFormat="false" ht="13.5" hidden="false" customHeight="true" outlineLevel="0" collapsed="false">
      <c r="A1259" s="37" t="n">
        <v>1256</v>
      </c>
      <c r="B1259" s="37" t="n">
        <v>3566</v>
      </c>
      <c r="C1259" s="38" t="s">
        <v>5786</v>
      </c>
      <c r="D1259" s="37" t="s">
        <v>100</v>
      </c>
      <c r="E1259" s="39" t="n">
        <v>25953</v>
      </c>
      <c r="F1259" s="37" t="n">
        <f aca="true">IFERROR(DATEDIF(E1259,TODAY(),"Y"),"")</f>
        <v>55</v>
      </c>
      <c r="G1259" s="40" t="s">
        <v>5787</v>
      </c>
      <c r="H1259" s="40"/>
      <c r="I1259" s="38" t="s">
        <v>5788</v>
      </c>
      <c r="J1259" s="38" t="s">
        <v>15</v>
      </c>
      <c r="K1259" s="38" t="s">
        <v>5789</v>
      </c>
      <c r="L1259" s="38" t="s">
        <v>47</v>
      </c>
      <c r="M1259" s="37" t="s">
        <v>120</v>
      </c>
      <c r="N1259" s="39" t="n">
        <v>43057</v>
      </c>
      <c r="O1259" s="41" t="s">
        <v>23</v>
      </c>
      <c r="P1259" s="41" t="s">
        <v>105</v>
      </c>
      <c r="Q1259" s="42"/>
      <c r="R1259" s="41"/>
      <c r="S1259" s="42"/>
      <c r="T1259" s="41"/>
    </row>
    <row r="1260" customFormat="false" ht="13.5" hidden="false" customHeight="true" outlineLevel="0" collapsed="false">
      <c r="A1260" s="37" t="n">
        <v>1257</v>
      </c>
      <c r="B1260" s="37" t="n">
        <v>3569</v>
      </c>
      <c r="C1260" s="38" t="s">
        <v>5790</v>
      </c>
      <c r="D1260" s="37" t="s">
        <v>100</v>
      </c>
      <c r="E1260" s="39" t="n">
        <v>29447</v>
      </c>
      <c r="F1260" s="37" t="n">
        <f aca="true">IFERROR(DATEDIF(E1260,TODAY(),"Y"),"")</f>
        <v>45</v>
      </c>
      <c r="G1260" s="40" t="s">
        <v>5791</v>
      </c>
      <c r="H1260" s="40" t="s">
        <v>5792</v>
      </c>
      <c r="I1260" s="38" t="s">
        <v>5793</v>
      </c>
      <c r="J1260" s="38" t="s">
        <v>16</v>
      </c>
      <c r="K1260" s="38" t="s">
        <v>5794</v>
      </c>
      <c r="L1260" s="38" t="s">
        <v>43</v>
      </c>
      <c r="M1260" s="37" t="s">
        <v>104</v>
      </c>
      <c r="N1260" s="39" t="n">
        <v>38520</v>
      </c>
      <c r="O1260" s="41" t="s">
        <v>23</v>
      </c>
      <c r="P1260" s="41" t="s">
        <v>105</v>
      </c>
      <c r="Q1260" s="42"/>
      <c r="R1260" s="41"/>
      <c r="S1260" s="42"/>
      <c r="T1260" s="41"/>
    </row>
    <row r="1261" customFormat="false" ht="13.5" hidden="false" customHeight="true" outlineLevel="0" collapsed="false">
      <c r="A1261" s="37" t="n">
        <v>1258</v>
      </c>
      <c r="B1261" s="37" t="n">
        <v>3570</v>
      </c>
      <c r="C1261" s="38" t="s">
        <v>5795</v>
      </c>
      <c r="D1261" s="37" t="s">
        <v>100</v>
      </c>
      <c r="E1261" s="39" t="n">
        <v>33653</v>
      </c>
      <c r="F1261" s="37" t="n">
        <f aca="true">IFERROR(DATEDIF(E1261,TODAY(),"Y"),"")</f>
        <v>34</v>
      </c>
      <c r="G1261" s="40" t="s">
        <v>5796</v>
      </c>
      <c r="H1261" s="40"/>
      <c r="I1261" s="38" t="s">
        <v>5797</v>
      </c>
      <c r="J1261" s="38" t="s">
        <v>22</v>
      </c>
      <c r="K1261" s="38" t="s">
        <v>5798</v>
      </c>
      <c r="L1261" s="38" t="s">
        <v>55</v>
      </c>
      <c r="M1261" s="37" t="s">
        <v>120</v>
      </c>
      <c r="N1261" s="39" t="n">
        <v>43079</v>
      </c>
      <c r="O1261" s="41" t="s">
        <v>23</v>
      </c>
      <c r="P1261" s="41" t="s">
        <v>105</v>
      </c>
      <c r="Q1261" s="42"/>
      <c r="R1261" s="41"/>
      <c r="S1261" s="42"/>
      <c r="T1261" s="41"/>
    </row>
    <row r="1262" customFormat="false" ht="13.5" hidden="false" customHeight="true" outlineLevel="0" collapsed="false">
      <c r="A1262" s="37" t="n">
        <v>1259</v>
      </c>
      <c r="B1262" s="37" t="n">
        <v>3571</v>
      </c>
      <c r="C1262" s="38" t="s">
        <v>5799</v>
      </c>
      <c r="D1262" s="37" t="s">
        <v>100</v>
      </c>
      <c r="E1262" s="39" t="n">
        <v>27823</v>
      </c>
      <c r="F1262" s="37" t="n">
        <f aca="true">IFERROR(DATEDIF(E1262,TODAY(),"Y"),"")</f>
        <v>50</v>
      </c>
      <c r="G1262" s="40" t="s">
        <v>5800</v>
      </c>
      <c r="H1262" s="40"/>
      <c r="I1262" s="38" t="s">
        <v>5801</v>
      </c>
      <c r="J1262" s="38" t="s">
        <v>16</v>
      </c>
      <c r="K1262" s="38" t="s">
        <v>5802</v>
      </c>
      <c r="L1262" s="38" t="s">
        <v>52</v>
      </c>
      <c r="M1262" s="37" t="s">
        <v>231</v>
      </c>
      <c r="N1262" s="39" t="n">
        <v>43083</v>
      </c>
      <c r="O1262" s="41" t="s">
        <v>23</v>
      </c>
      <c r="P1262" s="41" t="s">
        <v>105</v>
      </c>
      <c r="Q1262" s="42"/>
      <c r="R1262" s="41"/>
      <c r="S1262" s="42"/>
      <c r="T1262" s="41"/>
    </row>
    <row r="1263" customFormat="false" ht="13.5" hidden="false" customHeight="true" outlineLevel="0" collapsed="false">
      <c r="A1263" s="37" t="n">
        <v>1260</v>
      </c>
      <c r="B1263" s="37" t="n">
        <v>3572</v>
      </c>
      <c r="C1263" s="38" t="s">
        <v>5803</v>
      </c>
      <c r="D1263" s="37" t="s">
        <v>100</v>
      </c>
      <c r="E1263" s="39" t="n">
        <v>30168</v>
      </c>
      <c r="F1263" s="37" t="n">
        <f aca="true">IFERROR(DATEDIF(E1263,TODAY(),"Y"),"")</f>
        <v>44</v>
      </c>
      <c r="G1263" s="40" t="s">
        <v>5804</v>
      </c>
      <c r="H1263" s="40"/>
      <c r="I1263" s="38" t="s">
        <v>5805</v>
      </c>
      <c r="J1263" s="38" t="s">
        <v>16</v>
      </c>
      <c r="K1263" s="38" t="s">
        <v>5806</v>
      </c>
      <c r="L1263" s="38" t="s">
        <v>55</v>
      </c>
      <c r="M1263" s="37" t="s">
        <v>120</v>
      </c>
      <c r="N1263" s="39" t="n">
        <v>43085</v>
      </c>
      <c r="O1263" s="41" t="s">
        <v>23</v>
      </c>
      <c r="P1263" s="41" t="s">
        <v>105</v>
      </c>
      <c r="Q1263" s="42"/>
      <c r="R1263" s="41"/>
      <c r="S1263" s="42"/>
      <c r="T1263" s="41"/>
    </row>
    <row r="1264" customFormat="false" ht="13.5" hidden="false" customHeight="true" outlineLevel="0" collapsed="false">
      <c r="A1264" s="37" t="n">
        <v>1261</v>
      </c>
      <c r="B1264" s="37" t="n">
        <v>3573</v>
      </c>
      <c r="C1264" s="38" t="s">
        <v>5807</v>
      </c>
      <c r="D1264" s="37" t="s">
        <v>100</v>
      </c>
      <c r="E1264" s="39" t="n">
        <v>24964</v>
      </c>
      <c r="F1264" s="37" t="n">
        <f aca="true">IFERROR(DATEDIF(E1264,TODAY(),"Y"),"")</f>
        <v>58</v>
      </c>
      <c r="G1264" s="40" t="s">
        <v>5808</v>
      </c>
      <c r="H1264" s="40"/>
      <c r="I1264" s="38" t="s">
        <v>5809</v>
      </c>
      <c r="J1264" s="38" t="s">
        <v>15</v>
      </c>
      <c r="K1264" s="38"/>
      <c r="L1264" s="43" t="s">
        <v>58</v>
      </c>
      <c r="M1264" s="37" t="s">
        <v>120</v>
      </c>
      <c r="N1264" s="39" t="n">
        <v>43085</v>
      </c>
      <c r="O1264" s="41" t="s">
        <v>23</v>
      </c>
      <c r="P1264" s="41" t="s">
        <v>105</v>
      </c>
      <c r="Q1264" s="42"/>
      <c r="R1264" s="41"/>
      <c r="S1264" s="42"/>
      <c r="T1264" s="41"/>
    </row>
    <row r="1265" customFormat="false" ht="13.5" hidden="false" customHeight="true" outlineLevel="0" collapsed="false">
      <c r="A1265" s="37" t="n">
        <v>1262</v>
      </c>
      <c r="B1265" s="37" t="n">
        <v>3574</v>
      </c>
      <c r="C1265" s="38" t="s">
        <v>5810</v>
      </c>
      <c r="D1265" s="37" t="s">
        <v>100</v>
      </c>
      <c r="E1265" s="39" t="n">
        <v>23138</v>
      </c>
      <c r="F1265" s="37" t="n">
        <f aca="true">IFERROR(DATEDIF(E1265,TODAY(),"Y"),"")</f>
        <v>63</v>
      </c>
      <c r="G1265" s="40" t="s">
        <v>5811</v>
      </c>
      <c r="H1265" s="40"/>
      <c r="I1265" s="38" t="s">
        <v>5812</v>
      </c>
      <c r="J1265" s="38" t="s">
        <v>15</v>
      </c>
      <c r="K1265" s="38" t="s">
        <v>5813</v>
      </c>
      <c r="L1265" s="38" t="s">
        <v>57</v>
      </c>
      <c r="M1265" s="37" t="s">
        <v>120</v>
      </c>
      <c r="N1265" s="39" t="n">
        <v>43090</v>
      </c>
      <c r="O1265" s="41" t="s">
        <v>23</v>
      </c>
      <c r="P1265" s="41" t="s">
        <v>105</v>
      </c>
      <c r="Q1265" s="42"/>
      <c r="R1265" s="41"/>
      <c r="S1265" s="42"/>
      <c r="T1265" s="41"/>
    </row>
    <row r="1266" customFormat="false" ht="13.5" hidden="false" customHeight="true" outlineLevel="0" collapsed="false">
      <c r="A1266" s="37" t="n">
        <v>1263</v>
      </c>
      <c r="B1266" s="37" t="n">
        <v>3575</v>
      </c>
      <c r="C1266" s="38" t="s">
        <v>5814</v>
      </c>
      <c r="D1266" s="37" t="s">
        <v>100</v>
      </c>
      <c r="E1266" s="39" t="n">
        <v>29173</v>
      </c>
      <c r="F1266" s="37" t="n">
        <f aca="true">IFERROR(DATEDIF(E1266,TODAY(),"Y"),"")</f>
        <v>46</v>
      </c>
      <c r="G1266" s="40" t="s">
        <v>5815</v>
      </c>
      <c r="H1266" s="40"/>
      <c r="I1266" s="38" t="s">
        <v>5816</v>
      </c>
      <c r="J1266" s="38" t="s">
        <v>15</v>
      </c>
      <c r="K1266" s="38" t="s">
        <v>5817</v>
      </c>
      <c r="L1266" s="38" t="s">
        <v>48</v>
      </c>
      <c r="M1266" s="37" t="s">
        <v>745</v>
      </c>
      <c r="N1266" s="39" t="n">
        <v>43093</v>
      </c>
      <c r="O1266" s="41" t="s">
        <v>23</v>
      </c>
      <c r="P1266" s="41" t="s">
        <v>105</v>
      </c>
      <c r="Q1266" s="42"/>
      <c r="R1266" s="41"/>
      <c r="S1266" s="42"/>
      <c r="T1266" s="41"/>
    </row>
    <row r="1267" customFormat="false" ht="13.5" hidden="false" customHeight="true" outlineLevel="0" collapsed="false">
      <c r="A1267" s="37" t="n">
        <v>1264</v>
      </c>
      <c r="B1267" s="37" t="n">
        <v>3576</v>
      </c>
      <c r="C1267" s="38" t="s">
        <v>5818</v>
      </c>
      <c r="D1267" s="37" t="s">
        <v>100</v>
      </c>
      <c r="E1267" s="39" t="n">
        <v>29267</v>
      </c>
      <c r="F1267" s="37" t="n">
        <f aca="true">IFERROR(DATEDIF(E1267,TODAY(),"Y"),"")</f>
        <v>46</v>
      </c>
      <c r="G1267" s="40" t="s">
        <v>5819</v>
      </c>
      <c r="H1267" s="40" t="s">
        <v>5820</v>
      </c>
      <c r="I1267" s="38" t="s">
        <v>5821</v>
      </c>
      <c r="J1267" s="38" t="s">
        <v>16</v>
      </c>
      <c r="K1267" s="38" t="s">
        <v>5822</v>
      </c>
      <c r="L1267" s="38" t="s">
        <v>55</v>
      </c>
      <c r="M1267" s="37" t="s">
        <v>120</v>
      </c>
      <c r="N1267" s="39" t="n">
        <v>43096</v>
      </c>
      <c r="O1267" s="41" t="s">
        <v>23</v>
      </c>
      <c r="P1267" s="41" t="s">
        <v>105</v>
      </c>
      <c r="Q1267" s="42"/>
      <c r="R1267" s="41"/>
      <c r="S1267" s="42"/>
      <c r="T1267" s="41"/>
    </row>
    <row r="1268" customFormat="false" ht="13.5" hidden="false" customHeight="true" outlineLevel="0" collapsed="false">
      <c r="A1268" s="37" t="n">
        <v>1265</v>
      </c>
      <c r="B1268" s="37" t="n">
        <v>3577</v>
      </c>
      <c r="C1268" s="38" t="s">
        <v>5823</v>
      </c>
      <c r="D1268" s="37" t="s">
        <v>100</v>
      </c>
      <c r="E1268" s="39" t="n">
        <v>23411</v>
      </c>
      <c r="F1268" s="37" t="n">
        <f aca="true">IFERROR(DATEDIF(E1268,TODAY(),"Y"),"")</f>
        <v>62</v>
      </c>
      <c r="G1268" s="40" t="s">
        <v>5824</v>
      </c>
      <c r="H1268" s="40"/>
      <c r="I1268" s="38" t="s">
        <v>5825</v>
      </c>
      <c r="J1268" s="38" t="s">
        <v>15</v>
      </c>
      <c r="K1268" s="38" t="s">
        <v>5826</v>
      </c>
      <c r="L1268" s="38" t="s">
        <v>55</v>
      </c>
      <c r="M1268" s="37" t="s">
        <v>177</v>
      </c>
      <c r="N1268" s="39" t="n">
        <v>43096</v>
      </c>
      <c r="O1268" s="41" t="s">
        <v>23</v>
      </c>
      <c r="P1268" s="41" t="s">
        <v>105</v>
      </c>
      <c r="Q1268" s="42"/>
      <c r="R1268" s="41"/>
      <c r="S1268" s="42"/>
      <c r="T1268" s="41"/>
    </row>
    <row r="1269" customFormat="false" ht="13.5" hidden="false" customHeight="true" outlineLevel="0" collapsed="false">
      <c r="A1269" s="37" t="n">
        <v>1266</v>
      </c>
      <c r="B1269" s="37" t="n">
        <v>3578</v>
      </c>
      <c r="C1269" s="38" t="s">
        <v>5827</v>
      </c>
      <c r="D1269" s="37" t="s">
        <v>100</v>
      </c>
      <c r="E1269" s="39" t="n">
        <v>22426</v>
      </c>
      <c r="F1269" s="37" t="n">
        <f aca="true">IFERROR(DATEDIF(E1269,TODAY(),"Y"),"")</f>
        <v>65</v>
      </c>
      <c r="G1269" s="40" t="s">
        <v>5828</v>
      </c>
      <c r="H1269" s="40"/>
      <c r="I1269" s="38" t="s">
        <v>5829</v>
      </c>
      <c r="J1269" s="38" t="s">
        <v>16</v>
      </c>
      <c r="K1269" s="38" t="s">
        <v>5830</v>
      </c>
      <c r="L1269" s="38" t="s">
        <v>55</v>
      </c>
      <c r="M1269" s="37"/>
      <c r="N1269" s="39" t="n">
        <v>43096</v>
      </c>
      <c r="O1269" s="41" t="s">
        <v>23</v>
      </c>
      <c r="P1269" s="41" t="s">
        <v>105</v>
      </c>
      <c r="Q1269" s="42"/>
      <c r="R1269" s="41"/>
      <c r="S1269" s="42"/>
      <c r="T1269" s="41"/>
    </row>
    <row r="1270" customFormat="false" ht="13.5" hidden="false" customHeight="true" outlineLevel="0" collapsed="false">
      <c r="A1270" s="37" t="n">
        <v>1267</v>
      </c>
      <c r="B1270" s="37" t="n">
        <v>3579</v>
      </c>
      <c r="C1270" s="38" t="s">
        <v>5831</v>
      </c>
      <c r="D1270" s="37" t="s">
        <v>100</v>
      </c>
      <c r="E1270" s="39" t="n">
        <v>18997</v>
      </c>
      <c r="F1270" s="37" t="n">
        <f aca="true">IFERROR(DATEDIF(E1270,TODAY(),"Y"),"")</f>
        <v>74</v>
      </c>
      <c r="G1270" s="40" t="s">
        <v>5832</v>
      </c>
      <c r="H1270" s="40"/>
      <c r="I1270" s="38" t="s">
        <v>5833</v>
      </c>
      <c r="J1270" s="38" t="s">
        <v>15</v>
      </c>
      <c r="K1270" s="38" t="s">
        <v>5834</v>
      </c>
      <c r="L1270" s="38" t="s">
        <v>44</v>
      </c>
      <c r="M1270" s="37"/>
      <c r="N1270" s="39" t="n">
        <v>43104</v>
      </c>
      <c r="O1270" s="41" t="s">
        <v>23</v>
      </c>
      <c r="P1270" s="41" t="s">
        <v>105</v>
      </c>
      <c r="Q1270" s="42"/>
      <c r="R1270" s="41"/>
      <c r="S1270" s="42"/>
      <c r="T1270" s="41"/>
    </row>
    <row r="1271" customFormat="false" ht="13.5" hidden="false" customHeight="true" outlineLevel="0" collapsed="false">
      <c r="A1271" s="37" t="n">
        <v>1268</v>
      </c>
      <c r="B1271" s="37" t="n">
        <v>3580</v>
      </c>
      <c r="C1271" s="38" t="s">
        <v>5835</v>
      </c>
      <c r="D1271" s="37" t="s">
        <v>100</v>
      </c>
      <c r="E1271" s="39" t="n">
        <v>26058</v>
      </c>
      <c r="F1271" s="37" t="n">
        <f aca="true">IFERROR(DATEDIF(E1271,TODAY(),"Y"),"")</f>
        <v>55</v>
      </c>
      <c r="G1271" s="40" t="s">
        <v>5836</v>
      </c>
      <c r="H1271" s="40" t="s">
        <v>5837</v>
      </c>
      <c r="I1271" s="38" t="s">
        <v>5838</v>
      </c>
      <c r="J1271" s="38" t="s">
        <v>16</v>
      </c>
      <c r="K1271" s="38" t="s">
        <v>5839</v>
      </c>
      <c r="L1271" s="38" t="s">
        <v>47</v>
      </c>
      <c r="M1271" s="37" t="s">
        <v>177</v>
      </c>
      <c r="N1271" s="39" t="n">
        <v>43107</v>
      </c>
      <c r="O1271" s="41" t="s">
        <v>23</v>
      </c>
      <c r="P1271" s="41" t="s">
        <v>105</v>
      </c>
      <c r="Q1271" s="42"/>
      <c r="R1271" s="41"/>
      <c r="S1271" s="42"/>
      <c r="T1271" s="41"/>
    </row>
    <row r="1272" customFormat="false" ht="13.5" hidden="false" customHeight="true" outlineLevel="0" collapsed="false">
      <c r="A1272" s="37" t="n">
        <v>1269</v>
      </c>
      <c r="B1272" s="37" t="n">
        <v>3581</v>
      </c>
      <c r="C1272" s="38" t="s">
        <v>5840</v>
      </c>
      <c r="D1272" s="37" t="s">
        <v>100</v>
      </c>
      <c r="E1272" s="39" t="n">
        <v>30604</v>
      </c>
      <c r="F1272" s="37" t="n">
        <f aca="true">IFERROR(DATEDIF(E1272,TODAY(),"Y"),"")</f>
        <v>42</v>
      </c>
      <c r="G1272" s="40" t="s">
        <v>5841</v>
      </c>
      <c r="H1272" s="40" t="s">
        <v>5842</v>
      </c>
      <c r="I1272" s="38" t="s">
        <v>5843</v>
      </c>
      <c r="J1272" s="38" t="s">
        <v>16</v>
      </c>
      <c r="K1272" s="38" t="s">
        <v>5844</v>
      </c>
      <c r="L1272" s="38" t="s">
        <v>46</v>
      </c>
      <c r="M1272" s="37" t="s">
        <v>120</v>
      </c>
      <c r="N1272" s="39" t="n">
        <v>43108</v>
      </c>
      <c r="O1272" s="41" t="s">
        <v>23</v>
      </c>
      <c r="P1272" s="41" t="s">
        <v>105</v>
      </c>
      <c r="Q1272" s="42"/>
      <c r="R1272" s="41"/>
      <c r="S1272" s="42"/>
      <c r="T1272" s="41"/>
    </row>
    <row r="1273" customFormat="false" ht="13.5" hidden="false" customHeight="true" outlineLevel="0" collapsed="false">
      <c r="A1273" s="37" t="n">
        <v>1270</v>
      </c>
      <c r="B1273" s="37" t="n">
        <v>3584</v>
      </c>
      <c r="C1273" s="38" t="s">
        <v>5845</v>
      </c>
      <c r="D1273" s="37" t="s">
        <v>100</v>
      </c>
      <c r="E1273" s="39" t="n">
        <v>21774</v>
      </c>
      <c r="F1273" s="37" t="n">
        <f aca="true">IFERROR(DATEDIF(E1273,TODAY(),"Y"),"")</f>
        <v>66</v>
      </c>
      <c r="G1273" s="40" t="s">
        <v>5846</v>
      </c>
      <c r="H1273" s="40"/>
      <c r="I1273" s="38" t="s">
        <v>5847</v>
      </c>
      <c r="J1273" s="38" t="s">
        <v>16</v>
      </c>
      <c r="K1273" s="38" t="s">
        <v>5848</v>
      </c>
      <c r="L1273" s="38" t="s">
        <v>55</v>
      </c>
      <c r="M1273" s="37"/>
      <c r="N1273" s="39" t="n">
        <v>43115</v>
      </c>
      <c r="O1273" s="41" t="s">
        <v>23</v>
      </c>
      <c r="P1273" s="41" t="s">
        <v>105</v>
      </c>
      <c r="Q1273" s="42"/>
      <c r="R1273" s="41"/>
      <c r="S1273" s="42"/>
      <c r="T1273" s="41"/>
    </row>
    <row r="1274" customFormat="false" ht="13.5" hidden="false" customHeight="true" outlineLevel="0" collapsed="false">
      <c r="A1274" s="37" t="n">
        <v>1271</v>
      </c>
      <c r="B1274" s="37" t="n">
        <v>3586</v>
      </c>
      <c r="C1274" s="38" t="s">
        <v>5849</v>
      </c>
      <c r="D1274" s="37" t="s">
        <v>100</v>
      </c>
      <c r="E1274" s="39" t="n">
        <v>31199</v>
      </c>
      <c r="F1274" s="37" t="n">
        <f aca="true">IFERROR(DATEDIF(E1274,TODAY(),"Y"),"")</f>
        <v>41</v>
      </c>
      <c r="G1274" s="40" t="s">
        <v>5850</v>
      </c>
      <c r="H1274" s="40" t="s">
        <v>5851</v>
      </c>
      <c r="I1274" s="38" t="s">
        <v>5852</v>
      </c>
      <c r="J1274" s="38" t="s">
        <v>18</v>
      </c>
      <c r="K1274" s="38" t="s">
        <v>5853</v>
      </c>
      <c r="L1274" s="38" t="s">
        <v>43</v>
      </c>
      <c r="M1274" s="37" t="s">
        <v>104</v>
      </c>
      <c r="N1274" s="39" t="n">
        <v>43127</v>
      </c>
      <c r="O1274" s="41" t="s">
        <v>23</v>
      </c>
      <c r="P1274" s="41" t="s">
        <v>105</v>
      </c>
      <c r="Q1274" s="42"/>
      <c r="R1274" s="41"/>
      <c r="S1274" s="42"/>
      <c r="T1274" s="41"/>
    </row>
    <row r="1275" customFormat="false" ht="13.5" hidden="false" customHeight="true" outlineLevel="0" collapsed="false">
      <c r="A1275" s="37" t="n">
        <v>1272</v>
      </c>
      <c r="B1275" s="37" t="n">
        <v>3587</v>
      </c>
      <c r="C1275" s="38" t="s">
        <v>5854</v>
      </c>
      <c r="D1275" s="37" t="s">
        <v>100</v>
      </c>
      <c r="E1275" s="39" t="n">
        <v>28626</v>
      </c>
      <c r="F1275" s="37" t="n">
        <f aca="true">IFERROR(DATEDIF(E1275,TODAY(),"Y"),"")</f>
        <v>48</v>
      </c>
      <c r="G1275" s="40" t="s">
        <v>5855</v>
      </c>
      <c r="H1275" s="40"/>
      <c r="I1275" s="38" t="s">
        <v>5856</v>
      </c>
      <c r="J1275" s="38" t="s">
        <v>18</v>
      </c>
      <c r="K1275" s="38" t="s">
        <v>5857</v>
      </c>
      <c r="L1275" s="38" t="s">
        <v>46</v>
      </c>
      <c r="M1275" s="37" t="s">
        <v>104</v>
      </c>
      <c r="N1275" s="39" t="n">
        <v>43127</v>
      </c>
      <c r="O1275" s="41" t="s">
        <v>23</v>
      </c>
      <c r="P1275" s="41" t="s">
        <v>105</v>
      </c>
      <c r="Q1275" s="42"/>
      <c r="R1275" s="41"/>
      <c r="S1275" s="42"/>
      <c r="T1275" s="41"/>
    </row>
    <row r="1276" customFormat="false" ht="13.5" hidden="false" customHeight="true" outlineLevel="0" collapsed="false">
      <c r="A1276" s="37" t="n">
        <v>1273</v>
      </c>
      <c r="B1276" s="37" t="n">
        <v>3588</v>
      </c>
      <c r="C1276" s="38" t="s">
        <v>5858</v>
      </c>
      <c r="D1276" s="37" t="s">
        <v>100</v>
      </c>
      <c r="E1276" s="39" t="n">
        <v>29001</v>
      </c>
      <c r="F1276" s="37" t="n">
        <f aca="true">IFERROR(DATEDIF(E1276,TODAY(),"Y"),"")</f>
        <v>47</v>
      </c>
      <c r="G1276" s="40" t="s">
        <v>5859</v>
      </c>
      <c r="H1276" s="40" t="s">
        <v>5860</v>
      </c>
      <c r="I1276" s="38" t="s">
        <v>5861</v>
      </c>
      <c r="J1276" s="38" t="s">
        <v>15</v>
      </c>
      <c r="K1276" s="38" t="s">
        <v>5862</v>
      </c>
      <c r="L1276" s="38" t="s">
        <v>46</v>
      </c>
      <c r="M1276" s="37" t="s">
        <v>120</v>
      </c>
      <c r="N1276" s="39" t="n">
        <v>43143</v>
      </c>
      <c r="O1276" s="41" t="s">
        <v>23</v>
      </c>
      <c r="P1276" s="41" t="s">
        <v>105</v>
      </c>
      <c r="Q1276" s="42"/>
      <c r="R1276" s="41"/>
      <c r="S1276" s="42"/>
      <c r="T1276" s="41"/>
    </row>
    <row r="1277" customFormat="false" ht="13.5" hidden="false" customHeight="true" outlineLevel="0" collapsed="false">
      <c r="A1277" s="37" t="n">
        <v>1274</v>
      </c>
      <c r="B1277" s="37" t="n">
        <v>3589</v>
      </c>
      <c r="C1277" s="38" t="s">
        <v>5863</v>
      </c>
      <c r="D1277" s="37" t="s">
        <v>100</v>
      </c>
      <c r="E1277" s="39" t="n">
        <v>30834</v>
      </c>
      <c r="F1277" s="37" t="n">
        <f aca="true">IFERROR(DATEDIF(E1277,TODAY(),"Y"),"")</f>
        <v>42</v>
      </c>
      <c r="G1277" s="40" t="s">
        <v>5864</v>
      </c>
      <c r="H1277" s="40"/>
      <c r="I1277" s="38" t="s">
        <v>5865</v>
      </c>
      <c r="J1277" s="38" t="s">
        <v>16</v>
      </c>
      <c r="K1277" s="38" t="s">
        <v>5866</v>
      </c>
      <c r="L1277" s="38" t="s">
        <v>46</v>
      </c>
      <c r="M1277" s="37" t="s">
        <v>104</v>
      </c>
      <c r="N1277" s="39" t="n">
        <v>43143</v>
      </c>
      <c r="O1277" s="41" t="s">
        <v>23</v>
      </c>
      <c r="P1277" s="41" t="s">
        <v>105</v>
      </c>
      <c r="Q1277" s="42"/>
      <c r="R1277" s="41"/>
      <c r="S1277" s="42"/>
      <c r="T1277" s="41"/>
    </row>
    <row r="1278" customFormat="false" ht="13.5" hidden="false" customHeight="true" outlineLevel="0" collapsed="false">
      <c r="A1278" s="37" t="n">
        <v>1275</v>
      </c>
      <c r="B1278" s="37" t="n">
        <v>3590</v>
      </c>
      <c r="C1278" s="38" t="s">
        <v>5867</v>
      </c>
      <c r="D1278" s="37" t="s">
        <v>100</v>
      </c>
      <c r="E1278" s="39" t="n">
        <v>25167</v>
      </c>
      <c r="F1278" s="37" t="n">
        <f aca="true">IFERROR(DATEDIF(E1278,TODAY(),"Y"),"")</f>
        <v>57</v>
      </c>
      <c r="G1278" s="40" t="s">
        <v>5868</v>
      </c>
      <c r="H1278" s="40"/>
      <c r="I1278" s="38" t="s">
        <v>5869</v>
      </c>
      <c r="J1278" s="38" t="s">
        <v>15</v>
      </c>
      <c r="K1278" s="38" t="s">
        <v>5870</v>
      </c>
      <c r="L1278" s="38" t="s">
        <v>55</v>
      </c>
      <c r="M1278" s="37" t="s">
        <v>120</v>
      </c>
      <c r="N1278" s="39" t="n">
        <v>43149</v>
      </c>
      <c r="O1278" s="41" t="s">
        <v>23</v>
      </c>
      <c r="P1278" s="41" t="s">
        <v>105</v>
      </c>
      <c r="Q1278" s="42"/>
      <c r="R1278" s="41"/>
      <c r="S1278" s="42"/>
      <c r="T1278" s="41"/>
    </row>
    <row r="1279" customFormat="false" ht="13.5" hidden="false" customHeight="true" outlineLevel="0" collapsed="false">
      <c r="A1279" s="37" t="n">
        <v>1276</v>
      </c>
      <c r="B1279" s="37" t="n">
        <v>3591</v>
      </c>
      <c r="C1279" s="38" t="s">
        <v>5871</v>
      </c>
      <c r="D1279" s="37" t="s">
        <v>100</v>
      </c>
      <c r="E1279" s="39" t="n">
        <v>26409</v>
      </c>
      <c r="F1279" s="37" t="n">
        <f aca="true">IFERROR(DATEDIF(E1279,TODAY(),"Y"),"")</f>
        <v>54</v>
      </c>
      <c r="G1279" s="40" t="s">
        <v>5872</v>
      </c>
      <c r="H1279" s="40" t="s">
        <v>5873</v>
      </c>
      <c r="I1279" s="38" t="s">
        <v>5874</v>
      </c>
      <c r="J1279" s="38" t="s">
        <v>16</v>
      </c>
      <c r="K1279" s="38" t="s">
        <v>5875</v>
      </c>
      <c r="L1279" s="38" t="s">
        <v>47</v>
      </c>
      <c r="M1279" s="37" t="s">
        <v>104</v>
      </c>
      <c r="N1279" s="39" t="n">
        <v>43151</v>
      </c>
      <c r="O1279" s="41" t="s">
        <v>23</v>
      </c>
      <c r="P1279" s="41" t="s">
        <v>105</v>
      </c>
      <c r="Q1279" s="42"/>
      <c r="R1279" s="41"/>
      <c r="S1279" s="42"/>
      <c r="T1279" s="41"/>
    </row>
    <row r="1280" customFormat="false" ht="13.5" hidden="false" customHeight="true" outlineLevel="0" collapsed="false">
      <c r="A1280" s="37" t="n">
        <v>1277</v>
      </c>
      <c r="B1280" s="37" t="n">
        <v>3593</v>
      </c>
      <c r="C1280" s="38" t="s">
        <v>5876</v>
      </c>
      <c r="D1280" s="37" t="s">
        <v>100</v>
      </c>
      <c r="E1280" s="39" t="n">
        <v>27526</v>
      </c>
      <c r="F1280" s="37" t="n">
        <f aca="true">IFERROR(DATEDIF(E1280,TODAY(),"Y"),"")</f>
        <v>51</v>
      </c>
      <c r="G1280" s="40" t="s">
        <v>5877</v>
      </c>
      <c r="H1280" s="40" t="s">
        <v>5878</v>
      </c>
      <c r="I1280" s="38" t="s">
        <v>5879</v>
      </c>
      <c r="J1280" s="38" t="s">
        <v>15</v>
      </c>
      <c r="K1280" s="38" t="s">
        <v>5880</v>
      </c>
      <c r="L1280" s="38" t="s">
        <v>53</v>
      </c>
      <c r="M1280" s="37" t="s">
        <v>177</v>
      </c>
      <c r="N1280" s="39" t="n">
        <v>43151</v>
      </c>
      <c r="O1280" s="41" t="s">
        <v>23</v>
      </c>
      <c r="P1280" s="41" t="s">
        <v>105</v>
      </c>
      <c r="Q1280" s="42"/>
      <c r="R1280" s="41"/>
      <c r="S1280" s="42"/>
      <c r="T1280" s="41"/>
    </row>
    <row r="1281" customFormat="false" ht="13.5" hidden="false" customHeight="true" outlineLevel="0" collapsed="false">
      <c r="A1281" s="37" t="n">
        <v>1278</v>
      </c>
      <c r="B1281" s="37" t="n">
        <v>3596</v>
      </c>
      <c r="C1281" s="38" t="s">
        <v>5881</v>
      </c>
      <c r="D1281" s="37" t="s">
        <v>100</v>
      </c>
      <c r="E1281" s="39" t="n">
        <v>25954</v>
      </c>
      <c r="F1281" s="37" t="n">
        <f aca="true">IFERROR(DATEDIF(E1281,TODAY(),"Y"),"")</f>
        <v>55</v>
      </c>
      <c r="G1281" s="40" t="s">
        <v>5882</v>
      </c>
      <c r="H1281" s="40" t="s">
        <v>5883</v>
      </c>
      <c r="I1281" s="38" t="s">
        <v>5884</v>
      </c>
      <c r="J1281" s="38" t="s">
        <v>15</v>
      </c>
      <c r="K1281" s="38" t="s">
        <v>5885</v>
      </c>
      <c r="L1281" s="38" t="s">
        <v>48</v>
      </c>
      <c r="M1281" s="37" t="s">
        <v>120</v>
      </c>
      <c r="N1281" s="39" t="n">
        <v>43160</v>
      </c>
      <c r="O1281" s="41" t="s">
        <v>23</v>
      </c>
      <c r="P1281" s="41" t="s">
        <v>105</v>
      </c>
      <c r="Q1281" s="42"/>
      <c r="R1281" s="41"/>
      <c r="S1281" s="42"/>
      <c r="T1281" s="41"/>
    </row>
    <row r="1282" customFormat="false" ht="13.5" hidden="false" customHeight="true" outlineLevel="0" collapsed="false">
      <c r="A1282" s="37" t="n">
        <v>1279</v>
      </c>
      <c r="B1282" s="37" t="n">
        <v>3597</v>
      </c>
      <c r="C1282" s="38" t="s">
        <v>5886</v>
      </c>
      <c r="D1282" s="37" t="s">
        <v>100</v>
      </c>
      <c r="E1282" s="39" t="n">
        <v>21926</v>
      </c>
      <c r="F1282" s="37" t="n">
        <f aca="true">IFERROR(DATEDIF(E1282,TODAY(),"Y"),"")</f>
        <v>66</v>
      </c>
      <c r="G1282" s="40" t="s">
        <v>5887</v>
      </c>
      <c r="H1282" s="40"/>
      <c r="I1282" s="38" t="s">
        <v>5888</v>
      </c>
      <c r="J1282" s="38" t="s">
        <v>15</v>
      </c>
      <c r="K1282" s="38" t="s">
        <v>5889</v>
      </c>
      <c r="L1282" s="38" t="s">
        <v>46</v>
      </c>
      <c r="M1282" s="37"/>
      <c r="N1282" s="39" t="n">
        <v>43160</v>
      </c>
      <c r="O1282" s="41" t="s">
        <v>23</v>
      </c>
      <c r="P1282" s="41" t="s">
        <v>105</v>
      </c>
      <c r="Q1282" s="42"/>
      <c r="R1282" s="41"/>
      <c r="S1282" s="42"/>
      <c r="T1282" s="41"/>
    </row>
    <row r="1283" customFormat="false" ht="13.5" hidden="false" customHeight="true" outlineLevel="0" collapsed="false">
      <c r="A1283" s="37" t="n">
        <v>1280</v>
      </c>
      <c r="B1283" s="37" t="n">
        <v>3598</v>
      </c>
      <c r="C1283" s="38" t="s">
        <v>5890</v>
      </c>
      <c r="D1283" s="37" t="s">
        <v>100</v>
      </c>
      <c r="E1283" s="39" t="n">
        <v>29081</v>
      </c>
      <c r="F1283" s="37" t="n">
        <f aca="true">IFERROR(DATEDIF(E1283,TODAY(),"Y"),"")</f>
        <v>46</v>
      </c>
      <c r="G1283" s="40" t="s">
        <v>5891</v>
      </c>
      <c r="H1283" s="40" t="s">
        <v>5892</v>
      </c>
      <c r="I1283" s="38" t="s">
        <v>5893</v>
      </c>
      <c r="J1283" s="38" t="s">
        <v>16</v>
      </c>
      <c r="K1283" s="38" t="s">
        <v>5894</v>
      </c>
      <c r="L1283" s="43" t="s">
        <v>58</v>
      </c>
      <c r="M1283" s="37" t="s">
        <v>120</v>
      </c>
      <c r="N1283" s="39" t="n">
        <v>43162</v>
      </c>
      <c r="O1283" s="41" t="s">
        <v>23</v>
      </c>
      <c r="P1283" s="41" t="s">
        <v>105</v>
      </c>
      <c r="Q1283" s="42"/>
      <c r="R1283" s="41"/>
      <c r="S1283" s="42"/>
      <c r="T1283" s="41"/>
    </row>
    <row r="1284" customFormat="false" ht="13.5" hidden="false" customHeight="true" outlineLevel="0" collapsed="false">
      <c r="A1284" s="37" t="n">
        <v>1281</v>
      </c>
      <c r="B1284" s="37" t="n">
        <v>3600</v>
      </c>
      <c r="C1284" s="38" t="s">
        <v>5895</v>
      </c>
      <c r="D1284" s="37" t="s">
        <v>100</v>
      </c>
      <c r="E1284" s="39" t="n">
        <v>26409</v>
      </c>
      <c r="F1284" s="37" t="n">
        <f aca="true">IFERROR(DATEDIF(E1284,TODAY(),"Y"),"")</f>
        <v>54</v>
      </c>
      <c r="G1284" s="40" t="s">
        <v>5896</v>
      </c>
      <c r="H1284" s="40" t="s">
        <v>5897</v>
      </c>
      <c r="I1284" s="38" t="s">
        <v>5898</v>
      </c>
      <c r="J1284" s="38" t="s">
        <v>15</v>
      </c>
      <c r="K1284" s="38" t="s">
        <v>5899</v>
      </c>
      <c r="L1284" s="38" t="s">
        <v>50</v>
      </c>
      <c r="M1284" s="37" t="s">
        <v>120</v>
      </c>
      <c r="N1284" s="39" t="n">
        <v>43166</v>
      </c>
      <c r="O1284" s="41" t="s">
        <v>23</v>
      </c>
      <c r="P1284" s="41" t="s">
        <v>105</v>
      </c>
      <c r="Q1284" s="42"/>
      <c r="R1284" s="41"/>
      <c r="S1284" s="42"/>
      <c r="T1284" s="41"/>
    </row>
    <row r="1285" customFormat="false" ht="13.5" hidden="false" customHeight="true" outlineLevel="0" collapsed="false">
      <c r="A1285" s="37" t="n">
        <v>1282</v>
      </c>
      <c r="B1285" s="37" t="n">
        <v>3601</v>
      </c>
      <c r="C1285" s="38" t="s">
        <v>5900</v>
      </c>
      <c r="D1285" s="37" t="s">
        <v>100</v>
      </c>
      <c r="E1285" s="39" t="n">
        <v>27175</v>
      </c>
      <c r="F1285" s="37" t="n">
        <f aca="true">IFERROR(DATEDIF(E1285,TODAY(),"Y"),"")</f>
        <v>52</v>
      </c>
      <c r="G1285" s="40" t="s">
        <v>5901</v>
      </c>
      <c r="H1285" s="40" t="s">
        <v>5902</v>
      </c>
      <c r="I1285" s="38" t="s">
        <v>5903</v>
      </c>
      <c r="J1285" s="38" t="s">
        <v>15</v>
      </c>
      <c r="K1285" s="38" t="s">
        <v>5904</v>
      </c>
      <c r="L1285" s="38" t="s">
        <v>48</v>
      </c>
      <c r="M1285" s="37" t="s">
        <v>231</v>
      </c>
      <c r="N1285" s="39" t="n">
        <v>43166</v>
      </c>
      <c r="O1285" s="41" t="s">
        <v>23</v>
      </c>
      <c r="P1285" s="41" t="s">
        <v>105</v>
      </c>
      <c r="Q1285" s="42"/>
      <c r="R1285" s="41"/>
      <c r="S1285" s="42"/>
      <c r="T1285" s="41"/>
    </row>
    <row r="1286" customFormat="false" ht="13.5" hidden="false" customHeight="true" outlineLevel="0" collapsed="false">
      <c r="A1286" s="37" t="n">
        <v>1283</v>
      </c>
      <c r="B1286" s="37" t="n">
        <v>3602</v>
      </c>
      <c r="C1286" s="38" t="s">
        <v>5905</v>
      </c>
      <c r="D1286" s="37" t="s">
        <v>100</v>
      </c>
      <c r="E1286" s="39" t="n">
        <v>28132</v>
      </c>
      <c r="F1286" s="37" t="n">
        <f aca="true">IFERROR(DATEDIF(E1286,TODAY(),"Y"),"")</f>
        <v>49</v>
      </c>
      <c r="G1286" s="40" t="s">
        <v>5906</v>
      </c>
      <c r="H1286" s="40"/>
      <c r="I1286" s="38" t="s">
        <v>5907</v>
      </c>
      <c r="J1286" s="38" t="s">
        <v>16</v>
      </c>
      <c r="K1286" s="38" t="s">
        <v>5908</v>
      </c>
      <c r="L1286" s="43" t="s">
        <v>58</v>
      </c>
      <c r="M1286" s="37" t="s">
        <v>104</v>
      </c>
      <c r="N1286" s="39" t="n">
        <v>43166</v>
      </c>
      <c r="O1286" s="41" t="s">
        <v>23</v>
      </c>
      <c r="P1286" s="41" t="s">
        <v>105</v>
      </c>
      <c r="Q1286" s="42"/>
      <c r="R1286" s="41"/>
      <c r="S1286" s="42"/>
      <c r="T1286" s="41"/>
    </row>
    <row r="1287" customFormat="false" ht="13.5" hidden="false" customHeight="true" outlineLevel="0" collapsed="false">
      <c r="A1287" s="37" t="n">
        <v>1284</v>
      </c>
      <c r="B1287" s="37" t="n">
        <v>3604</v>
      </c>
      <c r="C1287" s="38" t="s">
        <v>5909</v>
      </c>
      <c r="D1287" s="37" t="s">
        <v>100</v>
      </c>
      <c r="E1287" s="39" t="n">
        <v>26167</v>
      </c>
      <c r="F1287" s="37" t="n">
        <f aca="true">IFERROR(DATEDIF(E1287,TODAY(),"Y"),"")</f>
        <v>54</v>
      </c>
      <c r="G1287" s="40" t="s">
        <v>5910</v>
      </c>
      <c r="H1287" s="40"/>
      <c r="I1287" s="38" t="s">
        <v>5911</v>
      </c>
      <c r="J1287" s="38" t="s">
        <v>15</v>
      </c>
      <c r="K1287" s="38" t="s">
        <v>5912</v>
      </c>
      <c r="L1287" s="38" t="s">
        <v>43</v>
      </c>
      <c r="M1287" s="37" t="s">
        <v>120</v>
      </c>
      <c r="N1287" s="39" t="n">
        <v>43183</v>
      </c>
      <c r="O1287" s="41" t="s">
        <v>23</v>
      </c>
      <c r="P1287" s="41" t="s">
        <v>105</v>
      </c>
      <c r="Q1287" s="42"/>
      <c r="R1287" s="41"/>
      <c r="S1287" s="42"/>
      <c r="T1287" s="41"/>
    </row>
    <row r="1288" customFormat="false" ht="13.5" hidden="false" customHeight="true" outlineLevel="0" collapsed="false">
      <c r="A1288" s="37" t="n">
        <v>1285</v>
      </c>
      <c r="B1288" s="37" t="n">
        <v>3605</v>
      </c>
      <c r="C1288" s="38" t="s">
        <v>5913</v>
      </c>
      <c r="D1288" s="37" t="s">
        <v>100</v>
      </c>
      <c r="E1288" s="39" t="n">
        <v>24255</v>
      </c>
      <c r="F1288" s="37" t="n">
        <f aca="true">IFERROR(DATEDIF(E1288,TODAY(),"Y"),"")</f>
        <v>60</v>
      </c>
      <c r="G1288" s="40" t="s">
        <v>5914</v>
      </c>
      <c r="H1288" s="40" t="s">
        <v>5915</v>
      </c>
      <c r="I1288" s="38" t="s">
        <v>5916</v>
      </c>
      <c r="J1288" s="38" t="s">
        <v>15</v>
      </c>
      <c r="K1288" s="38" t="s">
        <v>5917</v>
      </c>
      <c r="L1288" s="38" t="s">
        <v>44</v>
      </c>
      <c r="M1288" s="37" t="s">
        <v>177</v>
      </c>
      <c r="N1288" s="39" t="n">
        <v>43183</v>
      </c>
      <c r="O1288" s="41" t="s">
        <v>23</v>
      </c>
      <c r="P1288" s="41" t="s">
        <v>105</v>
      </c>
      <c r="Q1288" s="42"/>
      <c r="R1288" s="41"/>
      <c r="S1288" s="42"/>
      <c r="T1288" s="41"/>
    </row>
    <row r="1289" customFormat="false" ht="13.5" hidden="false" customHeight="true" outlineLevel="0" collapsed="false">
      <c r="A1289" s="37" t="n">
        <v>1286</v>
      </c>
      <c r="B1289" s="37" t="n">
        <v>3606</v>
      </c>
      <c r="C1289" s="38" t="s">
        <v>5918</v>
      </c>
      <c r="D1289" s="37" t="s">
        <v>100</v>
      </c>
      <c r="E1289" s="39" t="n">
        <v>30012</v>
      </c>
      <c r="F1289" s="37" t="n">
        <f aca="true">IFERROR(DATEDIF(E1289,TODAY(),"Y"),"")</f>
        <v>44</v>
      </c>
      <c r="G1289" s="40" t="s">
        <v>5919</v>
      </c>
      <c r="H1289" s="40"/>
      <c r="I1289" s="38" t="s">
        <v>5920</v>
      </c>
      <c r="J1289" s="38" t="s">
        <v>15</v>
      </c>
      <c r="K1289" s="38" t="s">
        <v>5921</v>
      </c>
      <c r="L1289" s="38" t="s">
        <v>57</v>
      </c>
      <c r="M1289" s="37" t="s">
        <v>120</v>
      </c>
      <c r="N1289" s="39" t="n">
        <v>43184</v>
      </c>
      <c r="O1289" s="41" t="s">
        <v>23</v>
      </c>
      <c r="P1289" s="41" t="s">
        <v>105</v>
      </c>
      <c r="Q1289" s="42"/>
      <c r="R1289" s="41"/>
      <c r="S1289" s="42"/>
      <c r="T1289" s="41"/>
    </row>
    <row r="1290" customFormat="false" ht="13.5" hidden="false" customHeight="true" outlineLevel="0" collapsed="false">
      <c r="A1290" s="37" t="n">
        <v>1287</v>
      </c>
      <c r="B1290" s="37" t="n">
        <v>3607</v>
      </c>
      <c r="C1290" s="38" t="s">
        <v>5922</v>
      </c>
      <c r="D1290" s="37" t="s">
        <v>100</v>
      </c>
      <c r="E1290" s="39" t="n">
        <v>30812</v>
      </c>
      <c r="F1290" s="37" t="n">
        <f aca="true">IFERROR(DATEDIF(E1290,TODAY(),"Y"),"")</f>
        <v>42</v>
      </c>
      <c r="G1290" s="40" t="s">
        <v>5923</v>
      </c>
      <c r="H1290" s="40" t="s">
        <v>5924</v>
      </c>
      <c r="I1290" s="38" t="s">
        <v>5925</v>
      </c>
      <c r="J1290" s="38" t="s">
        <v>15</v>
      </c>
      <c r="K1290" s="38" t="s">
        <v>5926</v>
      </c>
      <c r="L1290" s="38" t="s">
        <v>43</v>
      </c>
      <c r="M1290" s="37" t="s">
        <v>788</v>
      </c>
      <c r="N1290" s="39" t="n">
        <v>43185</v>
      </c>
      <c r="O1290" s="41" t="s">
        <v>23</v>
      </c>
      <c r="P1290" s="41" t="s">
        <v>105</v>
      </c>
      <c r="Q1290" s="42"/>
      <c r="R1290" s="41"/>
      <c r="S1290" s="42"/>
      <c r="T1290" s="41"/>
    </row>
    <row r="1291" customFormat="false" ht="13.5" hidden="false" customHeight="true" outlineLevel="0" collapsed="false">
      <c r="A1291" s="37" t="n">
        <v>1288</v>
      </c>
      <c r="B1291" s="37" t="n">
        <v>3608</v>
      </c>
      <c r="C1291" s="38" t="s">
        <v>5927</v>
      </c>
      <c r="D1291" s="37" t="s">
        <v>100</v>
      </c>
      <c r="E1291" s="39" t="n">
        <v>26415</v>
      </c>
      <c r="F1291" s="37" t="n">
        <f aca="true">IFERROR(DATEDIF(E1291,TODAY(),"Y"),"")</f>
        <v>54</v>
      </c>
      <c r="G1291" s="40" t="s">
        <v>5928</v>
      </c>
      <c r="H1291" s="40"/>
      <c r="I1291" s="38" t="s">
        <v>5929</v>
      </c>
      <c r="J1291" s="38" t="s">
        <v>18</v>
      </c>
      <c r="K1291" s="38" t="s">
        <v>5930</v>
      </c>
      <c r="L1291" s="38" t="s">
        <v>47</v>
      </c>
      <c r="M1291" s="37" t="s">
        <v>104</v>
      </c>
      <c r="N1291" s="39" t="n">
        <v>43195</v>
      </c>
      <c r="O1291" s="41" t="s">
        <v>23</v>
      </c>
      <c r="P1291" s="41" t="s">
        <v>105</v>
      </c>
      <c r="Q1291" s="42"/>
      <c r="R1291" s="41"/>
      <c r="S1291" s="42"/>
      <c r="T1291" s="41"/>
    </row>
    <row r="1292" customFormat="false" ht="13.5" hidden="false" customHeight="true" outlineLevel="0" collapsed="false">
      <c r="A1292" s="37" t="n">
        <v>1289</v>
      </c>
      <c r="B1292" s="37" t="n">
        <v>3609</v>
      </c>
      <c r="C1292" s="38" t="s">
        <v>5931</v>
      </c>
      <c r="D1292" s="37" t="s">
        <v>100</v>
      </c>
      <c r="E1292" s="39" t="n">
        <v>24204</v>
      </c>
      <c r="F1292" s="37" t="n">
        <f aca="true">IFERROR(DATEDIF(E1292,TODAY(),"Y"),"")</f>
        <v>60</v>
      </c>
      <c r="G1292" s="40" t="s">
        <v>5932</v>
      </c>
      <c r="H1292" s="40" t="s">
        <v>5933</v>
      </c>
      <c r="I1292" s="38" t="s">
        <v>5934</v>
      </c>
      <c r="J1292" s="38" t="s">
        <v>16</v>
      </c>
      <c r="K1292" s="38" t="s">
        <v>5935</v>
      </c>
      <c r="L1292" s="38" t="s">
        <v>46</v>
      </c>
      <c r="M1292" s="37" t="s">
        <v>177</v>
      </c>
      <c r="N1292" s="39" t="n">
        <v>43198</v>
      </c>
      <c r="O1292" s="41" t="s">
        <v>23</v>
      </c>
      <c r="P1292" s="41" t="s">
        <v>105</v>
      </c>
      <c r="Q1292" s="42"/>
      <c r="R1292" s="41"/>
      <c r="S1292" s="42"/>
      <c r="T1292" s="41"/>
    </row>
    <row r="1293" customFormat="false" ht="13.5" hidden="false" customHeight="true" outlineLevel="0" collapsed="false">
      <c r="A1293" s="37" t="n">
        <v>1290</v>
      </c>
      <c r="B1293" s="37" t="n">
        <v>3610</v>
      </c>
      <c r="C1293" s="38" t="s">
        <v>5936</v>
      </c>
      <c r="D1293" s="37" t="s">
        <v>100</v>
      </c>
      <c r="E1293" s="39" t="n">
        <v>24254</v>
      </c>
      <c r="F1293" s="37" t="n">
        <f aca="true">IFERROR(DATEDIF(E1293,TODAY(),"Y"),"")</f>
        <v>60</v>
      </c>
      <c r="G1293" s="40" t="s">
        <v>5937</v>
      </c>
      <c r="H1293" s="40" t="s">
        <v>5938</v>
      </c>
      <c r="I1293" s="38" t="s">
        <v>5939</v>
      </c>
      <c r="J1293" s="38" t="s">
        <v>15</v>
      </c>
      <c r="K1293" s="38" t="s">
        <v>5940</v>
      </c>
      <c r="L1293" s="38" t="s">
        <v>53</v>
      </c>
      <c r="M1293" s="37" t="s">
        <v>120</v>
      </c>
      <c r="N1293" s="39" t="n">
        <v>43201</v>
      </c>
      <c r="O1293" s="41" t="s">
        <v>23</v>
      </c>
      <c r="P1293" s="41" t="s">
        <v>105</v>
      </c>
      <c r="Q1293" s="42"/>
      <c r="R1293" s="41"/>
      <c r="S1293" s="42"/>
      <c r="T1293" s="41"/>
    </row>
    <row r="1294" customFormat="false" ht="13.5" hidden="false" customHeight="true" outlineLevel="0" collapsed="false">
      <c r="A1294" s="37" t="n">
        <v>1291</v>
      </c>
      <c r="B1294" s="37" t="n">
        <v>3611</v>
      </c>
      <c r="C1294" s="38" t="s">
        <v>5941</v>
      </c>
      <c r="D1294" s="37" t="s">
        <v>100</v>
      </c>
      <c r="E1294" s="39" t="n">
        <v>27545</v>
      </c>
      <c r="F1294" s="37" t="n">
        <f aca="true">IFERROR(DATEDIF(E1294,TODAY(),"Y"),"")</f>
        <v>51</v>
      </c>
      <c r="G1294" s="40" t="s">
        <v>5942</v>
      </c>
      <c r="H1294" s="40"/>
      <c r="I1294" s="38" t="s">
        <v>5943</v>
      </c>
      <c r="J1294" s="38" t="s">
        <v>15</v>
      </c>
      <c r="K1294" s="38" t="s">
        <v>5944</v>
      </c>
      <c r="L1294" s="38" t="s">
        <v>43</v>
      </c>
      <c r="M1294" s="37" t="s">
        <v>231</v>
      </c>
      <c r="N1294" s="39" t="n">
        <v>43205</v>
      </c>
      <c r="O1294" s="41" t="s">
        <v>23</v>
      </c>
      <c r="P1294" s="41" t="s">
        <v>105</v>
      </c>
      <c r="Q1294" s="42"/>
      <c r="R1294" s="41"/>
      <c r="S1294" s="42"/>
      <c r="T1294" s="41"/>
    </row>
    <row r="1295" customFormat="false" ht="13.5" hidden="false" customHeight="true" outlineLevel="0" collapsed="false">
      <c r="A1295" s="37" t="n">
        <v>1292</v>
      </c>
      <c r="B1295" s="37" t="n">
        <v>3612</v>
      </c>
      <c r="C1295" s="38" t="s">
        <v>5945</v>
      </c>
      <c r="D1295" s="37" t="s">
        <v>100</v>
      </c>
      <c r="E1295" s="39" t="n">
        <v>30641</v>
      </c>
      <c r="F1295" s="37" t="n">
        <f aca="true">IFERROR(DATEDIF(E1295,TODAY(),"Y"),"")</f>
        <v>42</v>
      </c>
      <c r="G1295" s="40" t="s">
        <v>5946</v>
      </c>
      <c r="H1295" s="40"/>
      <c r="I1295" s="38" t="s">
        <v>5947</v>
      </c>
      <c r="J1295" s="38" t="s">
        <v>16</v>
      </c>
      <c r="K1295" s="38" t="s">
        <v>5948</v>
      </c>
      <c r="L1295" s="38" t="s">
        <v>47</v>
      </c>
      <c r="M1295" s="37" t="s">
        <v>788</v>
      </c>
      <c r="N1295" s="39" t="n">
        <v>43206</v>
      </c>
      <c r="O1295" s="41" t="s">
        <v>23</v>
      </c>
      <c r="P1295" s="41" t="s">
        <v>105</v>
      </c>
      <c r="Q1295" s="42"/>
      <c r="R1295" s="41"/>
      <c r="S1295" s="42"/>
      <c r="T1295" s="41"/>
    </row>
    <row r="1296" customFormat="false" ht="13.5" hidden="false" customHeight="true" outlineLevel="0" collapsed="false">
      <c r="A1296" s="37" t="n">
        <v>1293</v>
      </c>
      <c r="B1296" s="37" t="n">
        <v>3613</v>
      </c>
      <c r="C1296" s="38" t="s">
        <v>5949</v>
      </c>
      <c r="D1296" s="37" t="s">
        <v>100</v>
      </c>
      <c r="E1296" s="39" t="n">
        <v>27179</v>
      </c>
      <c r="F1296" s="37" t="n">
        <f aca="true">IFERROR(DATEDIF(E1296,TODAY(),"Y"),"")</f>
        <v>52</v>
      </c>
      <c r="G1296" s="40" t="s">
        <v>5950</v>
      </c>
      <c r="H1296" s="40"/>
      <c r="I1296" s="38" t="s">
        <v>5951</v>
      </c>
      <c r="J1296" s="38" t="s">
        <v>15</v>
      </c>
      <c r="K1296" s="38" t="s">
        <v>5952</v>
      </c>
      <c r="L1296" s="38" t="s">
        <v>47</v>
      </c>
      <c r="M1296" s="37" t="s">
        <v>104</v>
      </c>
      <c r="N1296" s="39" t="n">
        <v>43208</v>
      </c>
      <c r="O1296" s="41" t="s">
        <v>23</v>
      </c>
      <c r="P1296" s="41" t="s">
        <v>105</v>
      </c>
      <c r="Q1296" s="42"/>
      <c r="R1296" s="41"/>
      <c r="S1296" s="42"/>
      <c r="T1296" s="41"/>
    </row>
    <row r="1297" customFormat="false" ht="13.5" hidden="false" customHeight="true" outlineLevel="0" collapsed="false">
      <c r="A1297" s="37" t="n">
        <v>1294</v>
      </c>
      <c r="B1297" s="37" t="n">
        <v>3614</v>
      </c>
      <c r="C1297" s="38" t="s">
        <v>5953</v>
      </c>
      <c r="D1297" s="37" t="s">
        <v>100</v>
      </c>
      <c r="E1297" s="39" t="n">
        <v>29642</v>
      </c>
      <c r="F1297" s="37" t="n">
        <f aca="true">IFERROR(DATEDIF(E1297,TODAY(),"Y"),"")</f>
        <v>45</v>
      </c>
      <c r="G1297" s="40" t="s">
        <v>5954</v>
      </c>
      <c r="H1297" s="40" t="s">
        <v>5955</v>
      </c>
      <c r="I1297" s="38" t="s">
        <v>5956</v>
      </c>
      <c r="J1297" s="38" t="s">
        <v>16</v>
      </c>
      <c r="K1297" s="38" t="s">
        <v>5957</v>
      </c>
      <c r="L1297" s="38" t="s">
        <v>48</v>
      </c>
      <c r="M1297" s="37" t="s">
        <v>104</v>
      </c>
      <c r="N1297" s="39" t="n">
        <v>43211</v>
      </c>
      <c r="O1297" s="41" t="s">
        <v>23</v>
      </c>
      <c r="P1297" s="41" t="s">
        <v>105</v>
      </c>
      <c r="Q1297" s="42"/>
      <c r="R1297" s="41"/>
      <c r="S1297" s="42"/>
      <c r="T1297" s="41"/>
    </row>
    <row r="1298" customFormat="false" ht="13.5" hidden="false" customHeight="true" outlineLevel="0" collapsed="false">
      <c r="A1298" s="37" t="n">
        <v>1295</v>
      </c>
      <c r="B1298" s="37" t="n">
        <v>3615</v>
      </c>
      <c r="C1298" s="38" t="s">
        <v>5958</v>
      </c>
      <c r="D1298" s="37" t="s">
        <v>100</v>
      </c>
      <c r="E1298" s="39" t="n">
        <v>26449</v>
      </c>
      <c r="F1298" s="37" t="n">
        <f aca="true">IFERROR(DATEDIF(E1298,TODAY(),"Y"),"")</f>
        <v>54</v>
      </c>
      <c r="G1298" s="40" t="s">
        <v>5959</v>
      </c>
      <c r="H1298" s="40" t="s">
        <v>5960</v>
      </c>
      <c r="I1298" s="38" t="s">
        <v>5961</v>
      </c>
      <c r="J1298" s="38" t="s">
        <v>16</v>
      </c>
      <c r="K1298" s="38" t="s">
        <v>5962</v>
      </c>
      <c r="L1298" s="38" t="s">
        <v>50</v>
      </c>
      <c r="M1298" s="37" t="s">
        <v>745</v>
      </c>
      <c r="N1298" s="39" t="n">
        <v>43212</v>
      </c>
      <c r="O1298" s="41" t="s">
        <v>23</v>
      </c>
      <c r="P1298" s="41" t="s">
        <v>105</v>
      </c>
      <c r="Q1298" s="42"/>
      <c r="R1298" s="41"/>
      <c r="S1298" s="42"/>
      <c r="T1298" s="41"/>
    </row>
    <row r="1299" customFormat="false" ht="13.5" hidden="false" customHeight="true" outlineLevel="0" collapsed="false">
      <c r="A1299" s="37" t="n">
        <v>1296</v>
      </c>
      <c r="B1299" s="37" t="n">
        <v>3616</v>
      </c>
      <c r="C1299" s="38" t="s">
        <v>5963</v>
      </c>
      <c r="D1299" s="37" t="s">
        <v>100</v>
      </c>
      <c r="E1299" s="39" t="n">
        <v>29954</v>
      </c>
      <c r="F1299" s="37" t="n">
        <f aca="true">IFERROR(DATEDIF(E1299,TODAY(),"Y"),"")</f>
        <v>44</v>
      </c>
      <c r="G1299" s="40" t="s">
        <v>5964</v>
      </c>
      <c r="H1299" s="40"/>
      <c r="I1299" s="38" t="s">
        <v>5965</v>
      </c>
      <c r="J1299" s="38" t="s">
        <v>15</v>
      </c>
      <c r="K1299" s="38" t="s">
        <v>5966</v>
      </c>
      <c r="L1299" s="38" t="s">
        <v>51</v>
      </c>
      <c r="M1299" s="37" t="s">
        <v>120</v>
      </c>
      <c r="N1299" s="39" t="n">
        <v>43214</v>
      </c>
      <c r="O1299" s="41" t="s">
        <v>23</v>
      </c>
      <c r="P1299" s="41" t="s">
        <v>105</v>
      </c>
      <c r="Q1299" s="42"/>
      <c r="R1299" s="41"/>
      <c r="S1299" s="42"/>
      <c r="T1299" s="41"/>
    </row>
    <row r="1300" customFormat="false" ht="13.5" hidden="false" customHeight="true" outlineLevel="0" collapsed="false">
      <c r="A1300" s="37" t="n">
        <v>1297</v>
      </c>
      <c r="B1300" s="37" t="n">
        <v>3617</v>
      </c>
      <c r="C1300" s="38" t="s">
        <v>5967</v>
      </c>
      <c r="D1300" s="37" t="s">
        <v>100</v>
      </c>
      <c r="E1300" s="39" t="n">
        <v>27538</v>
      </c>
      <c r="F1300" s="37" t="n">
        <f aca="true">IFERROR(DATEDIF(E1300,TODAY(),"Y"),"")</f>
        <v>51</v>
      </c>
      <c r="G1300" s="40" t="s">
        <v>5968</v>
      </c>
      <c r="H1300" s="40"/>
      <c r="I1300" s="38" t="s">
        <v>5969</v>
      </c>
      <c r="J1300" s="38" t="s">
        <v>16</v>
      </c>
      <c r="K1300" s="38" t="s">
        <v>5970</v>
      </c>
      <c r="L1300" s="38" t="s">
        <v>47</v>
      </c>
      <c r="M1300" s="37" t="s">
        <v>231</v>
      </c>
      <c r="N1300" s="39" t="n">
        <v>43214</v>
      </c>
      <c r="O1300" s="41" t="s">
        <v>23</v>
      </c>
      <c r="P1300" s="41" t="s">
        <v>105</v>
      </c>
      <c r="Q1300" s="42"/>
      <c r="R1300" s="41"/>
      <c r="S1300" s="42"/>
      <c r="T1300" s="41"/>
    </row>
    <row r="1301" customFormat="false" ht="13.5" hidden="false" customHeight="true" outlineLevel="0" collapsed="false">
      <c r="A1301" s="37" t="n">
        <v>1298</v>
      </c>
      <c r="B1301" s="37" t="n">
        <v>3618</v>
      </c>
      <c r="C1301" s="38" t="s">
        <v>5971</v>
      </c>
      <c r="D1301" s="37" t="s">
        <v>100</v>
      </c>
      <c r="E1301" s="39" t="n">
        <v>32622</v>
      </c>
      <c r="F1301" s="37" t="n">
        <f aca="true">IFERROR(DATEDIF(E1301,TODAY(),"Y"),"")</f>
        <v>37</v>
      </c>
      <c r="G1301" s="40" t="s">
        <v>5972</v>
      </c>
      <c r="H1301" s="40" t="s">
        <v>5973</v>
      </c>
      <c r="I1301" s="38" t="s">
        <v>5974</v>
      </c>
      <c r="J1301" s="38" t="s">
        <v>15</v>
      </c>
      <c r="K1301" s="38" t="s">
        <v>5975</v>
      </c>
      <c r="L1301" s="38" t="s">
        <v>49</v>
      </c>
      <c r="M1301" s="37" t="s">
        <v>104</v>
      </c>
      <c r="N1301" s="39" t="n">
        <v>43218</v>
      </c>
      <c r="O1301" s="41" t="s">
        <v>23</v>
      </c>
      <c r="P1301" s="41" t="s">
        <v>105</v>
      </c>
      <c r="Q1301" s="42"/>
      <c r="R1301" s="41"/>
      <c r="S1301" s="42"/>
      <c r="T1301" s="41"/>
    </row>
    <row r="1302" customFormat="false" ht="13.5" hidden="false" customHeight="true" outlineLevel="0" collapsed="false">
      <c r="A1302" s="37" t="n">
        <v>1299</v>
      </c>
      <c r="B1302" s="37" t="n">
        <v>3623</v>
      </c>
      <c r="C1302" s="38" t="s">
        <v>5976</v>
      </c>
      <c r="D1302" s="37" t="s">
        <v>100</v>
      </c>
      <c r="E1302" s="39" t="n">
        <v>26815</v>
      </c>
      <c r="F1302" s="37" t="n">
        <f aca="true">IFERROR(DATEDIF(E1302,TODAY(),"Y"),"")</f>
        <v>53</v>
      </c>
      <c r="G1302" s="40" t="s">
        <v>5977</v>
      </c>
      <c r="H1302" s="40" t="s">
        <v>5978</v>
      </c>
      <c r="I1302" s="38" t="s">
        <v>5979</v>
      </c>
      <c r="J1302" s="38" t="s">
        <v>16</v>
      </c>
      <c r="K1302" s="38" t="s">
        <v>5980</v>
      </c>
      <c r="L1302" s="38" t="s">
        <v>46</v>
      </c>
      <c r="M1302" s="37" t="s">
        <v>120</v>
      </c>
      <c r="N1302" s="39" t="n">
        <v>43218</v>
      </c>
      <c r="O1302" s="41" t="s">
        <v>23</v>
      </c>
      <c r="P1302" s="41" t="s">
        <v>105</v>
      </c>
      <c r="Q1302" s="42"/>
      <c r="R1302" s="41"/>
      <c r="S1302" s="42"/>
      <c r="T1302" s="41"/>
    </row>
    <row r="1303" customFormat="false" ht="13.5" hidden="false" customHeight="true" outlineLevel="0" collapsed="false">
      <c r="A1303" s="37" t="n">
        <v>1300</v>
      </c>
      <c r="B1303" s="37" t="n">
        <v>3624</v>
      </c>
      <c r="C1303" s="38" t="s">
        <v>5981</v>
      </c>
      <c r="D1303" s="37" t="s">
        <v>100</v>
      </c>
      <c r="E1303" s="39" t="n">
        <v>29624</v>
      </c>
      <c r="F1303" s="37" t="n">
        <f aca="true">IFERROR(DATEDIF(E1303,TODAY(),"Y"),"")</f>
        <v>45</v>
      </c>
      <c r="G1303" s="40" t="s">
        <v>5982</v>
      </c>
      <c r="H1303" s="40"/>
      <c r="I1303" s="38" t="s">
        <v>5983</v>
      </c>
      <c r="J1303" s="38" t="s">
        <v>16</v>
      </c>
      <c r="K1303" s="38" t="s">
        <v>5984</v>
      </c>
      <c r="L1303" s="38" t="s">
        <v>47</v>
      </c>
      <c r="M1303" s="37"/>
      <c r="N1303" s="39" t="n">
        <v>43219</v>
      </c>
      <c r="O1303" s="41" t="s">
        <v>23</v>
      </c>
      <c r="P1303" s="41" t="s">
        <v>105</v>
      </c>
      <c r="Q1303" s="42"/>
      <c r="R1303" s="41"/>
      <c r="S1303" s="42"/>
      <c r="T1303" s="41"/>
    </row>
    <row r="1304" customFormat="false" ht="13.5" hidden="false" customHeight="true" outlineLevel="0" collapsed="false">
      <c r="A1304" s="37" t="n">
        <v>1301</v>
      </c>
      <c r="B1304" s="37" t="n">
        <v>3625</v>
      </c>
      <c r="C1304" s="38" t="s">
        <v>5985</v>
      </c>
      <c r="D1304" s="37" t="s">
        <v>100</v>
      </c>
      <c r="E1304" s="39" t="n">
        <v>30833</v>
      </c>
      <c r="F1304" s="37" t="n">
        <f aca="true">IFERROR(DATEDIF(E1304,TODAY(),"Y"),"")</f>
        <v>42</v>
      </c>
      <c r="G1304" s="40" t="s">
        <v>5986</v>
      </c>
      <c r="H1304" s="40"/>
      <c r="I1304" s="38" t="s">
        <v>5987</v>
      </c>
      <c r="J1304" s="38" t="s">
        <v>18</v>
      </c>
      <c r="K1304" s="38" t="s">
        <v>5988</v>
      </c>
      <c r="L1304" s="38" t="s">
        <v>51</v>
      </c>
      <c r="M1304" s="37" t="s">
        <v>231</v>
      </c>
      <c r="N1304" s="39" t="n">
        <v>43239</v>
      </c>
      <c r="O1304" s="41" t="s">
        <v>23</v>
      </c>
      <c r="P1304" s="41" t="s">
        <v>105</v>
      </c>
      <c r="Q1304" s="42"/>
      <c r="R1304" s="41"/>
      <c r="S1304" s="42"/>
      <c r="T1304" s="41"/>
    </row>
    <row r="1305" customFormat="false" ht="13.5" hidden="false" customHeight="true" outlineLevel="0" collapsed="false">
      <c r="A1305" s="37" t="n">
        <v>1302</v>
      </c>
      <c r="B1305" s="37" t="n">
        <v>3626</v>
      </c>
      <c r="C1305" s="38" t="s">
        <v>5989</v>
      </c>
      <c r="D1305" s="37" t="s">
        <v>100</v>
      </c>
      <c r="E1305" s="39" t="n">
        <v>24623</v>
      </c>
      <c r="F1305" s="37" t="n">
        <f aca="true">IFERROR(DATEDIF(E1305,TODAY(),"Y"),"")</f>
        <v>59</v>
      </c>
      <c r="G1305" s="40" t="s">
        <v>5990</v>
      </c>
      <c r="H1305" s="40" t="s">
        <v>5991</v>
      </c>
      <c r="I1305" s="38" t="s">
        <v>5992</v>
      </c>
      <c r="J1305" s="38" t="s">
        <v>15</v>
      </c>
      <c r="K1305" s="38" t="s">
        <v>5993</v>
      </c>
      <c r="L1305" s="38" t="s">
        <v>53</v>
      </c>
      <c r="M1305" s="37" t="s">
        <v>177</v>
      </c>
      <c r="N1305" s="39" t="n">
        <v>43241</v>
      </c>
      <c r="O1305" s="41" t="s">
        <v>23</v>
      </c>
      <c r="P1305" s="41" t="s">
        <v>105</v>
      </c>
      <c r="Q1305" s="42"/>
      <c r="R1305" s="41"/>
      <c r="S1305" s="42"/>
      <c r="T1305" s="41"/>
    </row>
    <row r="1306" customFormat="false" ht="13.5" hidden="false" customHeight="true" outlineLevel="0" collapsed="false">
      <c r="A1306" s="37" t="n">
        <v>1303</v>
      </c>
      <c r="B1306" s="37" t="n">
        <v>3627</v>
      </c>
      <c r="C1306" s="38" t="s">
        <v>5994</v>
      </c>
      <c r="D1306" s="37" t="s">
        <v>100</v>
      </c>
      <c r="E1306" s="39" t="n">
        <v>26160</v>
      </c>
      <c r="F1306" s="37" t="n">
        <f aca="true">IFERROR(DATEDIF(E1306,TODAY(),"Y"),"")</f>
        <v>54</v>
      </c>
      <c r="G1306" s="40" t="s">
        <v>5995</v>
      </c>
      <c r="H1306" s="40" t="s">
        <v>5996</v>
      </c>
      <c r="I1306" s="38" t="s">
        <v>5997</v>
      </c>
      <c r="J1306" s="38" t="s">
        <v>15</v>
      </c>
      <c r="K1306" s="38" t="s">
        <v>5998</v>
      </c>
      <c r="L1306" s="38" t="s">
        <v>48</v>
      </c>
      <c r="M1306" s="37" t="s">
        <v>190</v>
      </c>
      <c r="N1306" s="39" t="n">
        <v>43246</v>
      </c>
      <c r="O1306" s="41" t="s">
        <v>23</v>
      </c>
      <c r="P1306" s="41" t="s">
        <v>105</v>
      </c>
      <c r="Q1306" s="42"/>
      <c r="R1306" s="41"/>
      <c r="S1306" s="42"/>
      <c r="T1306" s="41"/>
    </row>
    <row r="1307" customFormat="false" ht="13.5" hidden="false" customHeight="true" outlineLevel="0" collapsed="false">
      <c r="A1307" s="37" t="n">
        <v>1304</v>
      </c>
      <c r="B1307" s="37" t="n">
        <v>3628</v>
      </c>
      <c r="C1307" s="38" t="s">
        <v>5999</v>
      </c>
      <c r="D1307" s="37" t="s">
        <v>100</v>
      </c>
      <c r="E1307" s="39" t="n">
        <v>28992</v>
      </c>
      <c r="F1307" s="37" t="n">
        <f aca="true">IFERROR(DATEDIF(E1307,TODAY(),"Y"),"")</f>
        <v>47</v>
      </c>
      <c r="G1307" s="40" t="s">
        <v>6000</v>
      </c>
      <c r="H1307" s="40" t="s">
        <v>6001</v>
      </c>
      <c r="I1307" s="38"/>
      <c r="J1307" s="38" t="s">
        <v>15</v>
      </c>
      <c r="K1307" s="38" t="s">
        <v>6002</v>
      </c>
      <c r="L1307" s="38" t="s">
        <v>47</v>
      </c>
      <c r="M1307" s="37" t="s">
        <v>241</v>
      </c>
      <c r="N1307" s="39" t="n">
        <v>43246</v>
      </c>
      <c r="O1307" s="41" t="s">
        <v>23</v>
      </c>
      <c r="P1307" s="41" t="s">
        <v>105</v>
      </c>
      <c r="Q1307" s="42"/>
      <c r="R1307" s="41"/>
      <c r="S1307" s="42"/>
      <c r="T1307" s="41"/>
    </row>
    <row r="1308" customFormat="false" ht="13.5" hidden="false" customHeight="true" outlineLevel="0" collapsed="false">
      <c r="A1308" s="37" t="n">
        <v>1305</v>
      </c>
      <c r="B1308" s="37" t="n">
        <v>3629</v>
      </c>
      <c r="C1308" s="38" t="s">
        <v>6003</v>
      </c>
      <c r="D1308" s="37" t="s">
        <v>100</v>
      </c>
      <c r="E1308" s="39" t="n">
        <v>27905</v>
      </c>
      <c r="F1308" s="37" t="n">
        <f aca="true">IFERROR(DATEDIF(E1308,TODAY(),"Y"),"")</f>
        <v>50</v>
      </c>
      <c r="G1308" s="40" t="s">
        <v>6004</v>
      </c>
      <c r="H1308" s="40"/>
      <c r="I1308" s="38" t="s">
        <v>6005</v>
      </c>
      <c r="J1308" s="38" t="s">
        <v>18</v>
      </c>
      <c r="K1308" s="38" t="s">
        <v>6006</v>
      </c>
      <c r="L1308" s="38" t="s">
        <v>48</v>
      </c>
      <c r="M1308" s="37" t="s">
        <v>104</v>
      </c>
      <c r="N1308" s="39" t="n">
        <v>43247</v>
      </c>
      <c r="O1308" s="41" t="s">
        <v>23</v>
      </c>
      <c r="P1308" s="41" t="s">
        <v>105</v>
      </c>
      <c r="Q1308" s="42"/>
      <c r="R1308" s="41"/>
      <c r="S1308" s="42"/>
      <c r="T1308" s="41"/>
    </row>
    <row r="1309" customFormat="false" ht="13.5" hidden="false" customHeight="true" outlineLevel="0" collapsed="false">
      <c r="A1309" s="37" t="n">
        <v>1306</v>
      </c>
      <c r="B1309" s="37" t="n">
        <v>3630</v>
      </c>
      <c r="C1309" s="38" t="s">
        <v>6007</v>
      </c>
      <c r="D1309" s="37" t="s">
        <v>100</v>
      </c>
      <c r="E1309" s="39" t="n">
        <v>28995</v>
      </c>
      <c r="F1309" s="37" t="n">
        <f aca="true">IFERROR(DATEDIF(E1309,TODAY(),"Y"),"")</f>
        <v>47</v>
      </c>
      <c r="G1309" s="40" t="s">
        <v>6008</v>
      </c>
      <c r="H1309" s="40"/>
      <c r="I1309" s="38" t="s">
        <v>6009</v>
      </c>
      <c r="J1309" s="38" t="s">
        <v>15</v>
      </c>
      <c r="K1309" s="38" t="s">
        <v>6010</v>
      </c>
      <c r="L1309" s="38" t="s">
        <v>48</v>
      </c>
      <c r="M1309" s="37" t="s">
        <v>120</v>
      </c>
      <c r="N1309" s="39" t="n">
        <v>43251</v>
      </c>
      <c r="O1309" s="41" t="s">
        <v>23</v>
      </c>
      <c r="P1309" s="41" t="s">
        <v>105</v>
      </c>
      <c r="Q1309" s="42"/>
      <c r="R1309" s="41"/>
      <c r="S1309" s="42"/>
      <c r="T1309" s="41"/>
    </row>
    <row r="1310" customFormat="false" ht="13.5" hidden="false" customHeight="true" outlineLevel="0" collapsed="false">
      <c r="A1310" s="37" t="n">
        <v>1307</v>
      </c>
      <c r="B1310" s="37" t="n">
        <v>3631</v>
      </c>
      <c r="C1310" s="38" t="s">
        <v>6011</v>
      </c>
      <c r="D1310" s="37" t="s">
        <v>100</v>
      </c>
      <c r="E1310" s="39" t="n">
        <v>29650</v>
      </c>
      <c r="F1310" s="37" t="n">
        <f aca="true">IFERROR(DATEDIF(E1310,TODAY(),"Y"),"")</f>
        <v>45</v>
      </c>
      <c r="G1310" s="40" t="s">
        <v>6012</v>
      </c>
      <c r="H1310" s="40" t="s">
        <v>6013</v>
      </c>
      <c r="I1310" s="38" t="s">
        <v>6014</v>
      </c>
      <c r="J1310" s="38" t="s">
        <v>16</v>
      </c>
      <c r="K1310" s="38" t="s">
        <v>6015</v>
      </c>
      <c r="L1310" s="38" t="s">
        <v>57</v>
      </c>
      <c r="M1310" s="37" t="s">
        <v>2436</v>
      </c>
      <c r="N1310" s="39" t="n">
        <v>43254</v>
      </c>
      <c r="O1310" s="41" t="s">
        <v>23</v>
      </c>
      <c r="P1310" s="41" t="s">
        <v>105</v>
      </c>
      <c r="Q1310" s="42"/>
      <c r="R1310" s="41"/>
      <c r="S1310" s="42"/>
      <c r="T1310" s="41"/>
    </row>
    <row r="1311" customFormat="false" ht="13.5" hidden="false" customHeight="true" outlineLevel="0" collapsed="false">
      <c r="A1311" s="37" t="n">
        <v>1308</v>
      </c>
      <c r="B1311" s="37" t="n">
        <v>3632</v>
      </c>
      <c r="C1311" s="38" t="s">
        <v>6016</v>
      </c>
      <c r="D1311" s="37" t="s">
        <v>100</v>
      </c>
      <c r="E1311" s="39" t="n">
        <v>23853</v>
      </c>
      <c r="F1311" s="37" t="n">
        <f aca="true">IFERROR(DATEDIF(E1311,TODAY(),"Y"),"")</f>
        <v>61</v>
      </c>
      <c r="G1311" s="40" t="s">
        <v>6017</v>
      </c>
      <c r="H1311" s="40" t="s">
        <v>6018</v>
      </c>
      <c r="I1311" s="38" t="s">
        <v>6019</v>
      </c>
      <c r="J1311" s="38" t="s">
        <v>16</v>
      </c>
      <c r="K1311" s="38" t="s">
        <v>6020</v>
      </c>
      <c r="L1311" s="38" t="s">
        <v>55</v>
      </c>
      <c r="M1311" s="37"/>
      <c r="N1311" s="39" t="n">
        <v>43255</v>
      </c>
      <c r="O1311" s="41" t="s">
        <v>23</v>
      </c>
      <c r="P1311" s="41" t="s">
        <v>105</v>
      </c>
      <c r="Q1311" s="42"/>
      <c r="R1311" s="41"/>
      <c r="S1311" s="42"/>
      <c r="T1311" s="41"/>
    </row>
    <row r="1312" customFormat="false" ht="13.5" hidden="false" customHeight="true" outlineLevel="0" collapsed="false">
      <c r="A1312" s="37" t="n">
        <v>1309</v>
      </c>
      <c r="B1312" s="37" t="n">
        <v>3634</v>
      </c>
      <c r="C1312" s="38" t="s">
        <v>6021</v>
      </c>
      <c r="D1312" s="37" t="s">
        <v>100</v>
      </c>
      <c r="E1312" s="39" t="n">
        <v>30415</v>
      </c>
      <c r="F1312" s="37" t="n">
        <f aca="true">IFERROR(DATEDIF(E1312,TODAY(),"Y"),"")</f>
        <v>43</v>
      </c>
      <c r="G1312" s="40" t="s">
        <v>6022</v>
      </c>
      <c r="H1312" s="40" t="s">
        <v>6023</v>
      </c>
      <c r="I1312" s="38" t="s">
        <v>6024</v>
      </c>
      <c r="J1312" s="38" t="s">
        <v>22</v>
      </c>
      <c r="K1312" s="38" t="s">
        <v>6025</v>
      </c>
      <c r="L1312" s="43" t="s">
        <v>58</v>
      </c>
      <c r="M1312" s="37" t="s">
        <v>120</v>
      </c>
      <c r="N1312" s="39" t="n">
        <v>43261</v>
      </c>
      <c r="O1312" s="41" t="s">
        <v>23</v>
      </c>
      <c r="P1312" s="41" t="s">
        <v>105</v>
      </c>
      <c r="Q1312" s="42"/>
      <c r="R1312" s="41"/>
      <c r="S1312" s="42"/>
      <c r="T1312" s="41"/>
    </row>
    <row r="1313" customFormat="false" ht="13.5" hidden="false" customHeight="true" outlineLevel="0" collapsed="false">
      <c r="A1313" s="37" t="n">
        <v>1310</v>
      </c>
      <c r="B1313" s="37" t="n">
        <v>3635</v>
      </c>
      <c r="C1313" s="38" t="s">
        <v>6026</v>
      </c>
      <c r="D1313" s="37" t="s">
        <v>100</v>
      </c>
      <c r="E1313" s="39" t="n">
        <v>28140</v>
      </c>
      <c r="F1313" s="37" t="n">
        <f aca="true">IFERROR(DATEDIF(E1313,TODAY(),"Y"),"")</f>
        <v>49</v>
      </c>
      <c r="G1313" s="40" t="s">
        <v>6027</v>
      </c>
      <c r="H1313" s="40"/>
      <c r="I1313" s="38" t="s">
        <v>6028</v>
      </c>
      <c r="J1313" s="38" t="s">
        <v>18</v>
      </c>
      <c r="K1313" s="38" t="s">
        <v>6029</v>
      </c>
      <c r="L1313" s="38" t="s">
        <v>55</v>
      </c>
      <c r="M1313" s="37"/>
      <c r="N1313" s="39" t="n">
        <v>43262</v>
      </c>
      <c r="O1313" s="41" t="s">
        <v>23</v>
      </c>
      <c r="P1313" s="41" t="s">
        <v>105</v>
      </c>
      <c r="Q1313" s="42"/>
      <c r="R1313" s="41"/>
      <c r="S1313" s="42"/>
      <c r="T1313" s="41"/>
    </row>
    <row r="1314" customFormat="false" ht="13.5" hidden="false" customHeight="true" outlineLevel="0" collapsed="false">
      <c r="A1314" s="37" t="n">
        <v>1311</v>
      </c>
      <c r="B1314" s="37" t="n">
        <v>3636</v>
      </c>
      <c r="C1314" s="38" t="s">
        <v>6030</v>
      </c>
      <c r="D1314" s="37" t="s">
        <v>100</v>
      </c>
      <c r="E1314" s="39" t="n">
        <v>27536</v>
      </c>
      <c r="F1314" s="37" t="n">
        <f aca="true">IFERROR(DATEDIF(E1314,TODAY(),"Y"),"")</f>
        <v>51</v>
      </c>
      <c r="G1314" s="40" t="s">
        <v>6031</v>
      </c>
      <c r="H1314" s="40"/>
      <c r="I1314" s="38" t="s">
        <v>6032</v>
      </c>
      <c r="J1314" s="38" t="s">
        <v>16</v>
      </c>
      <c r="K1314" s="38" t="s">
        <v>6033</v>
      </c>
      <c r="L1314" s="38" t="s">
        <v>50</v>
      </c>
      <c r="M1314" s="37" t="s">
        <v>120</v>
      </c>
      <c r="N1314" s="39" t="n">
        <v>43268</v>
      </c>
      <c r="O1314" s="41" t="s">
        <v>23</v>
      </c>
      <c r="P1314" s="41" t="s">
        <v>105</v>
      </c>
      <c r="Q1314" s="42"/>
      <c r="R1314" s="41"/>
      <c r="S1314" s="42"/>
      <c r="T1314" s="41"/>
    </row>
    <row r="1315" customFormat="false" ht="13.5" hidden="false" customHeight="true" outlineLevel="0" collapsed="false">
      <c r="A1315" s="37" t="n">
        <v>1312</v>
      </c>
      <c r="B1315" s="37" t="n">
        <v>3637</v>
      </c>
      <c r="C1315" s="38" t="s">
        <v>6034</v>
      </c>
      <c r="D1315" s="37" t="s">
        <v>100</v>
      </c>
      <c r="E1315" s="39" t="n">
        <v>24254</v>
      </c>
      <c r="F1315" s="37" t="n">
        <f aca="true">IFERROR(DATEDIF(E1315,TODAY(),"Y"),"")</f>
        <v>60</v>
      </c>
      <c r="G1315" s="40" t="s">
        <v>6035</v>
      </c>
      <c r="H1315" s="40" t="s">
        <v>6036</v>
      </c>
      <c r="I1315" s="38" t="s">
        <v>6037</v>
      </c>
      <c r="J1315" s="38"/>
      <c r="K1315" s="38" t="s">
        <v>6038</v>
      </c>
      <c r="L1315" s="38" t="s">
        <v>53</v>
      </c>
      <c r="M1315" s="37" t="s">
        <v>788</v>
      </c>
      <c r="N1315" s="39" t="n">
        <v>43268</v>
      </c>
      <c r="O1315" s="41" t="s">
        <v>23</v>
      </c>
      <c r="P1315" s="41" t="s">
        <v>105</v>
      </c>
      <c r="Q1315" s="42"/>
      <c r="R1315" s="41"/>
      <c r="S1315" s="42"/>
      <c r="T1315" s="41"/>
    </row>
    <row r="1316" customFormat="false" ht="13.5" hidden="false" customHeight="true" outlineLevel="0" collapsed="false">
      <c r="A1316" s="37" t="n">
        <v>1313</v>
      </c>
      <c r="B1316" s="37" t="n">
        <v>3638</v>
      </c>
      <c r="C1316" s="38" t="s">
        <v>6039</v>
      </c>
      <c r="D1316" s="37" t="s">
        <v>100</v>
      </c>
      <c r="E1316" s="39" t="n">
        <v>25664</v>
      </c>
      <c r="F1316" s="37" t="n">
        <f aca="true">IFERROR(DATEDIF(E1316,TODAY(),"Y"),"")</f>
        <v>56</v>
      </c>
      <c r="G1316" s="40" t="s">
        <v>6040</v>
      </c>
      <c r="H1316" s="40"/>
      <c r="I1316" s="38" t="s">
        <v>6041</v>
      </c>
      <c r="J1316" s="38" t="s">
        <v>16</v>
      </c>
      <c r="K1316" s="38" t="s">
        <v>6042</v>
      </c>
      <c r="L1316" s="38" t="s">
        <v>43</v>
      </c>
      <c r="M1316" s="37" t="s">
        <v>120</v>
      </c>
      <c r="N1316" s="39" t="n">
        <v>43270</v>
      </c>
      <c r="O1316" s="41" t="s">
        <v>23</v>
      </c>
      <c r="P1316" s="41" t="s">
        <v>105</v>
      </c>
      <c r="Q1316" s="42"/>
      <c r="R1316" s="41"/>
      <c r="S1316" s="42"/>
      <c r="T1316" s="41"/>
    </row>
    <row r="1317" customFormat="false" ht="13.5" hidden="false" customHeight="true" outlineLevel="0" collapsed="false">
      <c r="A1317" s="37" t="n">
        <v>1314</v>
      </c>
      <c r="B1317" s="37" t="n">
        <v>3639</v>
      </c>
      <c r="C1317" s="38" t="s">
        <v>6043</v>
      </c>
      <c r="D1317" s="37" t="s">
        <v>100</v>
      </c>
      <c r="E1317" s="39" t="n">
        <v>32959</v>
      </c>
      <c r="F1317" s="37" t="n">
        <f aca="true">IFERROR(DATEDIF(E1317,TODAY(),"Y"),"")</f>
        <v>36</v>
      </c>
      <c r="G1317" s="40" t="s">
        <v>6044</v>
      </c>
      <c r="H1317" s="40" t="s">
        <v>6045</v>
      </c>
      <c r="I1317" s="38" t="s">
        <v>6046</v>
      </c>
      <c r="J1317" s="38" t="s">
        <v>16</v>
      </c>
      <c r="K1317" s="38" t="s">
        <v>6047</v>
      </c>
      <c r="L1317" s="38" t="s">
        <v>50</v>
      </c>
      <c r="M1317" s="37"/>
      <c r="N1317" s="39" t="n">
        <v>43274</v>
      </c>
      <c r="O1317" s="41" t="s">
        <v>23</v>
      </c>
      <c r="P1317" s="41" t="s">
        <v>105</v>
      </c>
      <c r="Q1317" s="42"/>
      <c r="R1317" s="41"/>
      <c r="S1317" s="42"/>
      <c r="T1317" s="41"/>
    </row>
    <row r="1318" customFormat="false" ht="13.5" hidden="false" customHeight="true" outlineLevel="0" collapsed="false">
      <c r="A1318" s="37" t="n">
        <v>1315</v>
      </c>
      <c r="B1318" s="37" t="n">
        <v>3640</v>
      </c>
      <c r="C1318" s="38" t="s">
        <v>6048</v>
      </c>
      <c r="D1318" s="37" t="s">
        <v>100</v>
      </c>
      <c r="E1318" s="39" t="n">
        <v>25293</v>
      </c>
      <c r="F1318" s="37" t="n">
        <f aca="true">IFERROR(DATEDIF(E1318,TODAY(),"Y"),"")</f>
        <v>57</v>
      </c>
      <c r="G1318" s="40" t="s">
        <v>6049</v>
      </c>
      <c r="H1318" s="40" t="s">
        <v>6050</v>
      </c>
      <c r="I1318" s="38" t="s">
        <v>6051</v>
      </c>
      <c r="J1318" s="38" t="s">
        <v>15</v>
      </c>
      <c r="K1318" s="38" t="s">
        <v>6052</v>
      </c>
      <c r="L1318" s="38" t="s">
        <v>46</v>
      </c>
      <c r="M1318" s="37" t="s">
        <v>120</v>
      </c>
      <c r="N1318" s="39" t="n">
        <v>43275</v>
      </c>
      <c r="O1318" s="41" t="s">
        <v>23</v>
      </c>
      <c r="P1318" s="41" t="s">
        <v>105</v>
      </c>
      <c r="Q1318" s="42"/>
      <c r="R1318" s="41"/>
      <c r="S1318" s="42"/>
      <c r="T1318" s="41"/>
    </row>
    <row r="1319" customFormat="false" ht="13.5" hidden="false" customHeight="true" outlineLevel="0" collapsed="false">
      <c r="A1319" s="37" t="n">
        <v>1316</v>
      </c>
      <c r="B1319" s="37" t="n">
        <v>3641</v>
      </c>
      <c r="C1319" s="38" t="s">
        <v>6053</v>
      </c>
      <c r="D1319" s="37" t="s">
        <v>100</v>
      </c>
      <c r="E1319" s="39" t="n">
        <v>33533</v>
      </c>
      <c r="F1319" s="37" t="n">
        <f aca="true">IFERROR(DATEDIF(E1319,TODAY(),"Y"),"")</f>
        <v>34</v>
      </c>
      <c r="G1319" s="40" t="s">
        <v>6054</v>
      </c>
      <c r="H1319" s="40" t="s">
        <v>6055</v>
      </c>
      <c r="I1319" s="38" t="s">
        <v>6056</v>
      </c>
      <c r="J1319" s="38" t="s">
        <v>16</v>
      </c>
      <c r="K1319" s="38" t="s">
        <v>6057</v>
      </c>
      <c r="L1319" s="38" t="s">
        <v>47</v>
      </c>
      <c r="M1319" s="37" t="s">
        <v>104</v>
      </c>
      <c r="N1319" s="39" t="n">
        <v>43277</v>
      </c>
      <c r="O1319" s="41" t="s">
        <v>23</v>
      </c>
      <c r="P1319" s="41" t="s">
        <v>105</v>
      </c>
      <c r="Q1319" s="42"/>
      <c r="R1319" s="41"/>
      <c r="S1319" s="42"/>
      <c r="T1319" s="41"/>
    </row>
    <row r="1320" customFormat="false" ht="13.5" hidden="false" customHeight="true" outlineLevel="0" collapsed="false">
      <c r="A1320" s="37" t="n">
        <v>1317</v>
      </c>
      <c r="B1320" s="37" t="n">
        <v>3643</v>
      </c>
      <c r="C1320" s="38" t="s">
        <v>6058</v>
      </c>
      <c r="D1320" s="37" t="s">
        <v>100</v>
      </c>
      <c r="E1320" s="39" t="n">
        <v>29361</v>
      </c>
      <c r="F1320" s="37" t="n">
        <f aca="true">IFERROR(DATEDIF(E1320,TODAY(),"Y"),"")</f>
        <v>46</v>
      </c>
      <c r="G1320" s="40" t="s">
        <v>6059</v>
      </c>
      <c r="H1320" s="40" t="s">
        <v>6060</v>
      </c>
      <c r="I1320" s="38" t="s">
        <v>6061</v>
      </c>
      <c r="J1320" s="38" t="s">
        <v>16</v>
      </c>
      <c r="K1320" s="38" t="s">
        <v>6062</v>
      </c>
      <c r="L1320" s="38" t="s">
        <v>55</v>
      </c>
      <c r="M1320" s="37" t="s">
        <v>231</v>
      </c>
      <c r="N1320" s="39" t="n">
        <v>43283</v>
      </c>
      <c r="O1320" s="41" t="s">
        <v>23</v>
      </c>
      <c r="P1320" s="41" t="s">
        <v>105</v>
      </c>
      <c r="Q1320" s="42"/>
      <c r="R1320" s="41"/>
      <c r="S1320" s="42"/>
      <c r="T1320" s="41"/>
    </row>
    <row r="1321" customFormat="false" ht="13.5" hidden="false" customHeight="true" outlineLevel="0" collapsed="false">
      <c r="A1321" s="37" t="n">
        <v>1318</v>
      </c>
      <c r="B1321" s="37" t="n">
        <v>3644</v>
      </c>
      <c r="C1321" s="38" t="s">
        <v>6063</v>
      </c>
      <c r="D1321" s="37" t="s">
        <v>100</v>
      </c>
      <c r="E1321" s="39" t="n">
        <v>27135</v>
      </c>
      <c r="F1321" s="37" t="n">
        <f aca="true">IFERROR(DATEDIF(E1321,TODAY(),"Y"),"")</f>
        <v>52</v>
      </c>
      <c r="G1321" s="40" t="s">
        <v>6064</v>
      </c>
      <c r="H1321" s="40" t="s">
        <v>6065</v>
      </c>
      <c r="I1321" s="38" t="s">
        <v>6066</v>
      </c>
      <c r="J1321" s="38" t="s">
        <v>16</v>
      </c>
      <c r="K1321" s="38" t="s">
        <v>6067</v>
      </c>
      <c r="L1321" s="38" t="s">
        <v>48</v>
      </c>
      <c r="M1321" s="37"/>
      <c r="N1321" s="39" t="n">
        <v>43285</v>
      </c>
      <c r="O1321" s="41" t="s">
        <v>23</v>
      </c>
      <c r="P1321" s="41" t="s">
        <v>105</v>
      </c>
      <c r="Q1321" s="42"/>
      <c r="R1321" s="41"/>
      <c r="S1321" s="42"/>
      <c r="T1321" s="41"/>
    </row>
    <row r="1322" customFormat="false" ht="13.5" hidden="false" customHeight="true" outlineLevel="0" collapsed="false">
      <c r="A1322" s="37" t="n">
        <v>1319</v>
      </c>
      <c r="B1322" s="37" t="n">
        <v>3645</v>
      </c>
      <c r="C1322" s="38" t="s">
        <v>6068</v>
      </c>
      <c r="D1322" s="37" t="s">
        <v>100</v>
      </c>
      <c r="E1322" s="39" t="n">
        <v>22251</v>
      </c>
      <c r="F1322" s="37" t="n">
        <f aca="true">IFERROR(DATEDIF(E1322,TODAY(),"Y"),"")</f>
        <v>65</v>
      </c>
      <c r="G1322" s="40" t="s">
        <v>6069</v>
      </c>
      <c r="H1322" s="40"/>
      <c r="I1322" s="38" t="s">
        <v>6070</v>
      </c>
      <c r="J1322" s="38" t="s">
        <v>15</v>
      </c>
      <c r="K1322" s="38" t="s">
        <v>6071</v>
      </c>
      <c r="L1322" s="38" t="s">
        <v>54</v>
      </c>
      <c r="M1322" s="37" t="s">
        <v>104</v>
      </c>
      <c r="N1322" s="39" t="n">
        <v>43289</v>
      </c>
      <c r="O1322" s="41" t="s">
        <v>23</v>
      </c>
      <c r="P1322" s="41" t="s">
        <v>105</v>
      </c>
      <c r="Q1322" s="42"/>
      <c r="R1322" s="41"/>
      <c r="S1322" s="42"/>
      <c r="T1322" s="41"/>
    </row>
    <row r="1323" customFormat="false" ht="13.5" hidden="false" customHeight="true" outlineLevel="0" collapsed="false">
      <c r="A1323" s="37" t="n">
        <v>1320</v>
      </c>
      <c r="B1323" s="37" t="n">
        <v>3646</v>
      </c>
      <c r="C1323" s="38" t="s">
        <v>6072</v>
      </c>
      <c r="D1323" s="37" t="s">
        <v>100</v>
      </c>
      <c r="E1323" s="39" t="n">
        <v>26033</v>
      </c>
      <c r="F1323" s="37" t="n">
        <f aca="true">IFERROR(DATEDIF(E1323,TODAY(),"Y"),"")</f>
        <v>55</v>
      </c>
      <c r="G1323" s="40" t="s">
        <v>6073</v>
      </c>
      <c r="H1323" s="40"/>
      <c r="I1323" s="38"/>
      <c r="J1323" s="38" t="s">
        <v>18</v>
      </c>
      <c r="K1323" s="38" t="s">
        <v>6074</v>
      </c>
      <c r="L1323" s="38" t="s">
        <v>52</v>
      </c>
      <c r="M1323" s="37"/>
      <c r="N1323" s="39" t="n">
        <v>43300</v>
      </c>
      <c r="O1323" s="41" t="s">
        <v>23</v>
      </c>
      <c r="P1323" s="41" t="s">
        <v>105</v>
      </c>
      <c r="Q1323" s="42"/>
      <c r="R1323" s="41"/>
      <c r="S1323" s="42"/>
      <c r="T1323" s="41"/>
    </row>
    <row r="1324" customFormat="false" ht="13.5" hidden="false" customHeight="true" outlineLevel="0" collapsed="false">
      <c r="A1324" s="37" t="n">
        <v>1321</v>
      </c>
      <c r="B1324" s="37" t="n">
        <v>3647</v>
      </c>
      <c r="C1324" s="38" t="s">
        <v>6075</v>
      </c>
      <c r="D1324" s="37" t="s">
        <v>100</v>
      </c>
      <c r="E1324" s="39" t="n">
        <v>19880</v>
      </c>
      <c r="F1324" s="37" t="n">
        <f aca="true">IFERROR(DATEDIF(E1324,TODAY(),"Y"),"")</f>
        <v>72</v>
      </c>
      <c r="G1324" s="40" t="s">
        <v>6076</v>
      </c>
      <c r="H1324" s="40"/>
      <c r="I1324" s="38" t="s">
        <v>6077</v>
      </c>
      <c r="J1324" s="38" t="s">
        <v>15</v>
      </c>
      <c r="K1324" s="38" t="s">
        <v>6078</v>
      </c>
      <c r="L1324" s="38" t="s">
        <v>54</v>
      </c>
      <c r="M1324" s="37" t="s">
        <v>120</v>
      </c>
      <c r="N1324" s="39" t="n">
        <v>43304</v>
      </c>
      <c r="O1324" s="41" t="s">
        <v>23</v>
      </c>
      <c r="P1324" s="41" t="s">
        <v>105</v>
      </c>
      <c r="Q1324" s="42"/>
      <c r="R1324" s="41"/>
      <c r="S1324" s="42"/>
      <c r="T1324" s="41"/>
    </row>
    <row r="1325" customFormat="false" ht="13.5" hidden="false" customHeight="true" outlineLevel="0" collapsed="false">
      <c r="A1325" s="37" t="n">
        <v>1322</v>
      </c>
      <c r="B1325" s="37" t="n">
        <v>3648</v>
      </c>
      <c r="C1325" s="38" t="s">
        <v>6079</v>
      </c>
      <c r="D1325" s="37" t="s">
        <v>100</v>
      </c>
      <c r="E1325" s="39" t="n">
        <v>27177</v>
      </c>
      <c r="F1325" s="37" t="n">
        <f aca="true">IFERROR(DATEDIF(E1325,TODAY(),"Y"),"")</f>
        <v>52</v>
      </c>
      <c r="G1325" s="40" t="s">
        <v>6080</v>
      </c>
      <c r="H1325" s="40" t="s">
        <v>6081</v>
      </c>
      <c r="I1325" s="38" t="s">
        <v>6082</v>
      </c>
      <c r="J1325" s="38" t="s">
        <v>18</v>
      </c>
      <c r="K1325" s="38" t="s">
        <v>6083</v>
      </c>
      <c r="L1325" s="38" t="s">
        <v>52</v>
      </c>
      <c r="M1325" s="37" t="s">
        <v>104</v>
      </c>
      <c r="N1325" s="39" t="n">
        <v>43309</v>
      </c>
      <c r="O1325" s="41" t="s">
        <v>23</v>
      </c>
      <c r="P1325" s="41" t="s">
        <v>105</v>
      </c>
      <c r="Q1325" s="42"/>
      <c r="R1325" s="41"/>
      <c r="S1325" s="42"/>
      <c r="T1325" s="41"/>
    </row>
    <row r="1326" customFormat="false" ht="13.5" hidden="false" customHeight="true" outlineLevel="0" collapsed="false">
      <c r="A1326" s="37" t="n">
        <v>1323</v>
      </c>
      <c r="B1326" s="37" t="n">
        <v>3649</v>
      </c>
      <c r="C1326" s="38" t="s">
        <v>6084</v>
      </c>
      <c r="D1326" s="37" t="s">
        <v>100</v>
      </c>
      <c r="E1326" s="39" t="n">
        <v>23211</v>
      </c>
      <c r="F1326" s="37" t="n">
        <f aca="true">IFERROR(DATEDIF(E1326,TODAY(),"Y"),"")</f>
        <v>63</v>
      </c>
      <c r="G1326" s="40" t="s">
        <v>6085</v>
      </c>
      <c r="H1326" s="40"/>
      <c r="I1326" s="38" t="s">
        <v>6086</v>
      </c>
      <c r="J1326" s="38" t="s">
        <v>18</v>
      </c>
      <c r="K1326" s="38" t="s">
        <v>6087</v>
      </c>
      <c r="L1326" s="38" t="s">
        <v>53</v>
      </c>
      <c r="M1326" s="37" t="s">
        <v>177</v>
      </c>
      <c r="N1326" s="39" t="n">
        <v>43309</v>
      </c>
      <c r="O1326" s="41" t="s">
        <v>23</v>
      </c>
      <c r="P1326" s="41" t="s">
        <v>105</v>
      </c>
      <c r="Q1326" s="42"/>
      <c r="R1326" s="41"/>
      <c r="S1326" s="42"/>
      <c r="T1326" s="41"/>
    </row>
    <row r="1327" customFormat="false" ht="13.5" hidden="false" customHeight="true" outlineLevel="0" collapsed="false">
      <c r="A1327" s="37" t="n">
        <v>1324</v>
      </c>
      <c r="B1327" s="37" t="n">
        <v>3650</v>
      </c>
      <c r="C1327" s="38" t="s">
        <v>6088</v>
      </c>
      <c r="D1327" s="37" t="s">
        <v>100</v>
      </c>
      <c r="E1327" s="39" t="n">
        <v>24247</v>
      </c>
      <c r="F1327" s="37" t="n">
        <f aca="true">IFERROR(DATEDIF(E1327,TODAY(),"Y"),"")</f>
        <v>60</v>
      </c>
      <c r="G1327" s="40" t="s">
        <v>6089</v>
      </c>
      <c r="H1327" s="40" t="s">
        <v>6090</v>
      </c>
      <c r="I1327" s="38" t="s">
        <v>6091</v>
      </c>
      <c r="J1327" s="38" t="s">
        <v>15</v>
      </c>
      <c r="K1327" s="38" t="s">
        <v>6092</v>
      </c>
      <c r="L1327" s="43" t="s">
        <v>58</v>
      </c>
      <c r="M1327" s="37"/>
      <c r="N1327" s="39" t="n">
        <v>43310</v>
      </c>
      <c r="O1327" s="41" t="s">
        <v>23</v>
      </c>
      <c r="P1327" s="41" t="s">
        <v>105</v>
      </c>
      <c r="Q1327" s="42"/>
      <c r="R1327" s="41"/>
      <c r="S1327" s="42"/>
      <c r="T1327" s="41"/>
    </row>
    <row r="1328" customFormat="false" ht="13.5" hidden="false" customHeight="true" outlineLevel="0" collapsed="false">
      <c r="A1328" s="37" t="n">
        <v>1325</v>
      </c>
      <c r="B1328" s="37" t="n">
        <v>3651</v>
      </c>
      <c r="C1328" s="38" t="s">
        <v>6093</v>
      </c>
      <c r="D1328" s="37" t="s">
        <v>100</v>
      </c>
      <c r="E1328" s="39" t="n">
        <v>28237</v>
      </c>
      <c r="F1328" s="37" t="n">
        <f aca="true">IFERROR(DATEDIF(E1328,TODAY(),"Y"),"")</f>
        <v>49</v>
      </c>
      <c r="G1328" s="40" t="s">
        <v>6094</v>
      </c>
      <c r="H1328" s="40"/>
      <c r="I1328" s="38" t="s">
        <v>6095</v>
      </c>
      <c r="J1328" s="38" t="s">
        <v>16</v>
      </c>
      <c r="K1328" s="38" t="s">
        <v>6096</v>
      </c>
      <c r="L1328" s="38" t="s">
        <v>54</v>
      </c>
      <c r="M1328" s="37"/>
      <c r="N1328" s="39" t="n">
        <v>43313</v>
      </c>
      <c r="O1328" s="41" t="s">
        <v>23</v>
      </c>
      <c r="P1328" s="41" t="s">
        <v>105</v>
      </c>
      <c r="Q1328" s="42"/>
      <c r="R1328" s="41"/>
      <c r="S1328" s="42"/>
      <c r="T1328" s="41"/>
    </row>
    <row r="1329" customFormat="false" ht="13.5" hidden="false" customHeight="true" outlineLevel="0" collapsed="false">
      <c r="A1329" s="37" t="n">
        <v>1326</v>
      </c>
      <c r="B1329" s="37" t="n">
        <v>3652</v>
      </c>
      <c r="C1329" s="38" t="s">
        <v>6097</v>
      </c>
      <c r="D1329" s="37" t="s">
        <v>100</v>
      </c>
      <c r="E1329" s="39" t="n">
        <v>31231</v>
      </c>
      <c r="F1329" s="37" t="n">
        <f aca="true">IFERROR(DATEDIF(E1329,TODAY(),"Y"),"")</f>
        <v>41</v>
      </c>
      <c r="G1329" s="40" t="s">
        <v>6098</v>
      </c>
      <c r="H1329" s="40" t="s">
        <v>6099</v>
      </c>
      <c r="I1329" s="38" t="s">
        <v>6100</v>
      </c>
      <c r="J1329" s="38" t="s">
        <v>16</v>
      </c>
      <c r="K1329" s="38" t="s">
        <v>6101</v>
      </c>
      <c r="L1329" s="38" t="s">
        <v>55</v>
      </c>
      <c r="M1329" s="37"/>
      <c r="N1329" s="39" t="n">
        <v>43314</v>
      </c>
      <c r="O1329" s="41" t="s">
        <v>23</v>
      </c>
      <c r="P1329" s="41" t="s">
        <v>105</v>
      </c>
      <c r="Q1329" s="42"/>
      <c r="R1329" s="41"/>
      <c r="S1329" s="42"/>
      <c r="T1329" s="41"/>
    </row>
    <row r="1330" customFormat="false" ht="13.5" hidden="false" customHeight="true" outlineLevel="0" collapsed="false">
      <c r="A1330" s="37" t="n">
        <v>1327</v>
      </c>
      <c r="B1330" s="37" t="n">
        <v>3653</v>
      </c>
      <c r="C1330" s="38" t="s">
        <v>6102</v>
      </c>
      <c r="D1330" s="37" t="s">
        <v>100</v>
      </c>
      <c r="E1330" s="39" t="n">
        <v>33995</v>
      </c>
      <c r="F1330" s="37" t="n">
        <f aca="true">IFERROR(DATEDIF(E1330,TODAY(),"Y"),"")</f>
        <v>33</v>
      </c>
      <c r="G1330" s="40" t="s">
        <v>6103</v>
      </c>
      <c r="H1330" s="40" t="s">
        <v>6104</v>
      </c>
      <c r="I1330" s="38" t="s">
        <v>6105</v>
      </c>
      <c r="J1330" s="38" t="s">
        <v>15</v>
      </c>
      <c r="K1330" s="38" t="s">
        <v>6106</v>
      </c>
      <c r="L1330" s="38" t="s">
        <v>50</v>
      </c>
      <c r="M1330" s="37"/>
      <c r="N1330" s="39" t="n">
        <v>43314</v>
      </c>
      <c r="O1330" s="41" t="s">
        <v>23</v>
      </c>
      <c r="P1330" s="41" t="s">
        <v>105</v>
      </c>
      <c r="Q1330" s="42"/>
      <c r="R1330" s="41"/>
      <c r="S1330" s="42"/>
      <c r="T1330" s="41"/>
    </row>
    <row r="1331" customFormat="false" ht="13.5" hidden="false" customHeight="true" outlineLevel="0" collapsed="false">
      <c r="A1331" s="37" t="n">
        <v>1328</v>
      </c>
      <c r="B1331" s="37" t="n">
        <v>3654</v>
      </c>
      <c r="C1331" s="38" t="s">
        <v>6107</v>
      </c>
      <c r="D1331" s="37" t="s">
        <v>100</v>
      </c>
      <c r="E1331" s="39" t="n">
        <v>22771</v>
      </c>
      <c r="F1331" s="37" t="n">
        <f aca="true">IFERROR(DATEDIF(E1331,TODAY(),"Y"),"")</f>
        <v>64</v>
      </c>
      <c r="G1331" s="40" t="s">
        <v>6108</v>
      </c>
      <c r="H1331" s="40"/>
      <c r="I1331" s="38"/>
      <c r="J1331" s="38" t="s">
        <v>15</v>
      </c>
      <c r="K1331" s="38" t="s">
        <v>6109</v>
      </c>
      <c r="L1331" s="38" t="s">
        <v>50</v>
      </c>
      <c r="M1331" s="37"/>
      <c r="N1331" s="39" t="n">
        <v>43330</v>
      </c>
      <c r="O1331" s="41" t="s">
        <v>23</v>
      </c>
      <c r="P1331" s="41" t="s">
        <v>105</v>
      </c>
      <c r="Q1331" s="42"/>
      <c r="R1331" s="41"/>
      <c r="S1331" s="42"/>
      <c r="T1331" s="41"/>
    </row>
    <row r="1332" customFormat="false" ht="13.5" hidden="false" customHeight="true" outlineLevel="0" collapsed="false">
      <c r="A1332" s="37" t="n">
        <v>1329</v>
      </c>
      <c r="B1332" s="37" t="n">
        <v>3655</v>
      </c>
      <c r="C1332" s="38" t="s">
        <v>6110</v>
      </c>
      <c r="D1332" s="37" t="s">
        <v>100</v>
      </c>
      <c r="E1332" s="39" t="n">
        <v>26029</v>
      </c>
      <c r="F1332" s="37" t="n">
        <f aca="true">IFERROR(DATEDIF(E1332,TODAY(),"Y"),"")</f>
        <v>55</v>
      </c>
      <c r="G1332" s="40" t="s">
        <v>6111</v>
      </c>
      <c r="H1332" s="40"/>
      <c r="I1332" s="38" t="s">
        <v>6112</v>
      </c>
      <c r="J1332" s="38" t="s">
        <v>15</v>
      </c>
      <c r="K1332" s="38" t="s">
        <v>6113</v>
      </c>
      <c r="L1332" s="38" t="s">
        <v>50</v>
      </c>
      <c r="M1332" s="37"/>
      <c r="N1332" s="39" t="n">
        <v>43331</v>
      </c>
      <c r="O1332" s="41" t="s">
        <v>23</v>
      </c>
      <c r="P1332" s="41" t="s">
        <v>105</v>
      </c>
      <c r="Q1332" s="42"/>
      <c r="R1332" s="41"/>
      <c r="S1332" s="42"/>
      <c r="T1332" s="41"/>
    </row>
    <row r="1333" customFormat="false" ht="13.5" hidden="false" customHeight="true" outlineLevel="0" collapsed="false">
      <c r="A1333" s="37" t="n">
        <v>1330</v>
      </c>
      <c r="B1333" s="37" t="n">
        <v>3656</v>
      </c>
      <c r="C1333" s="38" t="s">
        <v>6114</v>
      </c>
      <c r="D1333" s="37" t="s">
        <v>100</v>
      </c>
      <c r="E1333" s="39" t="n">
        <v>30446</v>
      </c>
      <c r="F1333" s="37" t="n">
        <f aca="true">IFERROR(DATEDIF(E1333,TODAY(),"Y"),"")</f>
        <v>43</v>
      </c>
      <c r="G1333" s="40" t="s">
        <v>6115</v>
      </c>
      <c r="H1333" s="40"/>
      <c r="I1333" s="38" t="s">
        <v>6116</v>
      </c>
      <c r="J1333" s="38" t="s">
        <v>15</v>
      </c>
      <c r="K1333" s="38" t="s">
        <v>6117</v>
      </c>
      <c r="L1333" s="38" t="s">
        <v>50</v>
      </c>
      <c r="M1333" s="37"/>
      <c r="N1333" s="39" t="n">
        <v>43338</v>
      </c>
      <c r="O1333" s="41" t="s">
        <v>23</v>
      </c>
      <c r="P1333" s="41" t="s">
        <v>105</v>
      </c>
      <c r="Q1333" s="42"/>
      <c r="R1333" s="41"/>
      <c r="S1333" s="42"/>
      <c r="T1333" s="41"/>
    </row>
    <row r="1334" customFormat="false" ht="13.5" hidden="false" customHeight="true" outlineLevel="0" collapsed="false">
      <c r="A1334" s="37" t="n">
        <v>1331</v>
      </c>
      <c r="B1334" s="37" t="n">
        <v>3657</v>
      </c>
      <c r="C1334" s="38" t="s">
        <v>6118</v>
      </c>
      <c r="D1334" s="37" t="s">
        <v>100</v>
      </c>
      <c r="E1334" s="39" t="n">
        <v>32805</v>
      </c>
      <c r="F1334" s="37" t="n">
        <f aca="true">IFERROR(DATEDIF(E1334,TODAY(),"Y"),"")</f>
        <v>36</v>
      </c>
      <c r="G1334" s="40" t="s">
        <v>6119</v>
      </c>
      <c r="H1334" s="40" t="s">
        <v>6120</v>
      </c>
      <c r="I1334" s="38" t="s">
        <v>6121</v>
      </c>
      <c r="J1334" s="38" t="s">
        <v>16</v>
      </c>
      <c r="K1334" s="38" t="s">
        <v>6122</v>
      </c>
      <c r="L1334" s="38" t="s">
        <v>55</v>
      </c>
      <c r="M1334" s="37" t="s">
        <v>120</v>
      </c>
      <c r="N1334" s="39" t="n">
        <v>43338</v>
      </c>
      <c r="O1334" s="41" t="s">
        <v>23</v>
      </c>
      <c r="P1334" s="41" t="s">
        <v>105</v>
      </c>
      <c r="Q1334" s="42"/>
      <c r="R1334" s="41"/>
      <c r="S1334" s="42"/>
      <c r="T1334" s="41"/>
    </row>
    <row r="1335" customFormat="false" ht="13.5" hidden="false" customHeight="true" outlineLevel="0" collapsed="false">
      <c r="A1335" s="37" t="n">
        <v>1332</v>
      </c>
      <c r="B1335" s="37" t="n">
        <v>3658</v>
      </c>
      <c r="C1335" s="38" t="s">
        <v>6123</v>
      </c>
      <c r="D1335" s="37" t="s">
        <v>100</v>
      </c>
      <c r="E1335" s="39" t="n">
        <v>31192</v>
      </c>
      <c r="F1335" s="37" t="n">
        <f aca="true">IFERROR(DATEDIF(E1335,TODAY(),"Y"),"")</f>
        <v>41</v>
      </c>
      <c r="G1335" s="40" t="s">
        <v>6124</v>
      </c>
      <c r="H1335" s="40" t="s">
        <v>3254</v>
      </c>
      <c r="I1335" s="38" t="s">
        <v>6125</v>
      </c>
      <c r="J1335" s="38" t="s">
        <v>15</v>
      </c>
      <c r="K1335" s="38" t="s">
        <v>6126</v>
      </c>
      <c r="L1335" s="38" t="s">
        <v>47</v>
      </c>
      <c r="M1335" s="37" t="s">
        <v>104</v>
      </c>
      <c r="N1335" s="39" t="n">
        <v>43338</v>
      </c>
      <c r="O1335" s="41" t="s">
        <v>23</v>
      </c>
      <c r="P1335" s="41" t="s">
        <v>105</v>
      </c>
      <c r="Q1335" s="42"/>
      <c r="R1335" s="41"/>
      <c r="S1335" s="42"/>
      <c r="T1335" s="41"/>
    </row>
    <row r="1336" customFormat="false" ht="13.5" hidden="false" customHeight="true" outlineLevel="0" collapsed="false">
      <c r="A1336" s="37" t="n">
        <v>1333</v>
      </c>
      <c r="B1336" s="37" t="n">
        <v>3659</v>
      </c>
      <c r="C1336" s="38" t="s">
        <v>6127</v>
      </c>
      <c r="D1336" s="37" t="s">
        <v>100</v>
      </c>
      <c r="E1336" s="39" t="n">
        <v>26057</v>
      </c>
      <c r="F1336" s="37" t="n">
        <f aca="true">IFERROR(DATEDIF(E1336,TODAY(),"Y"),"")</f>
        <v>55</v>
      </c>
      <c r="G1336" s="40" t="s">
        <v>6128</v>
      </c>
      <c r="H1336" s="40" t="s">
        <v>6129</v>
      </c>
      <c r="I1336" s="38" t="s">
        <v>6130</v>
      </c>
      <c r="J1336" s="38" t="s">
        <v>16</v>
      </c>
      <c r="K1336" s="38" t="s">
        <v>6131</v>
      </c>
      <c r="L1336" s="38" t="s">
        <v>53</v>
      </c>
      <c r="M1336" s="37" t="s">
        <v>177</v>
      </c>
      <c r="N1336" s="39" t="n">
        <v>43338</v>
      </c>
      <c r="O1336" s="41" t="s">
        <v>23</v>
      </c>
      <c r="P1336" s="41" t="s">
        <v>105</v>
      </c>
      <c r="Q1336" s="42"/>
      <c r="R1336" s="41"/>
      <c r="S1336" s="42"/>
      <c r="T1336" s="41"/>
    </row>
    <row r="1337" customFormat="false" ht="13.5" hidden="false" customHeight="true" outlineLevel="0" collapsed="false">
      <c r="A1337" s="37" t="n">
        <v>1334</v>
      </c>
      <c r="B1337" s="37" t="n">
        <v>3660</v>
      </c>
      <c r="C1337" s="38" t="s">
        <v>6132</v>
      </c>
      <c r="D1337" s="37" t="s">
        <v>100</v>
      </c>
      <c r="E1337" s="39" t="n">
        <v>23670</v>
      </c>
      <c r="F1337" s="37" t="n">
        <f aca="true">IFERROR(DATEDIF(E1337,TODAY(),"Y"),"")</f>
        <v>61</v>
      </c>
      <c r="G1337" s="40" t="s">
        <v>6133</v>
      </c>
      <c r="H1337" s="40"/>
      <c r="I1337" s="38" t="s">
        <v>6134</v>
      </c>
      <c r="J1337" s="38" t="s">
        <v>18</v>
      </c>
      <c r="K1337" s="38" t="s">
        <v>6135</v>
      </c>
      <c r="L1337" s="38" t="s">
        <v>44</v>
      </c>
      <c r="M1337" s="37"/>
      <c r="N1337" s="39" t="n">
        <v>43339</v>
      </c>
      <c r="O1337" s="41" t="s">
        <v>23</v>
      </c>
      <c r="P1337" s="41" t="s">
        <v>105</v>
      </c>
      <c r="Q1337" s="42"/>
      <c r="R1337" s="41"/>
      <c r="S1337" s="42"/>
      <c r="T1337" s="41"/>
    </row>
    <row r="1338" customFormat="false" ht="13.5" hidden="false" customHeight="true" outlineLevel="0" collapsed="false">
      <c r="A1338" s="37" t="n">
        <v>1335</v>
      </c>
      <c r="B1338" s="37" t="n">
        <v>3662</v>
      </c>
      <c r="C1338" s="38" t="s">
        <v>6136</v>
      </c>
      <c r="D1338" s="37" t="s">
        <v>100</v>
      </c>
      <c r="E1338" s="39" t="n">
        <v>31156</v>
      </c>
      <c r="F1338" s="37" t="n">
        <f aca="true">IFERROR(DATEDIF(E1338,TODAY(),"Y"),"")</f>
        <v>41</v>
      </c>
      <c r="G1338" s="40" t="s">
        <v>6137</v>
      </c>
      <c r="H1338" s="40" t="s">
        <v>5536</v>
      </c>
      <c r="I1338" s="38" t="s">
        <v>6138</v>
      </c>
      <c r="J1338" s="38" t="s">
        <v>15</v>
      </c>
      <c r="K1338" s="38" t="s">
        <v>6139</v>
      </c>
      <c r="L1338" s="43" t="s">
        <v>58</v>
      </c>
      <c r="M1338" s="37" t="s">
        <v>120</v>
      </c>
      <c r="N1338" s="39" t="n">
        <v>43340</v>
      </c>
      <c r="O1338" s="41" t="s">
        <v>23</v>
      </c>
      <c r="P1338" s="41" t="s">
        <v>105</v>
      </c>
      <c r="Q1338" s="42"/>
      <c r="R1338" s="41"/>
      <c r="S1338" s="42"/>
      <c r="T1338" s="41"/>
    </row>
    <row r="1339" customFormat="false" ht="13.5" hidden="false" customHeight="true" outlineLevel="0" collapsed="false">
      <c r="A1339" s="37" t="n">
        <v>1336</v>
      </c>
      <c r="B1339" s="37" t="n">
        <v>3663</v>
      </c>
      <c r="C1339" s="38" t="s">
        <v>6140</v>
      </c>
      <c r="D1339" s="37" t="s">
        <v>100</v>
      </c>
      <c r="E1339" s="39" t="n">
        <v>30268</v>
      </c>
      <c r="F1339" s="37" t="n">
        <f aca="true">IFERROR(DATEDIF(E1339,TODAY(),"Y"),"")</f>
        <v>43</v>
      </c>
      <c r="G1339" s="40" t="s">
        <v>6141</v>
      </c>
      <c r="H1339" s="40" t="s">
        <v>6142</v>
      </c>
      <c r="I1339" s="38" t="s">
        <v>6143</v>
      </c>
      <c r="J1339" s="38"/>
      <c r="K1339" s="38" t="s">
        <v>6144</v>
      </c>
      <c r="L1339" s="38" t="s">
        <v>51</v>
      </c>
      <c r="M1339" s="37" t="s">
        <v>104</v>
      </c>
      <c r="N1339" s="39" t="n">
        <v>43344</v>
      </c>
      <c r="O1339" s="41" t="s">
        <v>23</v>
      </c>
      <c r="P1339" s="41" t="s">
        <v>105</v>
      </c>
      <c r="Q1339" s="42"/>
      <c r="R1339" s="41"/>
      <c r="S1339" s="42"/>
      <c r="T1339" s="41"/>
    </row>
    <row r="1340" customFormat="false" ht="13.5" hidden="false" customHeight="true" outlineLevel="0" collapsed="false">
      <c r="A1340" s="37" t="n">
        <v>1337</v>
      </c>
      <c r="B1340" s="37" t="n">
        <v>3664</v>
      </c>
      <c r="C1340" s="38" t="s">
        <v>6145</v>
      </c>
      <c r="D1340" s="37" t="s">
        <v>100</v>
      </c>
      <c r="E1340" s="39" t="n">
        <v>29549</v>
      </c>
      <c r="F1340" s="37" t="n">
        <f aca="true">IFERROR(DATEDIF(E1340,TODAY(),"Y"),"")</f>
        <v>45</v>
      </c>
      <c r="G1340" s="40" t="s">
        <v>6146</v>
      </c>
      <c r="H1340" s="40" t="s">
        <v>6147</v>
      </c>
      <c r="I1340" s="38" t="s">
        <v>6148</v>
      </c>
      <c r="J1340" s="38" t="s">
        <v>16</v>
      </c>
      <c r="K1340" s="38" t="s">
        <v>6149</v>
      </c>
      <c r="L1340" s="38" t="s">
        <v>55</v>
      </c>
      <c r="M1340" s="37" t="s">
        <v>120</v>
      </c>
      <c r="N1340" s="39" t="n">
        <v>43345</v>
      </c>
      <c r="O1340" s="41" t="s">
        <v>23</v>
      </c>
      <c r="P1340" s="41" t="s">
        <v>105</v>
      </c>
      <c r="Q1340" s="42"/>
      <c r="R1340" s="41"/>
      <c r="S1340" s="42"/>
      <c r="T1340" s="41"/>
    </row>
    <row r="1341" customFormat="false" ht="13.5" hidden="false" customHeight="true" outlineLevel="0" collapsed="false">
      <c r="A1341" s="37" t="n">
        <v>1338</v>
      </c>
      <c r="B1341" s="37" t="n">
        <v>3665</v>
      </c>
      <c r="C1341" s="38" t="s">
        <v>6150</v>
      </c>
      <c r="D1341" s="37" t="s">
        <v>100</v>
      </c>
      <c r="E1341" s="39" t="n">
        <v>24228</v>
      </c>
      <c r="F1341" s="37" t="n">
        <f aca="true">IFERROR(DATEDIF(E1341,TODAY(),"Y"),"")</f>
        <v>60</v>
      </c>
      <c r="G1341" s="40" t="s">
        <v>6151</v>
      </c>
      <c r="H1341" s="40" t="s">
        <v>6152</v>
      </c>
      <c r="I1341" s="38" t="s">
        <v>6153</v>
      </c>
      <c r="J1341" s="38" t="s">
        <v>16</v>
      </c>
      <c r="K1341" s="38" t="s">
        <v>6154</v>
      </c>
      <c r="L1341" s="38" t="s">
        <v>55</v>
      </c>
      <c r="M1341" s="37"/>
      <c r="N1341" s="39" t="n">
        <v>43351</v>
      </c>
      <c r="O1341" s="41" t="s">
        <v>23</v>
      </c>
      <c r="P1341" s="41" t="s">
        <v>105</v>
      </c>
      <c r="Q1341" s="42"/>
      <c r="R1341" s="41"/>
      <c r="S1341" s="42"/>
      <c r="T1341" s="41"/>
    </row>
    <row r="1342" customFormat="false" ht="13.5" hidden="false" customHeight="true" outlineLevel="0" collapsed="false">
      <c r="A1342" s="37" t="n">
        <v>1339</v>
      </c>
      <c r="B1342" s="37" t="n">
        <v>3666</v>
      </c>
      <c r="C1342" s="38" t="s">
        <v>6155</v>
      </c>
      <c r="D1342" s="37" t="s">
        <v>100</v>
      </c>
      <c r="E1342" s="39" t="n">
        <v>26085</v>
      </c>
      <c r="F1342" s="37" t="n">
        <f aca="true">IFERROR(DATEDIF(E1342,TODAY(),"Y"),"")</f>
        <v>55</v>
      </c>
      <c r="G1342" s="40" t="s">
        <v>6156</v>
      </c>
      <c r="H1342" s="40"/>
      <c r="I1342" s="38" t="s">
        <v>6157</v>
      </c>
      <c r="J1342" s="38" t="s">
        <v>16</v>
      </c>
      <c r="K1342" s="38" t="s">
        <v>6158</v>
      </c>
      <c r="L1342" s="38" t="s">
        <v>50</v>
      </c>
      <c r="M1342" s="37" t="s">
        <v>120</v>
      </c>
      <c r="N1342" s="39" t="n">
        <v>43351</v>
      </c>
      <c r="O1342" s="41" t="s">
        <v>23</v>
      </c>
      <c r="P1342" s="41" t="s">
        <v>105</v>
      </c>
      <c r="Q1342" s="42"/>
      <c r="R1342" s="41"/>
      <c r="S1342" s="42"/>
      <c r="T1342" s="41"/>
    </row>
    <row r="1343" customFormat="false" ht="13.5" hidden="false" customHeight="true" outlineLevel="0" collapsed="false">
      <c r="A1343" s="37" t="n">
        <v>1340</v>
      </c>
      <c r="B1343" s="37" t="n">
        <v>3667</v>
      </c>
      <c r="C1343" s="38" t="s">
        <v>6159</v>
      </c>
      <c r="D1343" s="37" t="s">
        <v>100</v>
      </c>
      <c r="E1343" s="39" t="n">
        <v>26216</v>
      </c>
      <c r="F1343" s="37" t="n">
        <f aca="true">IFERROR(DATEDIF(E1343,TODAY(),"Y"),"")</f>
        <v>54</v>
      </c>
      <c r="G1343" s="40" t="s">
        <v>6160</v>
      </c>
      <c r="H1343" s="40"/>
      <c r="I1343" s="38" t="s">
        <v>6161</v>
      </c>
      <c r="J1343" s="38" t="s">
        <v>15</v>
      </c>
      <c r="K1343" s="38" t="s">
        <v>6162</v>
      </c>
      <c r="L1343" s="38" t="s">
        <v>47</v>
      </c>
      <c r="M1343" s="37"/>
      <c r="N1343" s="39" t="n">
        <v>43352</v>
      </c>
      <c r="O1343" s="41" t="s">
        <v>23</v>
      </c>
      <c r="P1343" s="41" t="s">
        <v>105</v>
      </c>
      <c r="Q1343" s="42"/>
      <c r="R1343" s="41"/>
      <c r="S1343" s="42"/>
      <c r="T1343" s="41"/>
    </row>
    <row r="1344" customFormat="false" ht="13.5" hidden="false" customHeight="true" outlineLevel="0" collapsed="false">
      <c r="A1344" s="37" t="n">
        <v>1341</v>
      </c>
      <c r="B1344" s="37" t="n">
        <v>3668</v>
      </c>
      <c r="C1344" s="38" t="s">
        <v>6163</v>
      </c>
      <c r="D1344" s="37" t="s">
        <v>100</v>
      </c>
      <c r="E1344" s="39" t="n">
        <v>24257</v>
      </c>
      <c r="F1344" s="37" t="n">
        <f aca="true">IFERROR(DATEDIF(E1344,TODAY(),"Y"),"")</f>
        <v>60</v>
      </c>
      <c r="G1344" s="40" t="s">
        <v>6164</v>
      </c>
      <c r="H1344" s="40" t="s">
        <v>6165</v>
      </c>
      <c r="I1344" s="38" t="s">
        <v>6166</v>
      </c>
      <c r="J1344" s="38" t="s">
        <v>16</v>
      </c>
      <c r="K1344" s="38" t="s">
        <v>6167</v>
      </c>
      <c r="L1344" s="38" t="s">
        <v>46</v>
      </c>
      <c r="M1344" s="37"/>
      <c r="N1344" s="39" t="n">
        <v>43359</v>
      </c>
      <c r="O1344" s="41" t="s">
        <v>23</v>
      </c>
      <c r="P1344" s="41" t="s">
        <v>105</v>
      </c>
      <c r="Q1344" s="42"/>
      <c r="R1344" s="41"/>
      <c r="S1344" s="42"/>
      <c r="T1344" s="41"/>
    </row>
    <row r="1345" customFormat="false" ht="13.5" hidden="false" customHeight="true" outlineLevel="0" collapsed="false">
      <c r="A1345" s="37" t="n">
        <v>1342</v>
      </c>
      <c r="B1345" s="37" t="n">
        <v>3669</v>
      </c>
      <c r="C1345" s="38" t="s">
        <v>6168</v>
      </c>
      <c r="D1345" s="37" t="s">
        <v>100</v>
      </c>
      <c r="E1345" s="39" t="n">
        <v>28009</v>
      </c>
      <c r="F1345" s="37" t="n">
        <f aca="true">IFERROR(DATEDIF(E1345,TODAY(),"Y"),"")</f>
        <v>49</v>
      </c>
      <c r="G1345" s="40" t="s">
        <v>6169</v>
      </c>
      <c r="H1345" s="40" t="s">
        <v>6170</v>
      </c>
      <c r="I1345" s="38" t="s">
        <v>6171</v>
      </c>
      <c r="J1345" s="38" t="s">
        <v>16</v>
      </c>
      <c r="K1345" s="38" t="s">
        <v>6172</v>
      </c>
      <c r="L1345" s="38" t="s">
        <v>43</v>
      </c>
      <c r="M1345" s="37" t="s">
        <v>120</v>
      </c>
      <c r="N1345" s="39" t="n">
        <v>43365</v>
      </c>
      <c r="O1345" s="41" t="s">
        <v>23</v>
      </c>
      <c r="P1345" s="41" t="s">
        <v>105</v>
      </c>
      <c r="Q1345" s="42"/>
      <c r="R1345" s="41"/>
      <c r="S1345" s="42"/>
      <c r="T1345" s="41"/>
    </row>
    <row r="1346" customFormat="false" ht="13.5" hidden="false" customHeight="true" outlineLevel="0" collapsed="false">
      <c r="A1346" s="37" t="n">
        <v>1343</v>
      </c>
      <c r="B1346" s="37" t="n">
        <v>3670</v>
      </c>
      <c r="C1346" s="38" t="s">
        <v>6173</v>
      </c>
      <c r="D1346" s="37" t="s">
        <v>100</v>
      </c>
      <c r="E1346" s="39" t="n">
        <v>25562</v>
      </c>
      <c r="F1346" s="37" t="n">
        <f aca="true">IFERROR(DATEDIF(E1346,TODAY(),"Y"),"")</f>
        <v>56</v>
      </c>
      <c r="G1346" s="40" t="s">
        <v>6174</v>
      </c>
      <c r="H1346" s="40" t="s">
        <v>6175</v>
      </c>
      <c r="I1346" s="38" t="s">
        <v>6176</v>
      </c>
      <c r="J1346" s="38" t="s">
        <v>15</v>
      </c>
      <c r="K1346" s="38" t="s">
        <v>6177</v>
      </c>
      <c r="L1346" s="38" t="s">
        <v>51</v>
      </c>
      <c r="M1346" s="37" t="s">
        <v>231</v>
      </c>
      <c r="N1346" s="39" t="n">
        <v>43365</v>
      </c>
      <c r="O1346" s="41" t="s">
        <v>23</v>
      </c>
      <c r="P1346" s="41" t="s">
        <v>105</v>
      </c>
      <c r="Q1346" s="42"/>
      <c r="R1346" s="41"/>
      <c r="S1346" s="42"/>
      <c r="T1346" s="41"/>
    </row>
    <row r="1347" customFormat="false" ht="13.5" hidden="false" customHeight="true" outlineLevel="0" collapsed="false">
      <c r="A1347" s="37" t="n">
        <v>1344</v>
      </c>
      <c r="B1347" s="37" t="n">
        <v>3672</v>
      </c>
      <c r="C1347" s="38" t="s">
        <v>6178</v>
      </c>
      <c r="D1347" s="37" t="s">
        <v>100</v>
      </c>
      <c r="E1347" s="39" t="n">
        <v>29353</v>
      </c>
      <c r="F1347" s="37" t="n">
        <f aca="true">IFERROR(DATEDIF(E1347,TODAY(),"Y"),"")</f>
        <v>46</v>
      </c>
      <c r="G1347" s="40" t="s">
        <v>6179</v>
      </c>
      <c r="H1347" s="40"/>
      <c r="I1347" s="38" t="s">
        <v>6180</v>
      </c>
      <c r="J1347" s="38" t="s">
        <v>16</v>
      </c>
      <c r="K1347" s="38" t="s">
        <v>6181</v>
      </c>
      <c r="L1347" s="38" t="s">
        <v>46</v>
      </c>
      <c r="M1347" s="37" t="s">
        <v>120</v>
      </c>
      <c r="N1347" s="39" t="n">
        <v>43368</v>
      </c>
      <c r="O1347" s="41" t="s">
        <v>23</v>
      </c>
      <c r="P1347" s="41" t="s">
        <v>105</v>
      </c>
      <c r="Q1347" s="42"/>
      <c r="R1347" s="41"/>
      <c r="S1347" s="42"/>
      <c r="T1347" s="41"/>
    </row>
    <row r="1348" customFormat="false" ht="13.5" hidden="false" customHeight="true" outlineLevel="0" collapsed="false">
      <c r="A1348" s="37" t="n">
        <v>1345</v>
      </c>
      <c r="B1348" s="37" t="n">
        <v>3673</v>
      </c>
      <c r="C1348" s="38" t="s">
        <v>6182</v>
      </c>
      <c r="D1348" s="37" t="s">
        <v>100</v>
      </c>
      <c r="E1348" s="39" t="n">
        <v>18769</v>
      </c>
      <c r="F1348" s="37" t="n">
        <f aca="true">IFERROR(DATEDIF(E1348,TODAY(),"Y"),"")</f>
        <v>75</v>
      </c>
      <c r="G1348" s="40" t="s">
        <v>6183</v>
      </c>
      <c r="H1348" s="40"/>
      <c r="I1348" s="38" t="s">
        <v>6184</v>
      </c>
      <c r="J1348" s="38" t="s">
        <v>16</v>
      </c>
      <c r="K1348" s="38" t="s">
        <v>6185</v>
      </c>
      <c r="L1348" s="38" t="s">
        <v>54</v>
      </c>
      <c r="M1348" s="37" t="s">
        <v>120</v>
      </c>
      <c r="N1348" s="39" t="n">
        <v>43372</v>
      </c>
      <c r="O1348" s="41" t="s">
        <v>23</v>
      </c>
      <c r="P1348" s="41" t="s">
        <v>105</v>
      </c>
      <c r="Q1348" s="42"/>
      <c r="R1348" s="41"/>
      <c r="S1348" s="42"/>
      <c r="T1348" s="41"/>
    </row>
    <row r="1349" customFormat="false" ht="13.5" hidden="false" customHeight="true" outlineLevel="0" collapsed="false">
      <c r="A1349" s="37" t="n">
        <v>1346</v>
      </c>
      <c r="B1349" s="37" t="n">
        <v>3674</v>
      </c>
      <c r="C1349" s="38" t="s">
        <v>3486</v>
      </c>
      <c r="D1349" s="37" t="s">
        <v>100</v>
      </c>
      <c r="E1349" s="39" t="n">
        <v>26419</v>
      </c>
      <c r="F1349" s="37" t="n">
        <f aca="true">IFERROR(DATEDIF(E1349,TODAY(),"Y"),"")</f>
        <v>54</v>
      </c>
      <c r="G1349" s="40" t="s">
        <v>6186</v>
      </c>
      <c r="H1349" s="40" t="s">
        <v>6187</v>
      </c>
      <c r="I1349" s="38" t="s">
        <v>6188</v>
      </c>
      <c r="J1349" s="38" t="s">
        <v>15</v>
      </c>
      <c r="K1349" s="38" t="s">
        <v>6189</v>
      </c>
      <c r="L1349" s="38" t="s">
        <v>43</v>
      </c>
      <c r="M1349" s="37" t="s">
        <v>104</v>
      </c>
      <c r="N1349" s="39" t="n">
        <v>43383</v>
      </c>
      <c r="O1349" s="41" t="s">
        <v>23</v>
      </c>
      <c r="P1349" s="41" t="s">
        <v>105</v>
      </c>
      <c r="Q1349" s="42"/>
      <c r="R1349" s="41"/>
      <c r="S1349" s="42"/>
      <c r="T1349" s="41"/>
    </row>
    <row r="1350" customFormat="false" ht="13.5" hidden="false" customHeight="true" outlineLevel="0" collapsed="false">
      <c r="A1350" s="37" t="n">
        <v>1347</v>
      </c>
      <c r="B1350" s="37" t="n">
        <v>3675</v>
      </c>
      <c r="C1350" s="38" t="s">
        <v>6190</v>
      </c>
      <c r="D1350" s="37" t="s">
        <v>100</v>
      </c>
      <c r="E1350" s="39" t="n">
        <v>26811</v>
      </c>
      <c r="F1350" s="37" t="n">
        <f aca="true">IFERROR(DATEDIF(E1350,TODAY(),"Y"),"")</f>
        <v>53</v>
      </c>
      <c r="G1350" s="40" t="s">
        <v>6191</v>
      </c>
      <c r="H1350" s="40" t="s">
        <v>6192</v>
      </c>
      <c r="I1350" s="38" t="s">
        <v>6193</v>
      </c>
      <c r="J1350" s="38" t="s">
        <v>16</v>
      </c>
      <c r="K1350" s="38" t="s">
        <v>6194</v>
      </c>
      <c r="L1350" s="38" t="s">
        <v>52</v>
      </c>
      <c r="M1350" s="37" t="s">
        <v>104</v>
      </c>
      <c r="N1350" s="39" t="n">
        <v>43383</v>
      </c>
      <c r="O1350" s="41" t="s">
        <v>23</v>
      </c>
      <c r="P1350" s="41" t="s">
        <v>105</v>
      </c>
      <c r="Q1350" s="42"/>
      <c r="R1350" s="41"/>
      <c r="S1350" s="42"/>
      <c r="T1350" s="41"/>
    </row>
    <row r="1351" customFormat="false" ht="13.5" hidden="false" customHeight="true" outlineLevel="0" collapsed="false">
      <c r="A1351" s="37" t="n">
        <v>1348</v>
      </c>
      <c r="B1351" s="37" t="n">
        <v>3676</v>
      </c>
      <c r="C1351" s="38" t="s">
        <v>6195</v>
      </c>
      <c r="D1351" s="37" t="s">
        <v>100</v>
      </c>
      <c r="E1351" s="39" t="n">
        <v>26746</v>
      </c>
      <c r="F1351" s="37" t="n">
        <f aca="true">IFERROR(DATEDIF(E1351,TODAY(),"Y"),"")</f>
        <v>53</v>
      </c>
      <c r="G1351" s="40" t="s">
        <v>6196</v>
      </c>
      <c r="H1351" s="40"/>
      <c r="I1351" s="38" t="s">
        <v>6197</v>
      </c>
      <c r="J1351" s="38" t="s">
        <v>15</v>
      </c>
      <c r="K1351" s="38" t="s">
        <v>6198</v>
      </c>
      <c r="L1351" s="38" t="s">
        <v>49</v>
      </c>
      <c r="M1351" s="37" t="s">
        <v>104</v>
      </c>
      <c r="N1351" s="39" t="n">
        <v>43387</v>
      </c>
      <c r="O1351" s="41" t="s">
        <v>23</v>
      </c>
      <c r="P1351" s="41" t="s">
        <v>105</v>
      </c>
      <c r="Q1351" s="42"/>
      <c r="R1351" s="41"/>
      <c r="S1351" s="42"/>
      <c r="T1351" s="41"/>
    </row>
    <row r="1352" customFormat="false" ht="13.5" hidden="false" customHeight="true" outlineLevel="0" collapsed="false">
      <c r="A1352" s="37" t="n">
        <v>1349</v>
      </c>
      <c r="B1352" s="37" t="n">
        <v>3677</v>
      </c>
      <c r="C1352" s="38" t="s">
        <v>6199</v>
      </c>
      <c r="D1352" s="37" t="s">
        <v>100</v>
      </c>
      <c r="E1352" s="39" t="n">
        <v>28850</v>
      </c>
      <c r="F1352" s="37" t="n">
        <f aca="true">IFERROR(DATEDIF(E1352,TODAY(),"Y"),"")</f>
        <v>47</v>
      </c>
      <c r="G1352" s="40" t="s">
        <v>6200</v>
      </c>
      <c r="H1352" s="40"/>
      <c r="I1352" s="38" t="s">
        <v>6201</v>
      </c>
      <c r="J1352" s="38" t="s">
        <v>16</v>
      </c>
      <c r="K1352" s="38" t="s">
        <v>6202</v>
      </c>
      <c r="L1352" s="38" t="s">
        <v>53</v>
      </c>
      <c r="M1352" s="37" t="s">
        <v>120</v>
      </c>
      <c r="N1352" s="39" t="n">
        <v>43389</v>
      </c>
      <c r="O1352" s="41" t="s">
        <v>23</v>
      </c>
      <c r="P1352" s="41" t="s">
        <v>105</v>
      </c>
      <c r="Q1352" s="42"/>
      <c r="R1352" s="41"/>
      <c r="S1352" s="42"/>
      <c r="T1352" s="41"/>
    </row>
    <row r="1353" customFormat="false" ht="13.5" hidden="false" customHeight="true" outlineLevel="0" collapsed="false">
      <c r="A1353" s="37" t="n">
        <v>1350</v>
      </c>
      <c r="B1353" s="37" t="n">
        <v>3678</v>
      </c>
      <c r="C1353" s="38" t="s">
        <v>6203</v>
      </c>
      <c r="D1353" s="37" t="s">
        <v>100</v>
      </c>
      <c r="E1353" s="39" t="n">
        <v>29157</v>
      </c>
      <c r="F1353" s="37" t="n">
        <f aca="true">IFERROR(DATEDIF(E1353,TODAY(),"Y"),"")</f>
        <v>46</v>
      </c>
      <c r="G1353" s="40" t="s">
        <v>6204</v>
      </c>
      <c r="H1353" s="40" t="s">
        <v>6205</v>
      </c>
      <c r="I1353" s="38" t="s">
        <v>6206</v>
      </c>
      <c r="J1353" s="38" t="s">
        <v>16</v>
      </c>
      <c r="K1353" s="38" t="s">
        <v>6207</v>
      </c>
      <c r="L1353" s="38" t="s">
        <v>53</v>
      </c>
      <c r="M1353" s="37" t="s">
        <v>104</v>
      </c>
      <c r="N1353" s="39" t="n">
        <v>43393</v>
      </c>
      <c r="O1353" s="41" t="s">
        <v>23</v>
      </c>
      <c r="P1353" s="41" t="s">
        <v>105</v>
      </c>
      <c r="Q1353" s="42"/>
      <c r="R1353" s="41"/>
      <c r="S1353" s="42"/>
      <c r="T1353" s="41"/>
    </row>
    <row r="1354" customFormat="false" ht="13.5" hidden="false" customHeight="true" outlineLevel="0" collapsed="false">
      <c r="A1354" s="37" t="n">
        <v>1351</v>
      </c>
      <c r="B1354" s="37" t="n">
        <v>3679</v>
      </c>
      <c r="C1354" s="38" t="s">
        <v>6208</v>
      </c>
      <c r="D1354" s="37" t="s">
        <v>100</v>
      </c>
      <c r="E1354" s="39" t="n">
        <v>30467</v>
      </c>
      <c r="F1354" s="37" t="n">
        <f aca="true">IFERROR(DATEDIF(E1354,TODAY(),"Y"),"")</f>
        <v>43</v>
      </c>
      <c r="G1354" s="40" t="s">
        <v>6209</v>
      </c>
      <c r="H1354" s="40" t="s">
        <v>6210</v>
      </c>
      <c r="I1354" s="38" t="s">
        <v>6211</v>
      </c>
      <c r="J1354" s="38" t="s">
        <v>16</v>
      </c>
      <c r="K1354" s="38" t="s">
        <v>6212</v>
      </c>
      <c r="L1354" s="38" t="s">
        <v>54</v>
      </c>
      <c r="M1354" s="37" t="s">
        <v>120</v>
      </c>
      <c r="N1354" s="39" t="n">
        <v>43401</v>
      </c>
      <c r="O1354" s="41" t="s">
        <v>23</v>
      </c>
      <c r="P1354" s="41" t="s">
        <v>105</v>
      </c>
      <c r="Q1354" s="42"/>
      <c r="R1354" s="41"/>
      <c r="S1354" s="42"/>
      <c r="T1354" s="41"/>
    </row>
    <row r="1355" customFormat="false" ht="13.5" hidden="false" customHeight="true" outlineLevel="0" collapsed="false">
      <c r="A1355" s="37" t="n">
        <v>1352</v>
      </c>
      <c r="B1355" s="37" t="n">
        <v>3680</v>
      </c>
      <c r="C1355" s="38" t="s">
        <v>6213</v>
      </c>
      <c r="D1355" s="37" t="s">
        <v>100</v>
      </c>
      <c r="E1355" s="39" t="n">
        <v>21862</v>
      </c>
      <c r="F1355" s="37" t="n">
        <f aca="true">IFERROR(DATEDIF(E1355,TODAY(),"Y"),"")</f>
        <v>66</v>
      </c>
      <c r="G1355" s="40" t="s">
        <v>6214</v>
      </c>
      <c r="H1355" s="40" t="s">
        <v>6215</v>
      </c>
      <c r="I1355" s="38" t="s">
        <v>6216</v>
      </c>
      <c r="J1355" s="38" t="s">
        <v>15</v>
      </c>
      <c r="K1355" s="38" t="s">
        <v>6217</v>
      </c>
      <c r="L1355" s="38" t="s">
        <v>46</v>
      </c>
      <c r="M1355" s="37" t="s">
        <v>177</v>
      </c>
      <c r="N1355" s="39" t="n">
        <v>43402</v>
      </c>
      <c r="O1355" s="41" t="s">
        <v>23</v>
      </c>
      <c r="P1355" s="41" t="s">
        <v>105</v>
      </c>
      <c r="Q1355" s="42"/>
      <c r="R1355" s="41"/>
      <c r="S1355" s="42"/>
      <c r="T1355" s="41"/>
    </row>
    <row r="1356" customFormat="false" ht="13.5" hidden="false" customHeight="true" outlineLevel="0" collapsed="false">
      <c r="A1356" s="37" t="n">
        <v>1353</v>
      </c>
      <c r="B1356" s="37" t="n">
        <v>3681</v>
      </c>
      <c r="C1356" s="38" t="s">
        <v>6218</v>
      </c>
      <c r="D1356" s="37" t="s">
        <v>100</v>
      </c>
      <c r="E1356" s="39" t="n">
        <v>30736</v>
      </c>
      <c r="F1356" s="37" t="n">
        <f aca="true">IFERROR(DATEDIF(E1356,TODAY(),"Y"),"")</f>
        <v>42</v>
      </c>
      <c r="G1356" s="40" t="s">
        <v>6219</v>
      </c>
      <c r="H1356" s="40" t="s">
        <v>6220</v>
      </c>
      <c r="I1356" s="38" t="s">
        <v>6221</v>
      </c>
      <c r="J1356" s="38" t="s">
        <v>15</v>
      </c>
      <c r="K1356" s="38" t="s">
        <v>6222</v>
      </c>
      <c r="L1356" s="38" t="s">
        <v>48</v>
      </c>
      <c r="M1356" s="37" t="s">
        <v>788</v>
      </c>
      <c r="N1356" s="39" t="n">
        <v>43403</v>
      </c>
      <c r="O1356" s="41" t="s">
        <v>23</v>
      </c>
      <c r="P1356" s="41" t="s">
        <v>105</v>
      </c>
      <c r="Q1356" s="42"/>
      <c r="R1356" s="41"/>
      <c r="S1356" s="42"/>
      <c r="T1356" s="41"/>
    </row>
    <row r="1357" customFormat="false" ht="13.5" hidden="false" customHeight="true" outlineLevel="0" collapsed="false">
      <c r="A1357" s="37" t="n">
        <v>1354</v>
      </c>
      <c r="B1357" s="37" t="n">
        <v>3682</v>
      </c>
      <c r="C1357" s="38" t="s">
        <v>6223</v>
      </c>
      <c r="D1357" s="37" t="s">
        <v>100</v>
      </c>
      <c r="E1357" s="39" t="n">
        <v>28328</v>
      </c>
      <c r="F1357" s="37" t="n">
        <f aca="true">IFERROR(DATEDIF(E1357,TODAY(),"Y"),"")</f>
        <v>49</v>
      </c>
      <c r="G1357" s="40" t="s">
        <v>6224</v>
      </c>
      <c r="H1357" s="40" t="s">
        <v>6225</v>
      </c>
      <c r="I1357" s="38" t="s">
        <v>6226</v>
      </c>
      <c r="J1357" s="38" t="s">
        <v>15</v>
      </c>
      <c r="K1357" s="38" t="s">
        <v>6227</v>
      </c>
      <c r="L1357" s="38" t="s">
        <v>55</v>
      </c>
      <c r="M1357" s="37" t="s">
        <v>120</v>
      </c>
      <c r="N1357" s="39" t="n">
        <v>43407</v>
      </c>
      <c r="O1357" s="41" t="s">
        <v>23</v>
      </c>
      <c r="P1357" s="41" t="s">
        <v>105</v>
      </c>
      <c r="Q1357" s="42"/>
      <c r="R1357" s="41"/>
      <c r="S1357" s="42"/>
      <c r="T1357" s="41"/>
    </row>
    <row r="1358" customFormat="false" ht="13.5" hidden="false" customHeight="true" outlineLevel="0" collapsed="false">
      <c r="A1358" s="37" t="n">
        <v>1355</v>
      </c>
      <c r="B1358" s="37" t="n">
        <v>3683</v>
      </c>
      <c r="C1358" s="38" t="s">
        <v>6228</v>
      </c>
      <c r="D1358" s="37" t="s">
        <v>100</v>
      </c>
      <c r="E1358" s="39" t="n">
        <v>31742</v>
      </c>
      <c r="F1358" s="37" t="n">
        <f aca="true">IFERROR(DATEDIF(E1358,TODAY(),"Y"),"")</f>
        <v>39</v>
      </c>
      <c r="G1358" s="40" t="s">
        <v>6229</v>
      </c>
      <c r="H1358" s="40" t="s">
        <v>6230</v>
      </c>
      <c r="I1358" s="38" t="s">
        <v>6231</v>
      </c>
      <c r="J1358" s="38" t="s">
        <v>16</v>
      </c>
      <c r="K1358" s="38" t="s">
        <v>6232</v>
      </c>
      <c r="L1358" s="38" t="s">
        <v>46</v>
      </c>
      <c r="M1358" s="37" t="s">
        <v>120</v>
      </c>
      <c r="N1358" s="39" t="n">
        <v>43409</v>
      </c>
      <c r="O1358" s="41" t="s">
        <v>23</v>
      </c>
      <c r="P1358" s="41" t="s">
        <v>105</v>
      </c>
      <c r="Q1358" s="42"/>
      <c r="R1358" s="41"/>
      <c r="S1358" s="42"/>
      <c r="T1358" s="41"/>
    </row>
    <row r="1359" customFormat="false" ht="13.5" hidden="false" customHeight="true" outlineLevel="0" collapsed="false">
      <c r="A1359" s="37" t="n">
        <v>1356</v>
      </c>
      <c r="B1359" s="37" t="n">
        <v>3684</v>
      </c>
      <c r="C1359" s="38" t="s">
        <v>6233</v>
      </c>
      <c r="D1359" s="37" t="s">
        <v>100</v>
      </c>
      <c r="E1359" s="39" t="n">
        <v>26439</v>
      </c>
      <c r="F1359" s="37" t="n">
        <f aca="true">IFERROR(DATEDIF(E1359,TODAY(),"Y"),"")</f>
        <v>54</v>
      </c>
      <c r="G1359" s="40" t="s">
        <v>6234</v>
      </c>
      <c r="H1359" s="40"/>
      <c r="I1359" s="38" t="s">
        <v>6235</v>
      </c>
      <c r="J1359" s="38"/>
      <c r="K1359" s="38" t="s">
        <v>6236</v>
      </c>
      <c r="L1359" s="38" t="s">
        <v>46</v>
      </c>
      <c r="M1359" s="37" t="s">
        <v>493</v>
      </c>
      <c r="N1359" s="39" t="n">
        <v>43409</v>
      </c>
      <c r="O1359" s="41" t="s">
        <v>23</v>
      </c>
      <c r="P1359" s="41" t="s">
        <v>105</v>
      </c>
      <c r="Q1359" s="42"/>
      <c r="R1359" s="41"/>
      <c r="S1359" s="42"/>
      <c r="T1359" s="41"/>
    </row>
    <row r="1360" customFormat="false" ht="13.5" hidden="false" customHeight="true" outlineLevel="0" collapsed="false">
      <c r="A1360" s="37" t="n">
        <v>1357</v>
      </c>
      <c r="B1360" s="37" t="n">
        <v>3685</v>
      </c>
      <c r="C1360" s="38" t="s">
        <v>6237</v>
      </c>
      <c r="D1360" s="37" t="s">
        <v>100</v>
      </c>
      <c r="E1360" s="39" t="n">
        <v>32165</v>
      </c>
      <c r="F1360" s="37" t="n">
        <f aca="true">IFERROR(DATEDIF(E1360,TODAY(),"Y"),"")</f>
        <v>38</v>
      </c>
      <c r="G1360" s="40" t="s">
        <v>6238</v>
      </c>
      <c r="H1360" s="40" t="s">
        <v>6239</v>
      </c>
      <c r="I1360" s="38" t="s">
        <v>6240</v>
      </c>
      <c r="J1360" s="38" t="s">
        <v>15</v>
      </c>
      <c r="K1360" s="38" t="s">
        <v>6241</v>
      </c>
      <c r="L1360" s="38" t="s">
        <v>53</v>
      </c>
      <c r="M1360" s="37" t="s">
        <v>120</v>
      </c>
      <c r="N1360" s="39" t="n">
        <v>43416</v>
      </c>
      <c r="O1360" s="41" t="s">
        <v>23</v>
      </c>
      <c r="P1360" s="41" t="s">
        <v>105</v>
      </c>
      <c r="Q1360" s="42"/>
      <c r="R1360" s="41"/>
      <c r="S1360" s="42"/>
      <c r="T1360" s="41"/>
    </row>
    <row r="1361" customFormat="false" ht="13.5" hidden="false" customHeight="true" outlineLevel="0" collapsed="false">
      <c r="A1361" s="37" t="n">
        <v>1358</v>
      </c>
      <c r="B1361" s="37" t="n">
        <v>3687</v>
      </c>
      <c r="C1361" s="38" t="s">
        <v>6242</v>
      </c>
      <c r="D1361" s="37" t="s">
        <v>100</v>
      </c>
      <c r="E1361" s="39" t="n">
        <v>27424</v>
      </c>
      <c r="F1361" s="37" t="n">
        <f aca="true">IFERROR(DATEDIF(E1361,TODAY(),"Y"),"")</f>
        <v>51</v>
      </c>
      <c r="G1361" s="40" t="s">
        <v>6243</v>
      </c>
      <c r="H1361" s="40"/>
      <c r="I1361" s="38" t="s">
        <v>6244</v>
      </c>
      <c r="J1361" s="38" t="s">
        <v>18</v>
      </c>
      <c r="K1361" s="38" t="s">
        <v>6245</v>
      </c>
      <c r="L1361" s="38" t="s">
        <v>55</v>
      </c>
      <c r="M1361" s="37" t="s">
        <v>120</v>
      </c>
      <c r="N1361" s="39" t="n">
        <v>43428</v>
      </c>
      <c r="O1361" s="41" t="s">
        <v>23</v>
      </c>
      <c r="P1361" s="41" t="s">
        <v>105</v>
      </c>
      <c r="Q1361" s="42"/>
      <c r="R1361" s="41"/>
      <c r="S1361" s="42"/>
      <c r="T1361" s="41"/>
    </row>
    <row r="1362" customFormat="false" ht="13.5" hidden="false" customHeight="true" outlineLevel="0" collapsed="false">
      <c r="A1362" s="37" t="n">
        <v>1359</v>
      </c>
      <c r="B1362" s="37" t="n">
        <v>3688</v>
      </c>
      <c r="C1362" s="38" t="s">
        <v>6246</v>
      </c>
      <c r="D1362" s="37" t="s">
        <v>100</v>
      </c>
      <c r="E1362" s="39" t="n">
        <v>28275</v>
      </c>
      <c r="F1362" s="37" t="n">
        <f aca="true">IFERROR(DATEDIF(E1362,TODAY(),"Y"),"")</f>
        <v>49</v>
      </c>
      <c r="G1362" s="40" t="s">
        <v>6247</v>
      </c>
      <c r="H1362" s="40"/>
      <c r="I1362" s="38" t="s">
        <v>6248</v>
      </c>
      <c r="J1362" s="38" t="s">
        <v>15</v>
      </c>
      <c r="K1362" s="38" t="s">
        <v>6249</v>
      </c>
      <c r="L1362" s="38" t="s">
        <v>51</v>
      </c>
      <c r="M1362" s="37" t="s">
        <v>120</v>
      </c>
      <c r="N1362" s="39" t="n">
        <v>43435</v>
      </c>
      <c r="O1362" s="41" t="s">
        <v>23</v>
      </c>
      <c r="P1362" s="41" t="s">
        <v>105</v>
      </c>
      <c r="Q1362" s="42"/>
      <c r="R1362" s="41"/>
      <c r="S1362" s="42"/>
      <c r="T1362" s="41"/>
    </row>
    <row r="1363" customFormat="false" ht="13.5" hidden="false" customHeight="true" outlineLevel="0" collapsed="false">
      <c r="A1363" s="37" t="n">
        <v>1360</v>
      </c>
      <c r="B1363" s="37" t="n">
        <v>3689</v>
      </c>
      <c r="C1363" s="38" t="s">
        <v>6250</v>
      </c>
      <c r="D1363" s="37" t="s">
        <v>100</v>
      </c>
      <c r="E1363" s="39" t="n">
        <v>28274</v>
      </c>
      <c r="F1363" s="37" t="n">
        <f aca="true">IFERROR(DATEDIF(E1363,TODAY(),"Y"),"")</f>
        <v>49</v>
      </c>
      <c r="G1363" s="40" t="s">
        <v>6251</v>
      </c>
      <c r="H1363" s="40" t="s">
        <v>6252</v>
      </c>
      <c r="I1363" s="38" t="s">
        <v>6253</v>
      </c>
      <c r="J1363" s="38" t="s">
        <v>15</v>
      </c>
      <c r="K1363" s="38" t="s">
        <v>6254</v>
      </c>
      <c r="L1363" s="43" t="s">
        <v>58</v>
      </c>
      <c r="M1363" s="37" t="s">
        <v>104</v>
      </c>
      <c r="N1363" s="39" t="n">
        <v>43438</v>
      </c>
      <c r="O1363" s="41" t="s">
        <v>23</v>
      </c>
      <c r="P1363" s="41" t="s">
        <v>105</v>
      </c>
      <c r="Q1363" s="42"/>
      <c r="R1363" s="41"/>
      <c r="S1363" s="42"/>
      <c r="T1363" s="41"/>
    </row>
    <row r="1364" customFormat="false" ht="13.5" hidden="false" customHeight="true" outlineLevel="0" collapsed="false">
      <c r="A1364" s="37" t="n">
        <v>1361</v>
      </c>
      <c r="B1364" s="37" t="n">
        <v>3690</v>
      </c>
      <c r="C1364" s="38" t="s">
        <v>6255</v>
      </c>
      <c r="D1364" s="37" t="s">
        <v>100</v>
      </c>
      <c r="E1364" s="39" t="n">
        <v>28947</v>
      </c>
      <c r="F1364" s="37" t="n">
        <f aca="true">IFERROR(DATEDIF(E1364,TODAY(),"Y"),"")</f>
        <v>47</v>
      </c>
      <c r="G1364" s="40" t="s">
        <v>6256</v>
      </c>
      <c r="H1364" s="40" t="s">
        <v>6257</v>
      </c>
      <c r="I1364" s="38" t="s">
        <v>6258</v>
      </c>
      <c r="J1364" s="38" t="s">
        <v>15</v>
      </c>
      <c r="K1364" s="38" t="s">
        <v>6259</v>
      </c>
      <c r="L1364" s="38" t="s">
        <v>50</v>
      </c>
      <c r="M1364" s="37" t="s">
        <v>104</v>
      </c>
      <c r="N1364" s="39" t="n">
        <v>43438</v>
      </c>
      <c r="O1364" s="41" t="s">
        <v>23</v>
      </c>
      <c r="P1364" s="41" t="s">
        <v>105</v>
      </c>
      <c r="Q1364" s="42"/>
      <c r="R1364" s="41"/>
      <c r="S1364" s="42"/>
      <c r="T1364" s="41"/>
    </row>
    <row r="1365" customFormat="false" ht="13.5" hidden="false" customHeight="true" outlineLevel="0" collapsed="false">
      <c r="A1365" s="37" t="n">
        <v>1362</v>
      </c>
      <c r="B1365" s="37" t="n">
        <v>3692</v>
      </c>
      <c r="C1365" s="38" t="s">
        <v>6260</v>
      </c>
      <c r="D1365" s="37" t="s">
        <v>100</v>
      </c>
      <c r="E1365" s="39" t="n">
        <v>25670</v>
      </c>
      <c r="F1365" s="37" t="n">
        <f aca="true">IFERROR(DATEDIF(E1365,TODAY(),"Y"),"")</f>
        <v>56</v>
      </c>
      <c r="G1365" s="40" t="s">
        <v>6261</v>
      </c>
      <c r="H1365" s="40" t="s">
        <v>6262</v>
      </c>
      <c r="I1365" s="38" t="s">
        <v>6263</v>
      </c>
      <c r="J1365" s="38" t="s">
        <v>15</v>
      </c>
      <c r="K1365" s="38" t="s">
        <v>6264</v>
      </c>
      <c r="L1365" s="38" t="s">
        <v>44</v>
      </c>
      <c r="M1365" s="37" t="s">
        <v>104</v>
      </c>
      <c r="N1365" s="39" t="n">
        <v>43439</v>
      </c>
      <c r="O1365" s="41" t="s">
        <v>23</v>
      </c>
      <c r="P1365" s="41" t="s">
        <v>105</v>
      </c>
      <c r="Q1365" s="42"/>
      <c r="R1365" s="41"/>
      <c r="S1365" s="42"/>
      <c r="T1365" s="41"/>
    </row>
    <row r="1366" customFormat="false" ht="13.5" hidden="false" customHeight="true" outlineLevel="0" collapsed="false">
      <c r="A1366" s="37" t="n">
        <v>1363</v>
      </c>
      <c r="B1366" s="37" t="n">
        <v>3693</v>
      </c>
      <c r="C1366" s="38" t="s">
        <v>6265</v>
      </c>
      <c r="D1366" s="37" t="s">
        <v>100</v>
      </c>
      <c r="E1366" s="39" t="n">
        <v>23862</v>
      </c>
      <c r="F1366" s="37" t="n">
        <f aca="true">IFERROR(DATEDIF(E1366,TODAY(),"Y"),"")</f>
        <v>61</v>
      </c>
      <c r="G1366" s="40" t="s">
        <v>6266</v>
      </c>
      <c r="H1366" s="40"/>
      <c r="I1366" s="38" t="s">
        <v>6267</v>
      </c>
      <c r="J1366" s="38" t="s">
        <v>22</v>
      </c>
      <c r="K1366" s="38" t="s">
        <v>6268</v>
      </c>
      <c r="L1366" s="38" t="s">
        <v>55</v>
      </c>
      <c r="M1366" s="37" t="s">
        <v>120</v>
      </c>
      <c r="N1366" s="39" t="n">
        <v>43442</v>
      </c>
      <c r="O1366" s="41" t="s">
        <v>23</v>
      </c>
      <c r="P1366" s="41" t="s">
        <v>105</v>
      </c>
      <c r="Q1366" s="42"/>
      <c r="R1366" s="41"/>
      <c r="S1366" s="42"/>
      <c r="T1366" s="41"/>
    </row>
    <row r="1367" customFormat="false" ht="13.5" hidden="false" customHeight="true" outlineLevel="0" collapsed="false">
      <c r="A1367" s="37" t="n">
        <v>1364</v>
      </c>
      <c r="B1367" s="37" t="n">
        <v>3694</v>
      </c>
      <c r="C1367" s="38" t="s">
        <v>6269</v>
      </c>
      <c r="D1367" s="37" t="s">
        <v>100</v>
      </c>
      <c r="E1367" s="39" t="n">
        <v>28887</v>
      </c>
      <c r="F1367" s="37" t="n">
        <f aca="true">IFERROR(DATEDIF(E1367,TODAY(),"Y"),"")</f>
        <v>47</v>
      </c>
      <c r="G1367" s="40" t="s">
        <v>6270</v>
      </c>
      <c r="H1367" s="40"/>
      <c r="I1367" s="38" t="s">
        <v>6271</v>
      </c>
      <c r="J1367" s="38" t="s">
        <v>15</v>
      </c>
      <c r="K1367" s="38" t="s">
        <v>6272</v>
      </c>
      <c r="L1367" s="38" t="s">
        <v>47</v>
      </c>
      <c r="M1367" s="37" t="s">
        <v>120</v>
      </c>
      <c r="N1367" s="39" t="n">
        <v>43442</v>
      </c>
      <c r="O1367" s="41" t="s">
        <v>23</v>
      </c>
      <c r="P1367" s="41" t="s">
        <v>105</v>
      </c>
      <c r="Q1367" s="42"/>
      <c r="R1367" s="41"/>
      <c r="S1367" s="42"/>
      <c r="T1367" s="41"/>
    </row>
    <row r="1368" customFormat="false" ht="13.5" hidden="false" customHeight="true" outlineLevel="0" collapsed="false">
      <c r="A1368" s="37" t="n">
        <v>1365</v>
      </c>
      <c r="B1368" s="37" t="n">
        <v>3695</v>
      </c>
      <c r="C1368" s="38" t="s">
        <v>6273</v>
      </c>
      <c r="D1368" s="37" t="s">
        <v>100</v>
      </c>
      <c r="E1368" s="39" t="n">
        <v>31326</v>
      </c>
      <c r="F1368" s="37" t="n">
        <f aca="true">IFERROR(DATEDIF(E1368,TODAY(),"Y"),"")</f>
        <v>40</v>
      </c>
      <c r="G1368" s="40" t="s">
        <v>6274</v>
      </c>
      <c r="H1368" s="40" t="s">
        <v>6275</v>
      </c>
      <c r="I1368" s="38" t="s">
        <v>6276</v>
      </c>
      <c r="J1368" s="38" t="s">
        <v>16</v>
      </c>
      <c r="K1368" s="38" t="s">
        <v>6277</v>
      </c>
      <c r="L1368" s="38" t="s">
        <v>46</v>
      </c>
      <c r="M1368" s="37" t="s">
        <v>104</v>
      </c>
      <c r="N1368" s="39" t="n">
        <v>43442</v>
      </c>
      <c r="O1368" s="41" t="s">
        <v>23</v>
      </c>
      <c r="P1368" s="41" t="s">
        <v>105</v>
      </c>
      <c r="Q1368" s="42"/>
      <c r="R1368" s="41"/>
      <c r="S1368" s="42"/>
      <c r="T1368" s="41"/>
    </row>
    <row r="1369" customFormat="false" ht="13.5" hidden="false" customHeight="true" outlineLevel="0" collapsed="false">
      <c r="A1369" s="37" t="n">
        <v>1366</v>
      </c>
      <c r="B1369" s="37" t="n">
        <v>3696</v>
      </c>
      <c r="C1369" s="38" t="s">
        <v>6278</v>
      </c>
      <c r="D1369" s="37" t="s">
        <v>100</v>
      </c>
      <c r="E1369" s="39" t="n">
        <v>25338</v>
      </c>
      <c r="F1369" s="37" t="n">
        <f aca="true">IFERROR(DATEDIF(E1369,TODAY(),"Y"),"")</f>
        <v>57</v>
      </c>
      <c r="G1369" s="40" t="s">
        <v>6279</v>
      </c>
      <c r="H1369" s="40" t="s">
        <v>6280</v>
      </c>
      <c r="I1369" s="38" t="s">
        <v>6281</v>
      </c>
      <c r="J1369" s="38" t="s">
        <v>15</v>
      </c>
      <c r="K1369" s="38" t="s">
        <v>6282</v>
      </c>
      <c r="L1369" s="38" t="s">
        <v>51</v>
      </c>
      <c r="M1369" s="37" t="s">
        <v>120</v>
      </c>
      <c r="N1369" s="39" t="n">
        <v>43443</v>
      </c>
      <c r="O1369" s="41" t="s">
        <v>23</v>
      </c>
      <c r="P1369" s="41" t="s">
        <v>105</v>
      </c>
      <c r="Q1369" s="42"/>
      <c r="R1369" s="41"/>
      <c r="S1369" s="42"/>
      <c r="T1369" s="41"/>
    </row>
    <row r="1370" customFormat="false" ht="13.5" hidden="false" customHeight="true" outlineLevel="0" collapsed="false">
      <c r="A1370" s="37" t="n">
        <v>1367</v>
      </c>
      <c r="B1370" s="37" t="n">
        <v>3697</v>
      </c>
      <c r="C1370" s="38" t="s">
        <v>6283</v>
      </c>
      <c r="D1370" s="37" t="s">
        <v>100</v>
      </c>
      <c r="E1370" s="39" t="n">
        <v>29994</v>
      </c>
      <c r="F1370" s="37" t="n">
        <f aca="true">IFERROR(DATEDIF(E1370,TODAY(),"Y"),"")</f>
        <v>44</v>
      </c>
      <c r="G1370" s="40" t="s">
        <v>6284</v>
      </c>
      <c r="H1370" s="40"/>
      <c r="I1370" s="38" t="s">
        <v>6285</v>
      </c>
      <c r="J1370" s="38" t="s">
        <v>16</v>
      </c>
      <c r="K1370" s="38" t="s">
        <v>6286</v>
      </c>
      <c r="L1370" s="38" t="s">
        <v>50</v>
      </c>
      <c r="M1370" s="37" t="s">
        <v>177</v>
      </c>
      <c r="N1370" s="39" t="n">
        <v>43444</v>
      </c>
      <c r="O1370" s="41" t="s">
        <v>23</v>
      </c>
      <c r="P1370" s="41" t="s">
        <v>105</v>
      </c>
      <c r="Q1370" s="42"/>
      <c r="R1370" s="41"/>
      <c r="S1370" s="42"/>
      <c r="T1370" s="41"/>
    </row>
    <row r="1371" customFormat="false" ht="13.5" hidden="false" customHeight="true" outlineLevel="0" collapsed="false">
      <c r="A1371" s="37" t="n">
        <v>1368</v>
      </c>
      <c r="B1371" s="37" t="n">
        <v>3700</v>
      </c>
      <c r="C1371" s="38" t="s">
        <v>6287</v>
      </c>
      <c r="D1371" s="37" t="s">
        <v>100</v>
      </c>
      <c r="E1371" s="39" t="n">
        <v>24215</v>
      </c>
      <c r="F1371" s="37" t="n">
        <f aca="true">IFERROR(DATEDIF(E1371,TODAY(),"Y"),"")</f>
        <v>60</v>
      </c>
      <c r="G1371" s="40" t="s">
        <v>6288</v>
      </c>
      <c r="H1371" s="40" t="s">
        <v>6289</v>
      </c>
      <c r="I1371" s="38"/>
      <c r="J1371" s="38"/>
      <c r="K1371" s="38" t="s">
        <v>6290</v>
      </c>
      <c r="L1371" s="43" t="s">
        <v>58</v>
      </c>
      <c r="M1371" s="37" t="s">
        <v>177</v>
      </c>
      <c r="N1371" s="39" t="n">
        <v>32559</v>
      </c>
      <c r="O1371" s="41" t="s">
        <v>23</v>
      </c>
      <c r="P1371" s="41" t="s">
        <v>105</v>
      </c>
      <c r="Q1371" s="42"/>
      <c r="R1371" s="41"/>
      <c r="S1371" s="42"/>
      <c r="T1371" s="41"/>
    </row>
    <row r="1372" customFormat="false" ht="13.5" hidden="false" customHeight="true" outlineLevel="0" collapsed="false">
      <c r="A1372" s="37" t="n">
        <v>1369</v>
      </c>
      <c r="B1372" s="37" t="n">
        <v>3707</v>
      </c>
      <c r="C1372" s="38" t="s">
        <v>6291</v>
      </c>
      <c r="D1372" s="37" t="s">
        <v>100</v>
      </c>
      <c r="E1372" s="39" t="n">
        <v>18363</v>
      </c>
      <c r="F1372" s="37" t="n">
        <f aca="true">IFERROR(DATEDIF(E1372,TODAY(),"Y"),"")</f>
        <v>76</v>
      </c>
      <c r="G1372" s="40" t="s">
        <v>6292</v>
      </c>
      <c r="H1372" s="40" t="s">
        <v>6293</v>
      </c>
      <c r="I1372" s="38" t="s">
        <v>6294</v>
      </c>
      <c r="J1372" s="38" t="s">
        <v>15</v>
      </c>
      <c r="K1372" s="38" t="s">
        <v>6295</v>
      </c>
      <c r="L1372" s="43" t="s">
        <v>58</v>
      </c>
      <c r="M1372" s="37" t="s">
        <v>104</v>
      </c>
      <c r="N1372" s="39" t="n">
        <v>32551</v>
      </c>
      <c r="O1372" s="41" t="s">
        <v>23</v>
      </c>
      <c r="P1372" s="41" t="s">
        <v>105</v>
      </c>
      <c r="Q1372" s="42"/>
      <c r="R1372" s="41"/>
      <c r="S1372" s="42"/>
      <c r="T1372" s="41"/>
    </row>
    <row r="1373" customFormat="false" ht="13.5" hidden="false" customHeight="true" outlineLevel="0" collapsed="false">
      <c r="A1373" s="37" t="n">
        <v>1370</v>
      </c>
      <c r="B1373" s="37" t="n">
        <v>3709</v>
      </c>
      <c r="C1373" s="38" t="s">
        <v>6296</v>
      </c>
      <c r="D1373" s="37" t="s">
        <v>100</v>
      </c>
      <c r="E1373" s="39" t="n">
        <v>24700</v>
      </c>
      <c r="F1373" s="37" t="n">
        <f aca="true">IFERROR(DATEDIF(E1373,TODAY(),"Y"),"")</f>
        <v>58</v>
      </c>
      <c r="G1373" s="40" t="s">
        <v>6297</v>
      </c>
      <c r="H1373" s="40" t="s">
        <v>6298</v>
      </c>
      <c r="I1373" s="38" t="s">
        <v>6299</v>
      </c>
      <c r="J1373" s="38" t="s">
        <v>15</v>
      </c>
      <c r="K1373" s="38" t="s">
        <v>6300</v>
      </c>
      <c r="L1373" s="43" t="s">
        <v>58</v>
      </c>
      <c r="M1373" s="37" t="s">
        <v>104</v>
      </c>
      <c r="N1373" s="39" t="n">
        <v>32560</v>
      </c>
      <c r="O1373" s="41" t="s">
        <v>23</v>
      </c>
      <c r="P1373" s="41" t="s">
        <v>105</v>
      </c>
      <c r="Q1373" s="42"/>
      <c r="R1373" s="41"/>
      <c r="S1373" s="42"/>
      <c r="T1373" s="41"/>
    </row>
    <row r="1374" customFormat="false" ht="13.5" hidden="false" customHeight="true" outlineLevel="0" collapsed="false">
      <c r="A1374" s="37" t="n">
        <v>1371</v>
      </c>
      <c r="B1374" s="37" t="n">
        <v>3710</v>
      </c>
      <c r="C1374" s="38" t="s">
        <v>6301</v>
      </c>
      <c r="D1374" s="37" t="s">
        <v>100</v>
      </c>
      <c r="E1374" s="39" t="n">
        <v>22342</v>
      </c>
      <c r="F1374" s="37" t="n">
        <f aca="true">IFERROR(DATEDIF(E1374,TODAY(),"Y"),"")</f>
        <v>65</v>
      </c>
      <c r="G1374" s="40" t="s">
        <v>6302</v>
      </c>
      <c r="H1374" s="40"/>
      <c r="I1374" s="38"/>
      <c r="J1374" s="38" t="s">
        <v>15</v>
      </c>
      <c r="K1374" s="38" t="s">
        <v>6303</v>
      </c>
      <c r="L1374" s="38" t="s">
        <v>47</v>
      </c>
      <c r="M1374" s="37" t="s">
        <v>120</v>
      </c>
      <c r="N1374" s="39" t="n">
        <v>32553</v>
      </c>
      <c r="O1374" s="41" t="s">
        <v>23</v>
      </c>
      <c r="P1374" s="41" t="s">
        <v>105</v>
      </c>
      <c r="Q1374" s="42"/>
      <c r="R1374" s="41"/>
      <c r="S1374" s="42"/>
      <c r="T1374" s="41"/>
    </row>
    <row r="1375" customFormat="false" ht="13.5" hidden="false" customHeight="true" outlineLevel="0" collapsed="false">
      <c r="A1375" s="37" t="n">
        <v>1372</v>
      </c>
      <c r="B1375" s="37" t="n">
        <v>3713</v>
      </c>
      <c r="C1375" s="38" t="s">
        <v>6304</v>
      </c>
      <c r="D1375" s="37" t="s">
        <v>100</v>
      </c>
      <c r="E1375" s="39" t="n">
        <v>20950</v>
      </c>
      <c r="F1375" s="37" t="n">
        <f aca="true">IFERROR(DATEDIF(E1375,TODAY(),"Y"),"")</f>
        <v>69</v>
      </c>
      <c r="G1375" s="40" t="s">
        <v>6305</v>
      </c>
      <c r="H1375" s="40"/>
      <c r="I1375" s="38"/>
      <c r="J1375" s="38" t="s">
        <v>15</v>
      </c>
      <c r="K1375" s="38" t="s">
        <v>6306</v>
      </c>
      <c r="L1375" s="38" t="s">
        <v>46</v>
      </c>
      <c r="M1375" s="37" t="s">
        <v>104</v>
      </c>
      <c r="N1375" s="39" t="n">
        <v>31383</v>
      </c>
      <c r="O1375" s="41" t="s">
        <v>23</v>
      </c>
      <c r="P1375" s="41" t="s">
        <v>105</v>
      </c>
      <c r="Q1375" s="42"/>
      <c r="R1375" s="41"/>
      <c r="S1375" s="42"/>
      <c r="T1375" s="41"/>
    </row>
    <row r="1376" customFormat="false" ht="13.5" hidden="false" customHeight="true" outlineLevel="0" collapsed="false">
      <c r="A1376" s="37" t="n">
        <v>1373</v>
      </c>
      <c r="B1376" s="37" t="n">
        <v>3722</v>
      </c>
      <c r="C1376" s="38" t="s">
        <v>6307</v>
      </c>
      <c r="D1376" s="37" t="s">
        <v>100</v>
      </c>
      <c r="E1376" s="39" t="n">
        <v>21144</v>
      </c>
      <c r="F1376" s="37" t="n">
        <f aca="true">IFERROR(DATEDIF(E1376,TODAY(),"Y"),"")</f>
        <v>68</v>
      </c>
      <c r="G1376" s="40" t="s">
        <v>6308</v>
      </c>
      <c r="H1376" s="40" t="s">
        <v>6309</v>
      </c>
      <c r="I1376" s="38"/>
      <c r="J1376" s="38" t="s">
        <v>18</v>
      </c>
      <c r="K1376" s="38" t="s">
        <v>6310</v>
      </c>
      <c r="L1376" s="38" t="s">
        <v>57</v>
      </c>
      <c r="M1376" s="37"/>
      <c r="N1376" s="39" t="n">
        <v>32551</v>
      </c>
      <c r="O1376" s="41" t="s">
        <v>23</v>
      </c>
      <c r="P1376" s="41" t="s">
        <v>105</v>
      </c>
      <c r="Q1376" s="42"/>
      <c r="R1376" s="41"/>
      <c r="S1376" s="42"/>
      <c r="T1376" s="41"/>
    </row>
    <row r="1377" customFormat="false" ht="13.5" hidden="false" customHeight="true" outlineLevel="0" collapsed="false">
      <c r="A1377" s="37" t="n">
        <v>1374</v>
      </c>
      <c r="B1377" s="37" t="n">
        <v>3723</v>
      </c>
      <c r="C1377" s="38" t="s">
        <v>6311</v>
      </c>
      <c r="D1377" s="37" t="s">
        <v>100</v>
      </c>
      <c r="E1377" s="39" t="n">
        <v>22036</v>
      </c>
      <c r="F1377" s="37" t="n">
        <f aca="true">IFERROR(DATEDIF(E1377,TODAY(),"Y"),"")</f>
        <v>66</v>
      </c>
      <c r="G1377" s="40" t="s">
        <v>6312</v>
      </c>
      <c r="H1377" s="40" t="s">
        <v>6313</v>
      </c>
      <c r="I1377" s="38" t="s">
        <v>6314</v>
      </c>
      <c r="J1377" s="38" t="s">
        <v>15</v>
      </c>
      <c r="K1377" s="38" t="s">
        <v>6315</v>
      </c>
      <c r="L1377" s="38" t="s">
        <v>46</v>
      </c>
      <c r="M1377" s="37" t="s">
        <v>104</v>
      </c>
      <c r="N1377" s="39" t="n">
        <v>32558</v>
      </c>
      <c r="O1377" s="41" t="s">
        <v>23</v>
      </c>
      <c r="P1377" s="41" t="s">
        <v>105</v>
      </c>
      <c r="Q1377" s="42"/>
      <c r="R1377" s="41"/>
      <c r="S1377" s="42"/>
      <c r="T1377" s="41"/>
    </row>
    <row r="1378" customFormat="false" ht="13.5" hidden="false" customHeight="true" outlineLevel="0" collapsed="false">
      <c r="A1378" s="37" t="n">
        <v>1375</v>
      </c>
      <c r="B1378" s="37" t="n">
        <v>3724</v>
      </c>
      <c r="C1378" s="38" t="s">
        <v>6316</v>
      </c>
      <c r="D1378" s="37" t="s">
        <v>100</v>
      </c>
      <c r="E1378" s="39" t="n">
        <v>23893</v>
      </c>
      <c r="F1378" s="37" t="n">
        <f aca="true">IFERROR(DATEDIF(E1378,TODAY(),"Y"),"")</f>
        <v>61</v>
      </c>
      <c r="G1378" s="40" t="s">
        <v>6317</v>
      </c>
      <c r="H1378" s="40" t="s">
        <v>6318</v>
      </c>
      <c r="I1378" s="38" t="s">
        <v>6319</v>
      </c>
      <c r="J1378" s="38" t="s">
        <v>18</v>
      </c>
      <c r="K1378" s="38" t="s">
        <v>6320</v>
      </c>
      <c r="L1378" s="43" t="s">
        <v>58</v>
      </c>
      <c r="M1378" s="37" t="s">
        <v>104</v>
      </c>
      <c r="N1378" s="39" t="n">
        <v>32559</v>
      </c>
      <c r="O1378" s="41" t="s">
        <v>23</v>
      </c>
      <c r="P1378" s="41" t="s">
        <v>105</v>
      </c>
      <c r="Q1378" s="42"/>
      <c r="R1378" s="41"/>
      <c r="S1378" s="42"/>
      <c r="T1378" s="41"/>
    </row>
    <row r="1379" customFormat="false" ht="13.5" hidden="false" customHeight="true" outlineLevel="0" collapsed="false">
      <c r="A1379" s="37" t="n">
        <v>1376</v>
      </c>
      <c r="B1379" s="37" t="n">
        <v>3731</v>
      </c>
      <c r="C1379" s="38" t="s">
        <v>6321</v>
      </c>
      <c r="D1379" s="37" t="s">
        <v>100</v>
      </c>
      <c r="E1379" s="39" t="n">
        <v>18823</v>
      </c>
      <c r="F1379" s="37" t="n">
        <f aca="true">IFERROR(DATEDIF(E1379,TODAY(),"Y"),"")</f>
        <v>75</v>
      </c>
      <c r="G1379" s="40" t="s">
        <v>6322</v>
      </c>
      <c r="H1379" s="40" t="s">
        <v>6323</v>
      </c>
      <c r="I1379" s="38" t="s">
        <v>6324</v>
      </c>
      <c r="J1379" s="38" t="s">
        <v>15</v>
      </c>
      <c r="K1379" s="38" t="s">
        <v>6325</v>
      </c>
      <c r="L1379" s="43" t="s">
        <v>58</v>
      </c>
      <c r="M1379" s="37" t="s">
        <v>177</v>
      </c>
      <c r="N1379" s="39" t="n">
        <v>32556</v>
      </c>
      <c r="O1379" s="41" t="s">
        <v>23</v>
      </c>
      <c r="P1379" s="41" t="s">
        <v>105</v>
      </c>
      <c r="Q1379" s="42"/>
      <c r="R1379" s="41"/>
      <c r="S1379" s="42"/>
      <c r="T1379" s="41"/>
    </row>
    <row r="1380" customFormat="false" ht="13.5" hidden="false" customHeight="true" outlineLevel="0" collapsed="false">
      <c r="A1380" s="37" t="n">
        <v>1377</v>
      </c>
      <c r="B1380" s="37" t="n">
        <v>3737</v>
      </c>
      <c r="C1380" s="38" t="s">
        <v>6326</v>
      </c>
      <c r="D1380" s="37" t="s">
        <v>100</v>
      </c>
      <c r="E1380" s="39" t="n">
        <v>23348</v>
      </c>
      <c r="F1380" s="37" t="n">
        <f aca="true">IFERROR(DATEDIF(E1380,TODAY(),"Y"),"")</f>
        <v>62</v>
      </c>
      <c r="G1380" s="40" t="s">
        <v>6327</v>
      </c>
      <c r="H1380" s="40"/>
      <c r="I1380" s="38" t="s">
        <v>6328</v>
      </c>
      <c r="J1380" s="38"/>
      <c r="K1380" s="38" t="s">
        <v>6329</v>
      </c>
      <c r="L1380" s="38" t="s">
        <v>48</v>
      </c>
      <c r="M1380" s="37"/>
      <c r="N1380" s="39" t="n">
        <v>38520</v>
      </c>
      <c r="O1380" s="41" t="s">
        <v>23</v>
      </c>
      <c r="P1380" s="41" t="s">
        <v>105</v>
      </c>
      <c r="Q1380" s="42"/>
      <c r="R1380" s="41"/>
      <c r="S1380" s="42"/>
      <c r="T1380" s="41"/>
    </row>
    <row r="1381" customFormat="false" ht="13.5" hidden="false" customHeight="true" outlineLevel="0" collapsed="false">
      <c r="A1381" s="37" t="n">
        <v>1378</v>
      </c>
      <c r="B1381" s="37" t="n">
        <v>3738</v>
      </c>
      <c r="C1381" s="38" t="s">
        <v>6330</v>
      </c>
      <c r="D1381" s="37" t="s">
        <v>100</v>
      </c>
      <c r="E1381" s="39" t="n">
        <v>20411</v>
      </c>
      <c r="F1381" s="37" t="n">
        <f aca="true">IFERROR(DATEDIF(E1381,TODAY(),"Y"),"")</f>
        <v>70</v>
      </c>
      <c r="G1381" s="40" t="s">
        <v>159</v>
      </c>
      <c r="H1381" s="40"/>
      <c r="I1381" s="38" t="s">
        <v>160</v>
      </c>
      <c r="J1381" s="38" t="s">
        <v>15</v>
      </c>
      <c r="K1381" s="38" t="s">
        <v>6331</v>
      </c>
      <c r="L1381" s="43" t="s">
        <v>58</v>
      </c>
      <c r="M1381" s="37"/>
      <c r="N1381" s="39" t="n">
        <v>31351</v>
      </c>
      <c r="O1381" s="41" t="s">
        <v>23</v>
      </c>
      <c r="P1381" s="41" t="s">
        <v>105</v>
      </c>
      <c r="Q1381" s="42"/>
      <c r="R1381" s="41"/>
      <c r="S1381" s="42"/>
      <c r="T1381" s="41"/>
    </row>
    <row r="1382" customFormat="false" ht="13.5" hidden="false" customHeight="true" outlineLevel="0" collapsed="false">
      <c r="A1382" s="37" t="n">
        <v>1379</v>
      </c>
      <c r="B1382" s="37" t="n">
        <v>3741</v>
      </c>
      <c r="C1382" s="38" t="s">
        <v>6332</v>
      </c>
      <c r="D1382" s="37" t="s">
        <v>100</v>
      </c>
      <c r="E1382" s="39" t="n">
        <v>22754</v>
      </c>
      <c r="F1382" s="37" t="n">
        <f aca="true">IFERROR(DATEDIF(E1382,TODAY(),"Y"),"")</f>
        <v>64</v>
      </c>
      <c r="G1382" s="40" t="s">
        <v>6333</v>
      </c>
      <c r="H1382" s="40" t="s">
        <v>6334</v>
      </c>
      <c r="I1382" s="38" t="s">
        <v>6335</v>
      </c>
      <c r="J1382" s="38" t="s">
        <v>16</v>
      </c>
      <c r="K1382" s="38" t="s">
        <v>6336</v>
      </c>
      <c r="L1382" s="38" t="s">
        <v>47</v>
      </c>
      <c r="M1382" s="37" t="s">
        <v>177</v>
      </c>
      <c r="N1382" s="39" t="n">
        <v>32554</v>
      </c>
      <c r="O1382" s="41" t="s">
        <v>23</v>
      </c>
      <c r="P1382" s="41" t="s">
        <v>105</v>
      </c>
      <c r="Q1382" s="42"/>
      <c r="R1382" s="41"/>
      <c r="S1382" s="42"/>
      <c r="T1382" s="41"/>
    </row>
    <row r="1383" customFormat="false" ht="13.5" hidden="false" customHeight="true" outlineLevel="0" collapsed="false">
      <c r="A1383" s="37" t="n">
        <v>1380</v>
      </c>
      <c r="B1383" s="37" t="n">
        <v>3744</v>
      </c>
      <c r="C1383" s="38" t="s">
        <v>6337</v>
      </c>
      <c r="D1383" s="37" t="s">
        <v>100</v>
      </c>
      <c r="E1383" s="39" t="n">
        <v>18948</v>
      </c>
      <c r="F1383" s="37" t="n">
        <f aca="true">IFERROR(DATEDIF(E1383,TODAY(),"Y"),"")</f>
        <v>74</v>
      </c>
      <c r="G1383" s="40" t="s">
        <v>6338</v>
      </c>
      <c r="H1383" s="40"/>
      <c r="I1383" s="38" t="s">
        <v>6339</v>
      </c>
      <c r="J1383" s="38" t="s">
        <v>15</v>
      </c>
      <c r="K1383" s="38" t="s">
        <v>6340</v>
      </c>
      <c r="L1383" s="38" t="s">
        <v>53</v>
      </c>
      <c r="M1383" s="37" t="s">
        <v>177</v>
      </c>
      <c r="N1383" s="39" t="n">
        <v>32853</v>
      </c>
      <c r="O1383" s="41" t="s">
        <v>23</v>
      </c>
      <c r="P1383" s="41" t="s">
        <v>105</v>
      </c>
      <c r="Q1383" s="42"/>
      <c r="R1383" s="41"/>
      <c r="S1383" s="42"/>
      <c r="T1383" s="41"/>
    </row>
    <row r="1384" customFormat="false" ht="13.5" hidden="false" customHeight="true" outlineLevel="0" collapsed="false">
      <c r="A1384" s="37" t="n">
        <v>1381</v>
      </c>
      <c r="B1384" s="37" t="n">
        <v>3747</v>
      </c>
      <c r="C1384" s="38" t="s">
        <v>6341</v>
      </c>
      <c r="D1384" s="37" t="s">
        <v>100</v>
      </c>
      <c r="E1384" s="39" t="n">
        <v>21767</v>
      </c>
      <c r="F1384" s="37" t="n">
        <f aca="true">IFERROR(DATEDIF(E1384,TODAY(),"Y"),"")</f>
        <v>67</v>
      </c>
      <c r="G1384" s="40" t="s">
        <v>6342</v>
      </c>
      <c r="H1384" s="40" t="s">
        <v>6343</v>
      </c>
      <c r="I1384" s="38" t="s">
        <v>6344</v>
      </c>
      <c r="J1384" s="38" t="s">
        <v>15</v>
      </c>
      <c r="K1384" s="38" t="s">
        <v>6345</v>
      </c>
      <c r="L1384" s="38" t="s">
        <v>54</v>
      </c>
      <c r="M1384" s="37" t="s">
        <v>120</v>
      </c>
      <c r="N1384" s="39" t="n">
        <v>32564</v>
      </c>
      <c r="O1384" s="41" t="s">
        <v>23</v>
      </c>
      <c r="P1384" s="41" t="s">
        <v>105</v>
      </c>
      <c r="Q1384" s="42"/>
      <c r="R1384" s="41"/>
      <c r="S1384" s="42"/>
      <c r="T1384" s="41"/>
    </row>
    <row r="1385" customFormat="false" ht="13.5" hidden="false" customHeight="true" outlineLevel="0" collapsed="false">
      <c r="A1385" s="37" t="n">
        <v>1382</v>
      </c>
      <c r="B1385" s="37" t="n">
        <v>3749</v>
      </c>
      <c r="C1385" s="38" t="s">
        <v>6346</v>
      </c>
      <c r="D1385" s="37" t="s">
        <v>100</v>
      </c>
      <c r="E1385" s="39" t="n">
        <v>21335</v>
      </c>
      <c r="F1385" s="37" t="n">
        <f aca="true">IFERROR(DATEDIF(E1385,TODAY(),"Y"),"")</f>
        <v>68</v>
      </c>
      <c r="G1385" s="40" t="s">
        <v>6347</v>
      </c>
      <c r="H1385" s="40" t="s">
        <v>6348</v>
      </c>
      <c r="I1385" s="38" t="s">
        <v>6349</v>
      </c>
      <c r="J1385" s="38" t="s">
        <v>18</v>
      </c>
      <c r="K1385" s="38" t="s">
        <v>6350</v>
      </c>
      <c r="L1385" s="38" t="s">
        <v>55</v>
      </c>
      <c r="M1385" s="37" t="s">
        <v>120</v>
      </c>
      <c r="N1385" s="39" t="n">
        <v>31350</v>
      </c>
      <c r="O1385" s="41" t="s">
        <v>23</v>
      </c>
      <c r="P1385" s="41" t="s">
        <v>105</v>
      </c>
      <c r="Q1385" s="42"/>
      <c r="R1385" s="41"/>
      <c r="S1385" s="42"/>
      <c r="T1385" s="41"/>
    </row>
    <row r="1386" customFormat="false" ht="13.5" hidden="false" customHeight="true" outlineLevel="0" collapsed="false">
      <c r="A1386" s="37" t="n">
        <v>1383</v>
      </c>
      <c r="B1386" s="37" t="n">
        <v>3754</v>
      </c>
      <c r="C1386" s="38" t="s">
        <v>6351</v>
      </c>
      <c r="D1386" s="37" t="s">
        <v>100</v>
      </c>
      <c r="E1386" s="39" t="n">
        <v>21341</v>
      </c>
      <c r="F1386" s="37" t="n">
        <f aca="true">IFERROR(DATEDIF(E1386,TODAY(),"Y"),"")</f>
        <v>68</v>
      </c>
      <c r="G1386" s="40" t="s">
        <v>6352</v>
      </c>
      <c r="H1386" s="40" t="s">
        <v>6353</v>
      </c>
      <c r="I1386" s="38"/>
      <c r="J1386" s="38" t="s">
        <v>15</v>
      </c>
      <c r="K1386" s="38" t="s">
        <v>6354</v>
      </c>
      <c r="L1386" s="38" t="s">
        <v>47</v>
      </c>
      <c r="M1386" s="37" t="s">
        <v>104</v>
      </c>
      <c r="N1386" s="39" t="n">
        <v>32567</v>
      </c>
      <c r="O1386" s="41" t="s">
        <v>23</v>
      </c>
      <c r="P1386" s="41" t="s">
        <v>105</v>
      </c>
      <c r="Q1386" s="42"/>
      <c r="R1386" s="41"/>
      <c r="S1386" s="42"/>
      <c r="T1386" s="41"/>
    </row>
    <row r="1387" customFormat="false" ht="13.5" hidden="false" customHeight="true" outlineLevel="0" collapsed="false">
      <c r="A1387" s="37" t="n">
        <v>1384</v>
      </c>
      <c r="B1387" s="37" t="n">
        <v>3758</v>
      </c>
      <c r="C1387" s="38" t="s">
        <v>6355</v>
      </c>
      <c r="D1387" s="37" t="s">
        <v>100</v>
      </c>
      <c r="E1387" s="39" t="n">
        <v>25214</v>
      </c>
      <c r="F1387" s="37" t="n">
        <f aca="true">IFERROR(DATEDIF(E1387,TODAY(),"Y"),"")</f>
        <v>57</v>
      </c>
      <c r="G1387" s="40" t="s">
        <v>6356</v>
      </c>
      <c r="H1387" s="40"/>
      <c r="I1387" s="38" t="s">
        <v>6357</v>
      </c>
      <c r="J1387" s="38" t="s">
        <v>16</v>
      </c>
      <c r="K1387" s="38" t="s">
        <v>6358</v>
      </c>
      <c r="L1387" s="43" t="s">
        <v>58</v>
      </c>
      <c r="M1387" s="37"/>
      <c r="N1387" s="39" t="n">
        <v>38520</v>
      </c>
      <c r="O1387" s="41" t="s">
        <v>23</v>
      </c>
      <c r="P1387" s="41" t="s">
        <v>105</v>
      </c>
      <c r="Q1387" s="42"/>
      <c r="R1387" s="41"/>
      <c r="S1387" s="42"/>
      <c r="T1387" s="41"/>
    </row>
    <row r="1388" customFormat="false" ht="13.5" hidden="false" customHeight="true" outlineLevel="0" collapsed="false">
      <c r="A1388" s="37" t="n">
        <v>1385</v>
      </c>
      <c r="B1388" s="37" t="n">
        <v>3762</v>
      </c>
      <c r="C1388" s="38" t="s">
        <v>6359</v>
      </c>
      <c r="D1388" s="37" t="s">
        <v>100</v>
      </c>
      <c r="E1388" s="39" t="n">
        <v>20704</v>
      </c>
      <c r="F1388" s="37" t="n">
        <f aca="true">IFERROR(DATEDIF(E1388,TODAY(),"Y"),"")</f>
        <v>69</v>
      </c>
      <c r="G1388" s="40" t="s">
        <v>6360</v>
      </c>
      <c r="H1388" s="40" t="s">
        <v>6361</v>
      </c>
      <c r="I1388" s="38" t="s">
        <v>6362</v>
      </c>
      <c r="J1388" s="38" t="s">
        <v>16</v>
      </c>
      <c r="K1388" s="38" t="s">
        <v>6363</v>
      </c>
      <c r="L1388" s="38" t="s">
        <v>55</v>
      </c>
      <c r="M1388" s="37"/>
      <c r="N1388" s="39" t="n">
        <v>38520</v>
      </c>
      <c r="O1388" s="41" t="s">
        <v>23</v>
      </c>
      <c r="P1388" s="41" t="s">
        <v>105</v>
      </c>
      <c r="Q1388" s="42"/>
      <c r="R1388" s="41"/>
      <c r="S1388" s="42"/>
      <c r="T1388" s="41"/>
    </row>
    <row r="1389" customFormat="false" ht="13.5" hidden="false" customHeight="true" outlineLevel="0" collapsed="false">
      <c r="A1389" s="37" t="n">
        <v>1386</v>
      </c>
      <c r="B1389" s="37" t="n">
        <v>3764</v>
      </c>
      <c r="C1389" s="38" t="s">
        <v>6364</v>
      </c>
      <c r="D1389" s="37" t="s">
        <v>100</v>
      </c>
      <c r="E1389" s="39" t="n">
        <v>26541</v>
      </c>
      <c r="F1389" s="37" t="n">
        <f aca="true">IFERROR(DATEDIF(E1389,TODAY(),"Y"),"")</f>
        <v>53</v>
      </c>
      <c r="G1389" s="40" t="s">
        <v>6365</v>
      </c>
      <c r="H1389" s="40" t="s">
        <v>6366</v>
      </c>
      <c r="I1389" s="38" t="s">
        <v>6367</v>
      </c>
      <c r="J1389" s="38" t="s">
        <v>15</v>
      </c>
      <c r="K1389" s="38" t="s">
        <v>6368</v>
      </c>
      <c r="L1389" s="38" t="s">
        <v>55</v>
      </c>
      <c r="M1389" s="37" t="s">
        <v>120</v>
      </c>
      <c r="N1389" s="39" t="n">
        <v>38520</v>
      </c>
      <c r="O1389" s="41" t="s">
        <v>23</v>
      </c>
      <c r="P1389" s="41" t="s">
        <v>105</v>
      </c>
      <c r="Q1389" s="42"/>
      <c r="R1389" s="41"/>
      <c r="S1389" s="42"/>
      <c r="T1389" s="41"/>
    </row>
    <row r="1390" customFormat="false" ht="13.5" hidden="false" customHeight="true" outlineLevel="0" collapsed="false">
      <c r="A1390" s="37" t="n">
        <v>1387</v>
      </c>
      <c r="B1390" s="37" t="n">
        <v>3765</v>
      </c>
      <c r="C1390" s="38" t="s">
        <v>6369</v>
      </c>
      <c r="D1390" s="37" t="s">
        <v>100</v>
      </c>
      <c r="E1390" s="39" t="n">
        <v>30814</v>
      </c>
      <c r="F1390" s="37" t="n">
        <f aca="true">IFERROR(DATEDIF(E1390,TODAY(),"Y"),"")</f>
        <v>42</v>
      </c>
      <c r="G1390" s="40" t="s">
        <v>6370</v>
      </c>
      <c r="H1390" s="40" t="s">
        <v>6371</v>
      </c>
      <c r="I1390" s="38" t="s">
        <v>6372</v>
      </c>
      <c r="J1390" s="38" t="s">
        <v>15</v>
      </c>
      <c r="K1390" s="38" t="s">
        <v>6373</v>
      </c>
      <c r="L1390" s="38" t="s">
        <v>47</v>
      </c>
      <c r="M1390" s="37"/>
      <c r="N1390" s="39" t="n">
        <v>38520</v>
      </c>
      <c r="O1390" s="41" t="s">
        <v>23</v>
      </c>
      <c r="P1390" s="41" t="s">
        <v>105</v>
      </c>
      <c r="Q1390" s="42"/>
      <c r="R1390" s="41"/>
      <c r="S1390" s="42"/>
      <c r="T1390" s="41"/>
    </row>
    <row r="1391" customFormat="false" ht="13.5" hidden="false" customHeight="true" outlineLevel="0" collapsed="false">
      <c r="A1391" s="37" t="n">
        <v>1388</v>
      </c>
      <c r="B1391" s="37" t="n">
        <v>3768</v>
      </c>
      <c r="C1391" s="38" t="s">
        <v>6374</v>
      </c>
      <c r="D1391" s="37" t="s">
        <v>100</v>
      </c>
      <c r="E1391" s="39" t="n">
        <v>24607</v>
      </c>
      <c r="F1391" s="37" t="n">
        <f aca="true">IFERROR(DATEDIF(E1391,TODAY(),"Y"),"")</f>
        <v>59</v>
      </c>
      <c r="G1391" s="40" t="s">
        <v>6375</v>
      </c>
      <c r="H1391" s="40" t="s">
        <v>6376</v>
      </c>
      <c r="I1391" s="38" t="s">
        <v>6377</v>
      </c>
      <c r="J1391" s="38" t="s">
        <v>16</v>
      </c>
      <c r="K1391" s="38" t="s">
        <v>6378</v>
      </c>
      <c r="L1391" s="38" t="s">
        <v>50</v>
      </c>
      <c r="M1391" s="37"/>
      <c r="N1391" s="39" t="n">
        <v>38520</v>
      </c>
      <c r="O1391" s="41" t="s">
        <v>23</v>
      </c>
      <c r="P1391" s="41" t="s">
        <v>105</v>
      </c>
      <c r="Q1391" s="42"/>
      <c r="R1391" s="41"/>
      <c r="S1391" s="42"/>
      <c r="T1391" s="41"/>
    </row>
    <row r="1392" customFormat="false" ht="13.5" hidden="false" customHeight="true" outlineLevel="0" collapsed="false">
      <c r="A1392" s="37" t="n">
        <v>1389</v>
      </c>
      <c r="B1392" s="37" t="n">
        <v>3769</v>
      </c>
      <c r="C1392" s="38" t="s">
        <v>6379</v>
      </c>
      <c r="D1392" s="37" t="s">
        <v>100</v>
      </c>
      <c r="E1392" s="39" t="n">
        <v>22981</v>
      </c>
      <c r="F1392" s="37" t="n">
        <f aca="true">IFERROR(DATEDIF(E1392,TODAY(),"Y"),"")</f>
        <v>63</v>
      </c>
      <c r="G1392" s="40" t="s">
        <v>6380</v>
      </c>
      <c r="H1392" s="40" t="s">
        <v>6381</v>
      </c>
      <c r="I1392" s="38"/>
      <c r="J1392" s="38" t="s">
        <v>18</v>
      </c>
      <c r="K1392" s="38" t="s">
        <v>6382</v>
      </c>
      <c r="L1392" s="38" t="s">
        <v>46</v>
      </c>
      <c r="M1392" s="37"/>
      <c r="N1392" s="39" t="n">
        <v>38520</v>
      </c>
      <c r="O1392" s="41" t="s">
        <v>23</v>
      </c>
      <c r="P1392" s="41" t="s">
        <v>105</v>
      </c>
      <c r="Q1392" s="42"/>
      <c r="R1392" s="41"/>
      <c r="S1392" s="42"/>
      <c r="T1392" s="41"/>
    </row>
    <row r="1393" customFormat="false" ht="13.5" hidden="false" customHeight="true" outlineLevel="0" collapsed="false">
      <c r="A1393" s="37" t="n">
        <v>1390</v>
      </c>
      <c r="B1393" s="37" t="n">
        <v>3770</v>
      </c>
      <c r="C1393" s="38" t="s">
        <v>6383</v>
      </c>
      <c r="D1393" s="37" t="s">
        <v>100</v>
      </c>
      <c r="E1393" s="39" t="n">
        <v>24973</v>
      </c>
      <c r="F1393" s="37" t="n">
        <f aca="true">IFERROR(DATEDIF(E1393,TODAY(),"Y"),"")</f>
        <v>58</v>
      </c>
      <c r="G1393" s="40" t="s">
        <v>6384</v>
      </c>
      <c r="H1393" s="40" t="s">
        <v>6385</v>
      </c>
      <c r="I1393" s="38" t="s">
        <v>6386</v>
      </c>
      <c r="J1393" s="38" t="s">
        <v>15</v>
      </c>
      <c r="K1393" s="38" t="s">
        <v>6387</v>
      </c>
      <c r="L1393" s="38" t="s">
        <v>51</v>
      </c>
      <c r="M1393" s="37"/>
      <c r="N1393" s="39" t="n">
        <v>38520</v>
      </c>
      <c r="O1393" s="41" t="s">
        <v>23</v>
      </c>
      <c r="P1393" s="41" t="s">
        <v>105</v>
      </c>
      <c r="Q1393" s="42"/>
      <c r="R1393" s="41"/>
      <c r="S1393" s="42"/>
      <c r="T1393" s="41"/>
    </row>
    <row r="1394" customFormat="false" ht="13.5" hidden="false" customHeight="true" outlineLevel="0" collapsed="false">
      <c r="A1394" s="37" t="n">
        <v>1391</v>
      </c>
      <c r="B1394" s="37" t="n">
        <v>3773</v>
      </c>
      <c r="C1394" s="38" t="s">
        <v>6388</v>
      </c>
      <c r="D1394" s="37" t="s">
        <v>100</v>
      </c>
      <c r="E1394" s="39" t="n">
        <v>22421</v>
      </c>
      <c r="F1394" s="37" t="n">
        <f aca="true">IFERROR(DATEDIF(E1394,TODAY(),"Y"),"")</f>
        <v>65</v>
      </c>
      <c r="G1394" s="40" t="s">
        <v>6389</v>
      </c>
      <c r="H1394" s="40" t="s">
        <v>6390</v>
      </c>
      <c r="I1394" s="38" t="s">
        <v>6391</v>
      </c>
      <c r="J1394" s="38" t="s">
        <v>15</v>
      </c>
      <c r="K1394" s="38" t="s">
        <v>6392</v>
      </c>
      <c r="L1394" s="38" t="s">
        <v>54</v>
      </c>
      <c r="M1394" s="37"/>
      <c r="N1394" s="39" t="n">
        <v>38520</v>
      </c>
      <c r="O1394" s="41" t="s">
        <v>23</v>
      </c>
      <c r="P1394" s="41" t="s">
        <v>105</v>
      </c>
      <c r="Q1394" s="42"/>
      <c r="R1394" s="41"/>
      <c r="S1394" s="42"/>
      <c r="T1394" s="41"/>
    </row>
    <row r="1395" customFormat="false" ht="13.5" hidden="false" customHeight="true" outlineLevel="0" collapsed="false">
      <c r="A1395" s="37" t="n">
        <v>1392</v>
      </c>
      <c r="B1395" s="37" t="n">
        <v>3774</v>
      </c>
      <c r="C1395" s="38" t="s">
        <v>6393</v>
      </c>
      <c r="D1395" s="37" t="s">
        <v>100</v>
      </c>
      <c r="E1395" s="39" t="n">
        <v>26942</v>
      </c>
      <c r="F1395" s="37" t="n">
        <f aca="true">IFERROR(DATEDIF(E1395,TODAY(),"Y"),"")</f>
        <v>52</v>
      </c>
      <c r="G1395" s="40" t="s">
        <v>6394</v>
      </c>
      <c r="H1395" s="40"/>
      <c r="I1395" s="38" t="s">
        <v>6395</v>
      </c>
      <c r="J1395" s="38" t="s">
        <v>15</v>
      </c>
      <c r="K1395" s="38" t="s">
        <v>6396</v>
      </c>
      <c r="L1395" s="38" t="s">
        <v>47</v>
      </c>
      <c r="M1395" s="37" t="s">
        <v>120</v>
      </c>
      <c r="N1395" s="39" t="n">
        <v>38520</v>
      </c>
      <c r="O1395" s="41" t="s">
        <v>23</v>
      </c>
      <c r="P1395" s="41" t="s">
        <v>105</v>
      </c>
      <c r="Q1395" s="42"/>
      <c r="R1395" s="41"/>
      <c r="S1395" s="42"/>
      <c r="T1395" s="41"/>
    </row>
    <row r="1396" customFormat="false" ht="13.5" hidden="false" customHeight="true" outlineLevel="0" collapsed="false">
      <c r="A1396" s="37" t="n">
        <v>1393</v>
      </c>
      <c r="B1396" s="37" t="n">
        <v>3775</v>
      </c>
      <c r="C1396" s="38" t="s">
        <v>6397</v>
      </c>
      <c r="D1396" s="37" t="s">
        <v>100</v>
      </c>
      <c r="E1396" s="39" t="n">
        <v>24259</v>
      </c>
      <c r="F1396" s="37" t="n">
        <f aca="true">IFERROR(DATEDIF(E1396,TODAY(),"Y"),"")</f>
        <v>60</v>
      </c>
      <c r="G1396" s="40" t="s">
        <v>6398</v>
      </c>
      <c r="H1396" s="40"/>
      <c r="I1396" s="38"/>
      <c r="J1396" s="38" t="s">
        <v>15</v>
      </c>
      <c r="K1396" s="38" t="s">
        <v>6399</v>
      </c>
      <c r="L1396" s="38" t="s">
        <v>44</v>
      </c>
      <c r="M1396" s="37"/>
      <c r="N1396" s="39" t="n">
        <v>38520</v>
      </c>
      <c r="O1396" s="41" t="s">
        <v>23</v>
      </c>
      <c r="P1396" s="41" t="s">
        <v>105</v>
      </c>
      <c r="Q1396" s="42"/>
      <c r="R1396" s="41"/>
      <c r="S1396" s="42"/>
      <c r="T1396" s="41"/>
    </row>
    <row r="1397" customFormat="false" ht="13.5" hidden="false" customHeight="true" outlineLevel="0" collapsed="false">
      <c r="A1397" s="37" t="n">
        <v>1394</v>
      </c>
      <c r="B1397" s="37" t="n">
        <v>3777</v>
      </c>
      <c r="C1397" s="38" t="s">
        <v>6400</v>
      </c>
      <c r="D1397" s="37" t="s">
        <v>100</v>
      </c>
      <c r="E1397" s="39" t="n">
        <v>25309</v>
      </c>
      <c r="F1397" s="37" t="n">
        <f aca="true">IFERROR(DATEDIF(E1397,TODAY(),"Y"),"")</f>
        <v>57</v>
      </c>
      <c r="G1397" s="40" t="s">
        <v>6401</v>
      </c>
      <c r="H1397" s="40" t="s">
        <v>6402</v>
      </c>
      <c r="I1397" s="38"/>
      <c r="J1397" s="38" t="s">
        <v>15</v>
      </c>
      <c r="K1397" s="38" t="s">
        <v>6403</v>
      </c>
      <c r="L1397" s="38" t="s">
        <v>55</v>
      </c>
      <c r="M1397" s="37"/>
      <c r="N1397" s="39" t="n">
        <v>38520</v>
      </c>
      <c r="O1397" s="41" t="s">
        <v>23</v>
      </c>
      <c r="P1397" s="41" t="s">
        <v>105</v>
      </c>
      <c r="Q1397" s="42"/>
      <c r="R1397" s="41"/>
      <c r="S1397" s="42"/>
      <c r="T1397" s="41"/>
    </row>
    <row r="1398" customFormat="false" ht="13.5" hidden="false" customHeight="true" outlineLevel="0" collapsed="false">
      <c r="A1398" s="37" t="n">
        <v>1395</v>
      </c>
      <c r="B1398" s="37" t="n">
        <v>3781</v>
      </c>
      <c r="C1398" s="38" t="s">
        <v>6404</v>
      </c>
      <c r="D1398" s="37" t="s">
        <v>100</v>
      </c>
      <c r="E1398" s="39" t="n">
        <v>24607</v>
      </c>
      <c r="F1398" s="37" t="n">
        <f aca="true">IFERROR(DATEDIF(E1398,TODAY(),"Y"),"")</f>
        <v>59</v>
      </c>
      <c r="G1398" s="40" t="s">
        <v>6405</v>
      </c>
      <c r="H1398" s="40" t="s">
        <v>6406</v>
      </c>
      <c r="I1398" s="38" t="s">
        <v>6407</v>
      </c>
      <c r="J1398" s="38" t="s">
        <v>27</v>
      </c>
      <c r="K1398" s="38" t="s">
        <v>6408</v>
      </c>
      <c r="L1398" s="38" t="s">
        <v>43</v>
      </c>
      <c r="M1398" s="37" t="s">
        <v>177</v>
      </c>
      <c r="N1398" s="39" t="n">
        <v>43451</v>
      </c>
      <c r="O1398" s="41" t="s">
        <v>23</v>
      </c>
      <c r="P1398" s="41" t="s">
        <v>105</v>
      </c>
      <c r="Q1398" s="42"/>
      <c r="R1398" s="41"/>
      <c r="S1398" s="42"/>
      <c r="T1398" s="41"/>
    </row>
    <row r="1399" customFormat="false" ht="13.5" hidden="false" customHeight="true" outlineLevel="0" collapsed="false">
      <c r="A1399" s="37" t="n">
        <v>1396</v>
      </c>
      <c r="B1399" s="37" t="n">
        <v>3782</v>
      </c>
      <c r="C1399" s="38" t="s">
        <v>6409</v>
      </c>
      <c r="D1399" s="37" t="s">
        <v>100</v>
      </c>
      <c r="E1399" s="39" t="n">
        <v>30418</v>
      </c>
      <c r="F1399" s="37" t="n">
        <f aca="true">IFERROR(DATEDIF(E1399,TODAY(),"Y"),"")</f>
        <v>43</v>
      </c>
      <c r="G1399" s="40" t="s">
        <v>6410</v>
      </c>
      <c r="H1399" s="40" t="s">
        <v>6411</v>
      </c>
      <c r="I1399" s="38" t="s">
        <v>6412</v>
      </c>
      <c r="J1399" s="38" t="s">
        <v>16</v>
      </c>
      <c r="K1399" s="38" t="s">
        <v>6413</v>
      </c>
      <c r="L1399" s="38" t="s">
        <v>52</v>
      </c>
      <c r="M1399" s="37" t="s">
        <v>231</v>
      </c>
      <c r="N1399" s="39" t="n">
        <v>43456</v>
      </c>
      <c r="O1399" s="41" t="s">
        <v>23</v>
      </c>
      <c r="P1399" s="41" t="s">
        <v>105</v>
      </c>
      <c r="Q1399" s="42"/>
      <c r="R1399" s="41"/>
      <c r="S1399" s="42"/>
      <c r="T1399" s="41"/>
    </row>
    <row r="1400" customFormat="false" ht="13.5" hidden="false" customHeight="true" outlineLevel="0" collapsed="false">
      <c r="A1400" s="37" t="n">
        <v>1397</v>
      </c>
      <c r="B1400" s="37" t="n">
        <v>3783</v>
      </c>
      <c r="C1400" s="38" t="s">
        <v>6414</v>
      </c>
      <c r="D1400" s="37" t="s">
        <v>100</v>
      </c>
      <c r="E1400" s="39" t="n">
        <v>26452</v>
      </c>
      <c r="F1400" s="37" t="n">
        <f aca="true">IFERROR(DATEDIF(E1400,TODAY(),"Y"),"")</f>
        <v>54</v>
      </c>
      <c r="G1400" s="40" t="s">
        <v>6415</v>
      </c>
      <c r="H1400" s="40" t="s">
        <v>6416</v>
      </c>
      <c r="I1400" s="38" t="s">
        <v>6417</v>
      </c>
      <c r="J1400" s="38" t="s">
        <v>15</v>
      </c>
      <c r="K1400" s="38" t="s">
        <v>6418</v>
      </c>
      <c r="L1400" s="38" t="s">
        <v>51</v>
      </c>
      <c r="M1400" s="37" t="s">
        <v>120</v>
      </c>
      <c r="N1400" s="39" t="n">
        <v>43456</v>
      </c>
      <c r="O1400" s="41" t="s">
        <v>23</v>
      </c>
      <c r="P1400" s="41" t="s">
        <v>105</v>
      </c>
      <c r="Q1400" s="42"/>
      <c r="R1400" s="41"/>
      <c r="S1400" s="42"/>
      <c r="T1400" s="41"/>
    </row>
    <row r="1401" customFormat="false" ht="13.5" hidden="false" customHeight="true" outlineLevel="0" collapsed="false">
      <c r="A1401" s="37" t="n">
        <v>1398</v>
      </c>
      <c r="B1401" s="37" t="n">
        <v>3784</v>
      </c>
      <c r="C1401" s="38" t="s">
        <v>6419</v>
      </c>
      <c r="D1401" s="37" t="s">
        <v>100</v>
      </c>
      <c r="E1401" s="39" t="n">
        <v>31153</v>
      </c>
      <c r="F1401" s="37" t="n">
        <f aca="true">IFERROR(DATEDIF(E1401,TODAY(),"Y"),"")</f>
        <v>41</v>
      </c>
      <c r="G1401" s="40" t="s">
        <v>6420</v>
      </c>
      <c r="H1401" s="40" t="s">
        <v>6421</v>
      </c>
      <c r="I1401" s="38" t="s">
        <v>6422</v>
      </c>
      <c r="J1401" s="38" t="s">
        <v>16</v>
      </c>
      <c r="K1401" s="38" t="s">
        <v>6423</v>
      </c>
      <c r="L1401" s="38" t="s">
        <v>47</v>
      </c>
      <c r="M1401" s="37" t="s">
        <v>104</v>
      </c>
      <c r="N1401" s="39" t="n">
        <v>43457</v>
      </c>
      <c r="O1401" s="41" t="s">
        <v>23</v>
      </c>
      <c r="P1401" s="41" t="s">
        <v>105</v>
      </c>
      <c r="Q1401" s="42"/>
      <c r="R1401" s="41"/>
      <c r="S1401" s="42"/>
      <c r="T1401" s="41"/>
    </row>
    <row r="1402" customFormat="false" ht="13.5" hidden="false" customHeight="true" outlineLevel="0" collapsed="false">
      <c r="A1402" s="37" t="n">
        <v>1399</v>
      </c>
      <c r="B1402" s="37" t="n">
        <v>3785</v>
      </c>
      <c r="C1402" s="38" t="s">
        <v>6424</v>
      </c>
      <c r="D1402" s="37" t="s">
        <v>100</v>
      </c>
      <c r="E1402" s="39" t="n">
        <v>29347</v>
      </c>
      <c r="F1402" s="37" t="n">
        <f aca="true">IFERROR(DATEDIF(E1402,TODAY(),"Y"),"")</f>
        <v>46</v>
      </c>
      <c r="G1402" s="40" t="s">
        <v>6425</v>
      </c>
      <c r="H1402" s="40"/>
      <c r="I1402" s="38" t="s">
        <v>6426</v>
      </c>
      <c r="J1402" s="38" t="s">
        <v>15</v>
      </c>
      <c r="K1402" s="38" t="s">
        <v>6427</v>
      </c>
      <c r="L1402" s="38" t="s">
        <v>55</v>
      </c>
      <c r="M1402" s="37"/>
      <c r="N1402" s="39" t="n">
        <v>43458</v>
      </c>
      <c r="O1402" s="41" t="s">
        <v>23</v>
      </c>
      <c r="P1402" s="41" t="s">
        <v>105</v>
      </c>
      <c r="Q1402" s="42"/>
      <c r="R1402" s="41"/>
      <c r="S1402" s="42"/>
      <c r="T1402" s="41"/>
    </row>
    <row r="1403" customFormat="false" ht="13.5" hidden="false" customHeight="true" outlineLevel="0" collapsed="false">
      <c r="A1403" s="37" t="n">
        <v>1400</v>
      </c>
      <c r="B1403" s="37" t="n">
        <v>3786</v>
      </c>
      <c r="C1403" s="38" t="s">
        <v>6428</v>
      </c>
      <c r="D1403" s="37" t="s">
        <v>100</v>
      </c>
      <c r="E1403" s="39" t="n">
        <v>23865</v>
      </c>
      <c r="F1403" s="37" t="n">
        <f aca="true">IFERROR(DATEDIF(E1403,TODAY(),"Y"),"")</f>
        <v>61</v>
      </c>
      <c r="G1403" s="40" t="s">
        <v>6429</v>
      </c>
      <c r="H1403" s="40"/>
      <c r="I1403" s="38" t="s">
        <v>6430</v>
      </c>
      <c r="J1403" s="38" t="s">
        <v>15</v>
      </c>
      <c r="K1403" s="38" t="s">
        <v>6431</v>
      </c>
      <c r="L1403" s="38" t="s">
        <v>55</v>
      </c>
      <c r="M1403" s="37" t="s">
        <v>104</v>
      </c>
      <c r="N1403" s="39" t="n">
        <v>43461</v>
      </c>
      <c r="O1403" s="41" t="s">
        <v>23</v>
      </c>
      <c r="P1403" s="41" t="s">
        <v>105</v>
      </c>
      <c r="Q1403" s="42"/>
      <c r="R1403" s="41"/>
      <c r="S1403" s="42"/>
      <c r="T1403" s="41"/>
    </row>
    <row r="1404" customFormat="false" ht="13.5" hidden="false" customHeight="true" outlineLevel="0" collapsed="false">
      <c r="A1404" s="37" t="n">
        <v>1401</v>
      </c>
      <c r="B1404" s="37" t="n">
        <v>3787</v>
      </c>
      <c r="C1404" s="38" t="s">
        <v>6432</v>
      </c>
      <c r="D1404" s="37" t="s">
        <v>100</v>
      </c>
      <c r="E1404" s="39" t="n">
        <v>26449</v>
      </c>
      <c r="F1404" s="37" t="n">
        <f aca="true">IFERROR(DATEDIF(E1404,TODAY(),"Y"),"")</f>
        <v>54</v>
      </c>
      <c r="G1404" s="40" t="s">
        <v>6433</v>
      </c>
      <c r="H1404" s="40"/>
      <c r="I1404" s="38" t="s">
        <v>6434</v>
      </c>
      <c r="J1404" s="38" t="s">
        <v>15</v>
      </c>
      <c r="K1404" s="38" t="s">
        <v>6435</v>
      </c>
      <c r="L1404" s="38" t="s">
        <v>50</v>
      </c>
      <c r="M1404" s="37" t="s">
        <v>177</v>
      </c>
      <c r="N1404" s="39" t="n">
        <v>43474</v>
      </c>
      <c r="O1404" s="41" t="s">
        <v>23</v>
      </c>
      <c r="P1404" s="41" t="s">
        <v>105</v>
      </c>
      <c r="Q1404" s="42"/>
      <c r="R1404" s="41"/>
      <c r="S1404" s="42"/>
      <c r="T1404" s="41"/>
    </row>
    <row r="1405" customFormat="false" ht="13.5" hidden="false" customHeight="true" outlineLevel="0" collapsed="false">
      <c r="A1405" s="37" t="n">
        <v>1402</v>
      </c>
      <c r="B1405" s="37" t="n">
        <v>3788</v>
      </c>
      <c r="C1405" s="38" t="s">
        <v>6436</v>
      </c>
      <c r="D1405" s="37" t="s">
        <v>100</v>
      </c>
      <c r="E1405" s="39" t="n">
        <v>30704</v>
      </c>
      <c r="F1405" s="37" t="n">
        <f aca="true">IFERROR(DATEDIF(E1405,TODAY(),"Y"),"")</f>
        <v>42</v>
      </c>
      <c r="G1405" s="40" t="s">
        <v>6437</v>
      </c>
      <c r="H1405" s="40"/>
      <c r="I1405" s="38" t="s">
        <v>6438</v>
      </c>
      <c r="J1405" s="38" t="s">
        <v>15</v>
      </c>
      <c r="K1405" s="38" t="s">
        <v>6439</v>
      </c>
      <c r="L1405" s="38" t="s">
        <v>47</v>
      </c>
      <c r="M1405" s="37" t="s">
        <v>177</v>
      </c>
      <c r="N1405" s="39" t="n">
        <v>43482</v>
      </c>
      <c r="O1405" s="41" t="s">
        <v>23</v>
      </c>
      <c r="P1405" s="41" t="s">
        <v>105</v>
      </c>
      <c r="Q1405" s="42"/>
      <c r="R1405" s="41"/>
      <c r="S1405" s="42"/>
      <c r="T1405" s="41"/>
    </row>
    <row r="1406" customFormat="false" ht="13.5" hidden="false" customHeight="true" outlineLevel="0" collapsed="false">
      <c r="A1406" s="37" t="n">
        <v>1403</v>
      </c>
      <c r="B1406" s="37" t="n">
        <v>3789</v>
      </c>
      <c r="C1406" s="38" t="s">
        <v>6440</v>
      </c>
      <c r="D1406" s="37" t="s">
        <v>100</v>
      </c>
      <c r="E1406" s="39" t="n">
        <v>28811</v>
      </c>
      <c r="F1406" s="37" t="n">
        <f aca="true">IFERROR(DATEDIF(E1406,TODAY(),"Y"),"")</f>
        <v>47</v>
      </c>
      <c r="G1406" s="40" t="s">
        <v>6441</v>
      </c>
      <c r="H1406" s="40" t="s">
        <v>6442</v>
      </c>
      <c r="I1406" s="38" t="s">
        <v>6443</v>
      </c>
      <c r="J1406" s="38" t="s">
        <v>15</v>
      </c>
      <c r="K1406" s="38" t="s">
        <v>6444</v>
      </c>
      <c r="L1406" s="43" t="s">
        <v>58</v>
      </c>
      <c r="M1406" s="37" t="s">
        <v>120</v>
      </c>
      <c r="N1406" s="39" t="n">
        <v>43484</v>
      </c>
      <c r="O1406" s="41" t="s">
        <v>23</v>
      </c>
      <c r="P1406" s="41" t="s">
        <v>105</v>
      </c>
      <c r="Q1406" s="42"/>
      <c r="R1406" s="41"/>
      <c r="S1406" s="42"/>
      <c r="T1406" s="41"/>
    </row>
    <row r="1407" customFormat="false" ht="13.5" hidden="false" customHeight="true" outlineLevel="0" collapsed="false">
      <c r="A1407" s="37" t="n">
        <v>1404</v>
      </c>
      <c r="B1407" s="37" t="n">
        <v>3790</v>
      </c>
      <c r="C1407" s="38" t="s">
        <v>6445</v>
      </c>
      <c r="D1407" s="37" t="s">
        <v>100</v>
      </c>
      <c r="E1407" s="39" t="n">
        <v>21731</v>
      </c>
      <c r="F1407" s="37" t="n">
        <f aca="true">IFERROR(DATEDIF(E1407,TODAY(),"Y"),"")</f>
        <v>67</v>
      </c>
      <c r="G1407" s="40" t="s">
        <v>6446</v>
      </c>
      <c r="H1407" s="40" t="s">
        <v>6447</v>
      </c>
      <c r="I1407" s="38" t="s">
        <v>6448</v>
      </c>
      <c r="J1407" s="38" t="s">
        <v>15</v>
      </c>
      <c r="K1407" s="38" t="s">
        <v>6449</v>
      </c>
      <c r="L1407" s="38" t="s">
        <v>54</v>
      </c>
      <c r="M1407" s="37" t="s">
        <v>104</v>
      </c>
      <c r="N1407" s="39" t="n">
        <v>43484</v>
      </c>
      <c r="O1407" s="41" t="s">
        <v>23</v>
      </c>
      <c r="P1407" s="41" t="s">
        <v>105</v>
      </c>
      <c r="Q1407" s="42"/>
      <c r="R1407" s="41"/>
      <c r="S1407" s="42"/>
      <c r="T1407" s="41"/>
    </row>
    <row r="1408" customFormat="false" ht="13.5" hidden="false" customHeight="true" outlineLevel="0" collapsed="false">
      <c r="A1408" s="37" t="n">
        <v>1405</v>
      </c>
      <c r="B1408" s="37" t="n">
        <v>3791</v>
      </c>
      <c r="C1408" s="38" t="s">
        <v>6450</v>
      </c>
      <c r="D1408" s="37" t="s">
        <v>100</v>
      </c>
      <c r="E1408" s="39" t="n">
        <v>28258</v>
      </c>
      <c r="F1408" s="37" t="n">
        <f aca="true">IFERROR(DATEDIF(E1408,TODAY(),"Y"),"")</f>
        <v>49</v>
      </c>
      <c r="G1408" s="40" t="s">
        <v>6451</v>
      </c>
      <c r="H1408" s="40" t="s">
        <v>6452</v>
      </c>
      <c r="I1408" s="38" t="s">
        <v>6453</v>
      </c>
      <c r="J1408" s="38" t="s">
        <v>16</v>
      </c>
      <c r="K1408" s="38" t="s">
        <v>6454</v>
      </c>
      <c r="L1408" s="38" t="s">
        <v>48</v>
      </c>
      <c r="M1408" s="37" t="s">
        <v>120</v>
      </c>
      <c r="N1408" s="39" t="n">
        <v>43488</v>
      </c>
      <c r="O1408" s="41" t="s">
        <v>23</v>
      </c>
      <c r="P1408" s="41" t="s">
        <v>105</v>
      </c>
      <c r="Q1408" s="42"/>
      <c r="R1408" s="41"/>
      <c r="S1408" s="42"/>
      <c r="T1408" s="41"/>
    </row>
    <row r="1409" customFormat="false" ht="13.5" hidden="false" customHeight="true" outlineLevel="0" collapsed="false">
      <c r="A1409" s="37" t="n">
        <v>1406</v>
      </c>
      <c r="B1409" s="37" t="n">
        <v>3792</v>
      </c>
      <c r="C1409" s="38" t="s">
        <v>6455</v>
      </c>
      <c r="D1409" s="37" t="s">
        <v>100</v>
      </c>
      <c r="E1409" s="39" t="n">
        <v>24973</v>
      </c>
      <c r="F1409" s="37" t="n">
        <f aca="true">IFERROR(DATEDIF(E1409,TODAY(),"Y"),"")</f>
        <v>58</v>
      </c>
      <c r="G1409" s="40" t="s">
        <v>6456</v>
      </c>
      <c r="H1409" s="40"/>
      <c r="I1409" s="38" t="s">
        <v>6457</v>
      </c>
      <c r="J1409" s="38" t="s">
        <v>16</v>
      </c>
      <c r="K1409" s="38" t="s">
        <v>6458</v>
      </c>
      <c r="L1409" s="38" t="s">
        <v>54</v>
      </c>
      <c r="M1409" s="37" t="s">
        <v>177</v>
      </c>
      <c r="N1409" s="39" t="n">
        <v>43502</v>
      </c>
      <c r="O1409" s="41" t="s">
        <v>23</v>
      </c>
      <c r="P1409" s="41" t="s">
        <v>105</v>
      </c>
      <c r="Q1409" s="42"/>
      <c r="R1409" s="41"/>
      <c r="S1409" s="42"/>
      <c r="T1409" s="41"/>
    </row>
    <row r="1410" customFormat="false" ht="13.5" hidden="false" customHeight="true" outlineLevel="0" collapsed="false">
      <c r="A1410" s="37" t="n">
        <v>1407</v>
      </c>
      <c r="B1410" s="37" t="n">
        <v>3793</v>
      </c>
      <c r="C1410" s="38" t="s">
        <v>6459</v>
      </c>
      <c r="D1410" s="37" t="s">
        <v>100</v>
      </c>
      <c r="E1410" s="39" t="n">
        <v>27018</v>
      </c>
      <c r="F1410" s="37" t="n">
        <f aca="true">IFERROR(DATEDIF(E1410,TODAY(),"Y"),"")</f>
        <v>52</v>
      </c>
      <c r="G1410" s="40" t="s">
        <v>6460</v>
      </c>
      <c r="H1410" s="40"/>
      <c r="I1410" s="38" t="s">
        <v>6461</v>
      </c>
      <c r="J1410" s="38" t="s">
        <v>16</v>
      </c>
      <c r="K1410" s="38" t="s">
        <v>6462</v>
      </c>
      <c r="L1410" s="38" t="s">
        <v>55</v>
      </c>
      <c r="M1410" s="37" t="s">
        <v>177</v>
      </c>
      <c r="N1410" s="39" t="n">
        <v>43505</v>
      </c>
      <c r="O1410" s="41" t="s">
        <v>23</v>
      </c>
      <c r="P1410" s="41" t="s">
        <v>105</v>
      </c>
      <c r="Q1410" s="42"/>
      <c r="R1410" s="41"/>
      <c r="S1410" s="42"/>
      <c r="T1410" s="41"/>
    </row>
    <row r="1411" customFormat="false" ht="13.5" hidden="false" customHeight="true" outlineLevel="0" collapsed="false">
      <c r="A1411" s="37" t="n">
        <v>1408</v>
      </c>
      <c r="B1411" s="37" t="n">
        <v>3794</v>
      </c>
      <c r="C1411" s="38" t="s">
        <v>6463</v>
      </c>
      <c r="D1411" s="37" t="s">
        <v>100</v>
      </c>
      <c r="E1411" s="39" t="n">
        <v>22381</v>
      </c>
      <c r="F1411" s="37" t="n">
        <f aca="true">IFERROR(DATEDIF(E1411,TODAY(),"Y"),"")</f>
        <v>65</v>
      </c>
      <c r="G1411" s="40" t="s">
        <v>6464</v>
      </c>
      <c r="H1411" s="40" t="s">
        <v>6465</v>
      </c>
      <c r="I1411" s="38" t="s">
        <v>6466</v>
      </c>
      <c r="J1411" s="38" t="s">
        <v>15</v>
      </c>
      <c r="K1411" s="38" t="s">
        <v>6467</v>
      </c>
      <c r="L1411" s="38" t="s">
        <v>54</v>
      </c>
      <c r="M1411" s="37"/>
      <c r="N1411" s="39" t="n">
        <v>43507</v>
      </c>
      <c r="O1411" s="41" t="s">
        <v>23</v>
      </c>
      <c r="P1411" s="41" t="s">
        <v>105</v>
      </c>
      <c r="Q1411" s="42"/>
      <c r="R1411" s="41"/>
      <c r="S1411" s="42"/>
      <c r="T1411" s="41"/>
    </row>
    <row r="1412" customFormat="false" ht="13.5" hidden="false" customHeight="true" outlineLevel="0" collapsed="false">
      <c r="A1412" s="37" t="n">
        <v>1409</v>
      </c>
      <c r="B1412" s="37" t="n">
        <v>3795</v>
      </c>
      <c r="C1412" s="38" t="s">
        <v>6468</v>
      </c>
      <c r="D1412" s="37" t="s">
        <v>100</v>
      </c>
      <c r="E1412" s="39" t="n">
        <v>25351</v>
      </c>
      <c r="F1412" s="37" t="n">
        <f aca="true">IFERROR(DATEDIF(E1412,TODAY(),"Y"),"")</f>
        <v>57</v>
      </c>
      <c r="G1412" s="40" t="s">
        <v>6469</v>
      </c>
      <c r="H1412" s="40"/>
      <c r="I1412" s="38" t="s">
        <v>6470</v>
      </c>
      <c r="J1412" s="38" t="s">
        <v>15</v>
      </c>
      <c r="K1412" s="38" t="s">
        <v>6471</v>
      </c>
      <c r="L1412" s="38" t="s">
        <v>53</v>
      </c>
      <c r="M1412" s="37" t="s">
        <v>177</v>
      </c>
      <c r="N1412" s="39" t="n">
        <v>43508</v>
      </c>
      <c r="O1412" s="41" t="s">
        <v>23</v>
      </c>
      <c r="P1412" s="41" t="s">
        <v>105</v>
      </c>
      <c r="Q1412" s="42"/>
      <c r="R1412" s="41"/>
      <c r="S1412" s="42"/>
      <c r="T1412" s="41"/>
    </row>
    <row r="1413" customFormat="false" ht="13.5" hidden="false" customHeight="true" outlineLevel="0" collapsed="false">
      <c r="A1413" s="37" t="n">
        <v>1410</v>
      </c>
      <c r="B1413" s="37" t="n">
        <v>3796</v>
      </c>
      <c r="C1413" s="38" t="s">
        <v>6472</v>
      </c>
      <c r="D1413" s="37" t="s">
        <v>100</v>
      </c>
      <c r="E1413" s="39" t="n">
        <v>33740</v>
      </c>
      <c r="F1413" s="37" t="n">
        <f aca="true">IFERROR(DATEDIF(E1413,TODAY(),"Y"),"")</f>
        <v>34</v>
      </c>
      <c r="G1413" s="40" t="s">
        <v>6473</v>
      </c>
      <c r="H1413" s="40"/>
      <c r="I1413" s="38" t="s">
        <v>6474</v>
      </c>
      <c r="J1413" s="38" t="s">
        <v>18</v>
      </c>
      <c r="K1413" s="38" t="s">
        <v>6475</v>
      </c>
      <c r="L1413" s="38" t="s">
        <v>55</v>
      </c>
      <c r="M1413" s="37" t="s">
        <v>177</v>
      </c>
      <c r="N1413" s="39" t="n">
        <v>43510</v>
      </c>
      <c r="O1413" s="41" t="s">
        <v>23</v>
      </c>
      <c r="P1413" s="41" t="s">
        <v>105</v>
      </c>
      <c r="Q1413" s="42"/>
      <c r="R1413" s="41"/>
      <c r="S1413" s="42"/>
      <c r="T1413" s="41"/>
    </row>
    <row r="1414" customFormat="false" ht="13.5" hidden="false" customHeight="true" outlineLevel="0" collapsed="false">
      <c r="A1414" s="37" t="n">
        <v>1411</v>
      </c>
      <c r="B1414" s="37" t="n">
        <v>3797</v>
      </c>
      <c r="C1414" s="38" t="s">
        <v>6476</v>
      </c>
      <c r="D1414" s="37" t="s">
        <v>100</v>
      </c>
      <c r="E1414" s="39" t="n">
        <v>21108</v>
      </c>
      <c r="F1414" s="37" t="n">
        <f aca="true">IFERROR(DATEDIF(E1414,TODAY(),"Y"),"")</f>
        <v>68</v>
      </c>
      <c r="G1414" s="40" t="s">
        <v>6477</v>
      </c>
      <c r="H1414" s="40"/>
      <c r="I1414" s="38" t="s">
        <v>6478</v>
      </c>
      <c r="J1414" s="38" t="s">
        <v>16</v>
      </c>
      <c r="K1414" s="38" t="s">
        <v>6479</v>
      </c>
      <c r="L1414" s="38" t="s">
        <v>53</v>
      </c>
      <c r="M1414" s="37"/>
      <c r="N1414" s="39" t="n">
        <v>43513</v>
      </c>
      <c r="O1414" s="41" t="s">
        <v>23</v>
      </c>
      <c r="P1414" s="41" t="s">
        <v>105</v>
      </c>
      <c r="Q1414" s="42"/>
      <c r="R1414" s="41"/>
      <c r="S1414" s="42"/>
      <c r="T1414" s="41"/>
    </row>
    <row r="1415" customFormat="false" ht="13.5" hidden="false" customHeight="true" outlineLevel="0" collapsed="false">
      <c r="A1415" s="37" t="n">
        <v>1412</v>
      </c>
      <c r="B1415" s="37" t="n">
        <v>3798</v>
      </c>
      <c r="C1415" s="38" t="s">
        <v>6480</v>
      </c>
      <c r="D1415" s="37" t="s">
        <v>100</v>
      </c>
      <c r="E1415" s="39" t="n">
        <v>29706</v>
      </c>
      <c r="F1415" s="37" t="n">
        <f aca="true">IFERROR(DATEDIF(E1415,TODAY(),"Y"),"")</f>
        <v>45</v>
      </c>
      <c r="G1415" s="40" t="s">
        <v>6481</v>
      </c>
      <c r="H1415" s="40"/>
      <c r="I1415" s="38" t="s">
        <v>6482</v>
      </c>
      <c r="J1415" s="38" t="s">
        <v>16</v>
      </c>
      <c r="K1415" s="38" t="s">
        <v>6483</v>
      </c>
      <c r="L1415" s="38" t="s">
        <v>47</v>
      </c>
      <c r="M1415" s="37"/>
      <c r="N1415" s="39" t="n">
        <v>43514</v>
      </c>
      <c r="O1415" s="41" t="s">
        <v>23</v>
      </c>
      <c r="P1415" s="41" t="s">
        <v>105</v>
      </c>
      <c r="Q1415" s="42"/>
      <c r="R1415" s="41"/>
      <c r="S1415" s="42"/>
      <c r="T1415" s="41"/>
    </row>
    <row r="1416" customFormat="false" ht="13.5" hidden="false" customHeight="true" outlineLevel="0" collapsed="false">
      <c r="A1416" s="37" t="n">
        <v>1413</v>
      </c>
      <c r="B1416" s="37" t="n">
        <v>3799</v>
      </c>
      <c r="C1416" s="38" t="s">
        <v>6484</v>
      </c>
      <c r="D1416" s="37" t="s">
        <v>100</v>
      </c>
      <c r="E1416" s="39" t="n">
        <v>27904</v>
      </c>
      <c r="F1416" s="37" t="n">
        <f aca="true">IFERROR(DATEDIF(E1416,TODAY(),"Y"),"")</f>
        <v>50</v>
      </c>
      <c r="G1416" s="40" t="s">
        <v>6485</v>
      </c>
      <c r="H1416" s="40"/>
      <c r="I1416" s="38" t="s">
        <v>6486</v>
      </c>
      <c r="J1416" s="38" t="s">
        <v>15</v>
      </c>
      <c r="K1416" s="38" t="s">
        <v>6487</v>
      </c>
      <c r="L1416" s="38" t="s">
        <v>47</v>
      </c>
      <c r="M1416" s="37"/>
      <c r="N1416" s="39" t="n">
        <v>43516</v>
      </c>
      <c r="O1416" s="41" t="s">
        <v>23</v>
      </c>
      <c r="P1416" s="41" t="s">
        <v>105</v>
      </c>
      <c r="Q1416" s="42"/>
      <c r="R1416" s="41"/>
      <c r="S1416" s="42"/>
      <c r="T1416" s="41"/>
    </row>
    <row r="1417" customFormat="false" ht="13.5" hidden="false" customHeight="true" outlineLevel="0" collapsed="false">
      <c r="A1417" s="37" t="n">
        <v>1414</v>
      </c>
      <c r="B1417" s="37" t="n">
        <v>3800</v>
      </c>
      <c r="C1417" s="38" t="s">
        <v>6488</v>
      </c>
      <c r="D1417" s="37" t="s">
        <v>100</v>
      </c>
      <c r="E1417" s="39" t="n">
        <v>20350</v>
      </c>
      <c r="F1417" s="37" t="n">
        <f aca="true">IFERROR(DATEDIF(E1417,TODAY(),"Y"),"")</f>
        <v>70</v>
      </c>
      <c r="G1417" s="40" t="s">
        <v>6489</v>
      </c>
      <c r="H1417" s="40" t="s">
        <v>6490</v>
      </c>
      <c r="I1417" s="38" t="s">
        <v>6491</v>
      </c>
      <c r="J1417" s="38" t="s">
        <v>24</v>
      </c>
      <c r="K1417" s="38" t="s">
        <v>6492</v>
      </c>
      <c r="L1417" s="38" t="s">
        <v>54</v>
      </c>
      <c r="M1417" s="37" t="s">
        <v>120</v>
      </c>
      <c r="N1417" s="39" t="n">
        <v>43521</v>
      </c>
      <c r="O1417" s="41" t="s">
        <v>23</v>
      </c>
      <c r="P1417" s="41" t="s">
        <v>105</v>
      </c>
      <c r="Q1417" s="42"/>
      <c r="R1417" s="41"/>
      <c r="S1417" s="42"/>
      <c r="T1417" s="41"/>
    </row>
    <row r="1418" customFormat="false" ht="13.5" hidden="false" customHeight="true" outlineLevel="0" collapsed="false">
      <c r="A1418" s="37" t="n">
        <v>1415</v>
      </c>
      <c r="B1418" s="37" t="n">
        <v>3801</v>
      </c>
      <c r="C1418" s="38" t="s">
        <v>6493</v>
      </c>
      <c r="D1418" s="37" t="s">
        <v>100</v>
      </c>
      <c r="E1418" s="39" t="n">
        <v>29372</v>
      </c>
      <c r="F1418" s="37" t="n">
        <f aca="true">IFERROR(DATEDIF(E1418,TODAY(),"Y"),"")</f>
        <v>46</v>
      </c>
      <c r="G1418" s="40" t="s">
        <v>6494</v>
      </c>
      <c r="H1418" s="40"/>
      <c r="I1418" s="38" t="s">
        <v>6495</v>
      </c>
      <c r="J1418" s="38" t="s">
        <v>15</v>
      </c>
      <c r="K1418" s="38" t="s">
        <v>6496</v>
      </c>
      <c r="L1418" s="38" t="s">
        <v>51</v>
      </c>
      <c r="M1418" s="37" t="s">
        <v>120</v>
      </c>
      <c r="N1418" s="39" t="n">
        <v>43528</v>
      </c>
      <c r="O1418" s="41" t="s">
        <v>23</v>
      </c>
      <c r="P1418" s="41" t="s">
        <v>105</v>
      </c>
      <c r="Q1418" s="42"/>
      <c r="R1418" s="41"/>
      <c r="S1418" s="42"/>
      <c r="T1418" s="41"/>
    </row>
    <row r="1419" customFormat="false" ht="13.5" hidden="false" customHeight="true" outlineLevel="0" collapsed="false">
      <c r="A1419" s="37" t="n">
        <v>1416</v>
      </c>
      <c r="B1419" s="37" t="n">
        <v>3802</v>
      </c>
      <c r="C1419" s="38" t="s">
        <v>6497</v>
      </c>
      <c r="D1419" s="37" t="s">
        <v>100</v>
      </c>
      <c r="E1419" s="39" t="n">
        <v>28758</v>
      </c>
      <c r="F1419" s="37" t="n">
        <f aca="true">IFERROR(DATEDIF(E1419,TODAY(),"Y"),"")</f>
        <v>47</v>
      </c>
      <c r="G1419" s="40" t="s">
        <v>6498</v>
      </c>
      <c r="H1419" s="40" t="s">
        <v>6499</v>
      </c>
      <c r="I1419" s="38" t="s">
        <v>6500</v>
      </c>
      <c r="J1419" s="38" t="s">
        <v>15</v>
      </c>
      <c r="K1419" s="38" t="s">
        <v>6501</v>
      </c>
      <c r="L1419" s="43" t="s">
        <v>58</v>
      </c>
      <c r="M1419" s="37" t="s">
        <v>745</v>
      </c>
      <c r="N1419" s="39" t="n">
        <v>43531</v>
      </c>
      <c r="O1419" s="41" t="s">
        <v>23</v>
      </c>
      <c r="P1419" s="41" t="s">
        <v>105</v>
      </c>
      <c r="Q1419" s="42"/>
      <c r="R1419" s="41"/>
      <c r="S1419" s="42"/>
      <c r="T1419" s="41"/>
    </row>
    <row r="1420" customFormat="false" ht="13.5" hidden="false" customHeight="true" outlineLevel="0" collapsed="false">
      <c r="A1420" s="37" t="n">
        <v>1417</v>
      </c>
      <c r="B1420" s="37" t="n">
        <v>3803</v>
      </c>
      <c r="C1420" s="38" t="s">
        <v>6502</v>
      </c>
      <c r="D1420" s="37" t="s">
        <v>100</v>
      </c>
      <c r="E1420" s="39" t="n">
        <v>27544</v>
      </c>
      <c r="F1420" s="37" t="n">
        <f aca="true">IFERROR(DATEDIF(E1420,TODAY(),"Y"),"")</f>
        <v>51</v>
      </c>
      <c r="G1420" s="40" t="s">
        <v>6503</v>
      </c>
      <c r="H1420" s="40"/>
      <c r="I1420" s="38" t="s">
        <v>6504</v>
      </c>
      <c r="J1420" s="38"/>
      <c r="K1420" s="38" t="s">
        <v>6505</v>
      </c>
      <c r="L1420" s="38" t="s">
        <v>53</v>
      </c>
      <c r="M1420" s="37" t="s">
        <v>120</v>
      </c>
      <c r="N1420" s="39" t="n">
        <v>43534</v>
      </c>
      <c r="O1420" s="41" t="s">
        <v>23</v>
      </c>
      <c r="P1420" s="41" t="s">
        <v>105</v>
      </c>
      <c r="Q1420" s="42"/>
      <c r="R1420" s="41"/>
      <c r="S1420" s="42"/>
      <c r="T1420" s="41"/>
    </row>
    <row r="1421" customFormat="false" ht="13.5" hidden="false" customHeight="true" outlineLevel="0" collapsed="false">
      <c r="A1421" s="37" t="n">
        <v>1418</v>
      </c>
      <c r="B1421" s="37" t="n">
        <v>3804</v>
      </c>
      <c r="C1421" s="38" t="s">
        <v>6506</v>
      </c>
      <c r="D1421" s="37" t="s">
        <v>100</v>
      </c>
      <c r="E1421" s="39" t="n">
        <v>34142</v>
      </c>
      <c r="F1421" s="37" t="n">
        <f aca="true">IFERROR(DATEDIF(E1421,TODAY(),"Y"),"")</f>
        <v>33</v>
      </c>
      <c r="G1421" s="40" t="s">
        <v>6507</v>
      </c>
      <c r="H1421" s="40"/>
      <c r="I1421" s="38" t="s">
        <v>6508</v>
      </c>
      <c r="J1421" s="38" t="s">
        <v>16</v>
      </c>
      <c r="K1421" s="38" t="s">
        <v>6509</v>
      </c>
      <c r="L1421" s="38" t="s">
        <v>46</v>
      </c>
      <c r="M1421" s="37" t="s">
        <v>104</v>
      </c>
      <c r="N1421" s="39" t="n">
        <v>43536</v>
      </c>
      <c r="O1421" s="41" t="s">
        <v>23</v>
      </c>
      <c r="P1421" s="41" t="s">
        <v>105</v>
      </c>
      <c r="Q1421" s="42"/>
      <c r="R1421" s="41"/>
      <c r="S1421" s="42"/>
      <c r="T1421" s="41"/>
    </row>
    <row r="1422" customFormat="false" ht="13.5" hidden="false" customHeight="true" outlineLevel="0" collapsed="false">
      <c r="A1422" s="37" t="n">
        <v>1419</v>
      </c>
      <c r="B1422" s="37" t="n">
        <v>3805</v>
      </c>
      <c r="C1422" s="38" t="s">
        <v>6510</v>
      </c>
      <c r="D1422" s="37" t="s">
        <v>100</v>
      </c>
      <c r="E1422" s="39" t="n">
        <v>20736</v>
      </c>
      <c r="F1422" s="37" t="n">
        <f aca="true">IFERROR(DATEDIF(E1422,TODAY(),"Y"),"")</f>
        <v>69</v>
      </c>
      <c r="G1422" s="40" t="s">
        <v>6511</v>
      </c>
      <c r="H1422" s="40"/>
      <c r="I1422" s="38" t="s">
        <v>6512</v>
      </c>
      <c r="J1422" s="38" t="s">
        <v>18</v>
      </c>
      <c r="K1422" s="38" t="s">
        <v>6513</v>
      </c>
      <c r="L1422" s="38" t="s">
        <v>46</v>
      </c>
      <c r="M1422" s="37"/>
      <c r="N1422" s="39" t="n">
        <v>43545</v>
      </c>
      <c r="O1422" s="41" t="s">
        <v>23</v>
      </c>
      <c r="P1422" s="41" t="s">
        <v>105</v>
      </c>
      <c r="Q1422" s="42"/>
      <c r="R1422" s="41"/>
      <c r="S1422" s="42"/>
      <c r="T1422" s="41"/>
    </row>
    <row r="1423" customFormat="false" ht="13.5" hidden="false" customHeight="true" outlineLevel="0" collapsed="false">
      <c r="A1423" s="37" t="n">
        <v>1420</v>
      </c>
      <c r="B1423" s="37" t="n">
        <v>3807</v>
      </c>
      <c r="C1423" s="38" t="s">
        <v>172</v>
      </c>
      <c r="D1423" s="37" t="s">
        <v>100</v>
      </c>
      <c r="E1423" s="39" t="n">
        <v>21545</v>
      </c>
      <c r="F1423" s="37" t="n">
        <f aca="true">IFERROR(DATEDIF(E1423,TODAY(),"Y"),"")</f>
        <v>67</v>
      </c>
      <c r="G1423" s="40" t="s">
        <v>6514</v>
      </c>
      <c r="H1423" s="40"/>
      <c r="I1423" s="38" t="s">
        <v>6515</v>
      </c>
      <c r="J1423" s="38" t="s">
        <v>15</v>
      </c>
      <c r="K1423" s="38" t="s">
        <v>6516</v>
      </c>
      <c r="L1423" s="38" t="s">
        <v>54</v>
      </c>
      <c r="M1423" s="37" t="s">
        <v>177</v>
      </c>
      <c r="N1423" s="39" t="n">
        <v>43548</v>
      </c>
      <c r="O1423" s="41" t="s">
        <v>23</v>
      </c>
      <c r="P1423" s="41" t="s">
        <v>105</v>
      </c>
      <c r="Q1423" s="42"/>
      <c r="R1423" s="41"/>
      <c r="S1423" s="42"/>
      <c r="T1423" s="41"/>
    </row>
    <row r="1424" customFormat="false" ht="13.5" hidden="false" customHeight="true" outlineLevel="0" collapsed="false">
      <c r="A1424" s="37" t="n">
        <v>1421</v>
      </c>
      <c r="B1424" s="37" t="n">
        <v>3808</v>
      </c>
      <c r="C1424" s="38" t="s">
        <v>6517</v>
      </c>
      <c r="D1424" s="37" t="s">
        <v>100</v>
      </c>
      <c r="E1424" s="39" t="n">
        <v>24181</v>
      </c>
      <c r="F1424" s="37" t="n">
        <f aca="true">IFERROR(DATEDIF(E1424,TODAY(),"Y"),"")</f>
        <v>60</v>
      </c>
      <c r="G1424" s="40" t="s">
        <v>6518</v>
      </c>
      <c r="H1424" s="40"/>
      <c r="I1424" s="38" t="s">
        <v>6519</v>
      </c>
      <c r="J1424" s="38" t="s">
        <v>15</v>
      </c>
      <c r="K1424" s="38" t="s">
        <v>6520</v>
      </c>
      <c r="L1424" s="38" t="s">
        <v>55</v>
      </c>
      <c r="M1424" s="37" t="s">
        <v>104</v>
      </c>
      <c r="N1424" s="39" t="n">
        <v>43548</v>
      </c>
      <c r="O1424" s="41" t="s">
        <v>23</v>
      </c>
      <c r="P1424" s="41" t="s">
        <v>105</v>
      </c>
      <c r="Q1424" s="42"/>
      <c r="R1424" s="41"/>
      <c r="S1424" s="42"/>
      <c r="T1424" s="41"/>
    </row>
    <row r="1425" customFormat="false" ht="13.5" hidden="false" customHeight="true" outlineLevel="0" collapsed="false">
      <c r="A1425" s="37" t="n">
        <v>1422</v>
      </c>
      <c r="B1425" s="37" t="n">
        <v>3809</v>
      </c>
      <c r="C1425" s="38" t="s">
        <v>6521</v>
      </c>
      <c r="D1425" s="37" t="s">
        <v>100</v>
      </c>
      <c r="E1425" s="39" t="n">
        <v>27255</v>
      </c>
      <c r="F1425" s="37" t="n">
        <f aca="true">IFERROR(DATEDIF(E1425,TODAY(),"Y"),"")</f>
        <v>51</v>
      </c>
      <c r="G1425" s="40" t="s">
        <v>6522</v>
      </c>
      <c r="H1425" s="40" t="s">
        <v>6523</v>
      </c>
      <c r="I1425" s="38" t="s">
        <v>6524</v>
      </c>
      <c r="J1425" s="38" t="s">
        <v>15</v>
      </c>
      <c r="K1425" s="38" t="s">
        <v>6525</v>
      </c>
      <c r="L1425" s="38" t="s">
        <v>55</v>
      </c>
      <c r="M1425" s="37" t="s">
        <v>177</v>
      </c>
      <c r="N1425" s="39" t="n">
        <v>43548</v>
      </c>
      <c r="O1425" s="41" t="s">
        <v>23</v>
      </c>
      <c r="P1425" s="41" t="s">
        <v>105</v>
      </c>
      <c r="Q1425" s="42"/>
      <c r="R1425" s="41"/>
      <c r="S1425" s="42"/>
      <c r="T1425" s="41"/>
    </row>
    <row r="1426" customFormat="false" ht="13.5" hidden="false" customHeight="true" outlineLevel="0" collapsed="false">
      <c r="A1426" s="37" t="n">
        <v>1423</v>
      </c>
      <c r="B1426" s="37" t="n">
        <v>3810</v>
      </c>
      <c r="C1426" s="38" t="s">
        <v>6526</v>
      </c>
      <c r="D1426" s="37" t="s">
        <v>100</v>
      </c>
      <c r="E1426" s="39" t="n">
        <v>22810</v>
      </c>
      <c r="F1426" s="37" t="n">
        <f aca="true">IFERROR(DATEDIF(E1426,TODAY(),"Y"),"")</f>
        <v>64</v>
      </c>
      <c r="G1426" s="40" t="s">
        <v>6527</v>
      </c>
      <c r="H1426" s="40" t="s">
        <v>6528</v>
      </c>
      <c r="I1426" s="38" t="s">
        <v>6529</v>
      </c>
      <c r="J1426" s="38" t="s">
        <v>16</v>
      </c>
      <c r="K1426" s="38" t="s">
        <v>6530</v>
      </c>
      <c r="L1426" s="38" t="s">
        <v>55</v>
      </c>
      <c r="M1426" s="37" t="s">
        <v>120</v>
      </c>
      <c r="N1426" s="39" t="n">
        <v>43548</v>
      </c>
      <c r="O1426" s="41" t="s">
        <v>23</v>
      </c>
      <c r="P1426" s="41" t="s">
        <v>105</v>
      </c>
      <c r="Q1426" s="42"/>
      <c r="R1426" s="41"/>
      <c r="S1426" s="42"/>
      <c r="T1426" s="41"/>
    </row>
    <row r="1427" customFormat="false" ht="13.5" hidden="false" customHeight="true" outlineLevel="0" collapsed="false">
      <c r="A1427" s="37" t="n">
        <v>1424</v>
      </c>
      <c r="B1427" s="37" t="n">
        <v>3811</v>
      </c>
      <c r="C1427" s="38" t="s">
        <v>6531</v>
      </c>
      <c r="D1427" s="37" t="s">
        <v>100</v>
      </c>
      <c r="E1427" s="39" t="n">
        <v>23157</v>
      </c>
      <c r="F1427" s="37" t="n">
        <f aca="true">IFERROR(DATEDIF(E1427,TODAY(),"Y"),"")</f>
        <v>63</v>
      </c>
      <c r="G1427" s="40" t="s">
        <v>6532</v>
      </c>
      <c r="H1427" s="40"/>
      <c r="I1427" s="38" t="s">
        <v>6533</v>
      </c>
      <c r="J1427" s="38" t="s">
        <v>16</v>
      </c>
      <c r="K1427" s="38" t="s">
        <v>6534</v>
      </c>
      <c r="L1427" s="38" t="s">
        <v>46</v>
      </c>
      <c r="M1427" s="37"/>
      <c r="N1427" s="39" t="n">
        <v>43548</v>
      </c>
      <c r="O1427" s="41" t="s">
        <v>23</v>
      </c>
      <c r="P1427" s="41" t="s">
        <v>105</v>
      </c>
      <c r="Q1427" s="42"/>
      <c r="R1427" s="41"/>
      <c r="S1427" s="42"/>
      <c r="T1427" s="41"/>
    </row>
    <row r="1428" customFormat="false" ht="13.5" hidden="false" customHeight="true" outlineLevel="0" collapsed="false">
      <c r="A1428" s="37" t="n">
        <v>1425</v>
      </c>
      <c r="B1428" s="37" t="n">
        <v>3812</v>
      </c>
      <c r="C1428" s="38" t="s">
        <v>6535</v>
      </c>
      <c r="D1428" s="37" t="s">
        <v>100</v>
      </c>
      <c r="E1428" s="39" t="n">
        <v>28635</v>
      </c>
      <c r="F1428" s="37" t="n">
        <f aca="true">IFERROR(DATEDIF(E1428,TODAY(),"Y"),"")</f>
        <v>48</v>
      </c>
      <c r="G1428" s="40" t="s">
        <v>6536</v>
      </c>
      <c r="H1428" s="40" t="s">
        <v>6537</v>
      </c>
      <c r="I1428" s="38" t="s">
        <v>6538</v>
      </c>
      <c r="J1428" s="38" t="s">
        <v>16</v>
      </c>
      <c r="K1428" s="38" t="s">
        <v>6539</v>
      </c>
      <c r="L1428" s="38" t="s">
        <v>47</v>
      </c>
      <c r="M1428" s="37" t="s">
        <v>231</v>
      </c>
      <c r="N1428" s="39" t="n">
        <v>43552</v>
      </c>
      <c r="O1428" s="41" t="s">
        <v>23</v>
      </c>
      <c r="P1428" s="41" t="s">
        <v>105</v>
      </c>
      <c r="Q1428" s="42"/>
      <c r="R1428" s="41"/>
      <c r="S1428" s="42"/>
      <c r="T1428" s="41"/>
    </row>
    <row r="1429" customFormat="false" ht="13.5" hidden="false" customHeight="true" outlineLevel="0" collapsed="false">
      <c r="A1429" s="37" t="n">
        <v>1426</v>
      </c>
      <c r="B1429" s="37" t="n">
        <v>3813</v>
      </c>
      <c r="C1429" s="38" t="s">
        <v>6540</v>
      </c>
      <c r="D1429" s="37" t="s">
        <v>100</v>
      </c>
      <c r="E1429" s="39" t="n">
        <v>30273</v>
      </c>
      <c r="F1429" s="37" t="n">
        <f aca="true">IFERROR(DATEDIF(E1429,TODAY(),"Y"),"")</f>
        <v>43</v>
      </c>
      <c r="G1429" s="40" t="s">
        <v>6541</v>
      </c>
      <c r="H1429" s="40" t="s">
        <v>6542</v>
      </c>
      <c r="I1429" s="38" t="s">
        <v>6543</v>
      </c>
      <c r="J1429" s="38" t="s">
        <v>16</v>
      </c>
      <c r="K1429" s="38" t="s">
        <v>6544</v>
      </c>
      <c r="L1429" s="38" t="s">
        <v>55</v>
      </c>
      <c r="M1429" s="37" t="s">
        <v>120</v>
      </c>
      <c r="N1429" s="39" t="n">
        <v>43555</v>
      </c>
      <c r="O1429" s="41" t="s">
        <v>23</v>
      </c>
      <c r="P1429" s="41" t="s">
        <v>105</v>
      </c>
      <c r="Q1429" s="42"/>
      <c r="R1429" s="41"/>
      <c r="S1429" s="42"/>
      <c r="T1429" s="41"/>
    </row>
    <row r="1430" customFormat="false" ht="13.5" hidden="false" customHeight="true" outlineLevel="0" collapsed="false">
      <c r="A1430" s="37" t="n">
        <v>1427</v>
      </c>
      <c r="B1430" s="37" t="n">
        <v>3814</v>
      </c>
      <c r="C1430" s="38" t="s">
        <v>6545</v>
      </c>
      <c r="D1430" s="37" t="s">
        <v>100</v>
      </c>
      <c r="E1430" s="39" t="n">
        <v>31554</v>
      </c>
      <c r="F1430" s="37" t="n">
        <f aca="true">IFERROR(DATEDIF(E1430,TODAY(),"Y"),"")</f>
        <v>40</v>
      </c>
      <c r="G1430" s="40" t="s">
        <v>6546</v>
      </c>
      <c r="H1430" s="40" t="s">
        <v>6547</v>
      </c>
      <c r="I1430" s="38" t="s">
        <v>6548</v>
      </c>
      <c r="J1430" s="38" t="s">
        <v>15</v>
      </c>
      <c r="K1430" s="38" t="s">
        <v>6549</v>
      </c>
      <c r="L1430" s="38" t="s">
        <v>51</v>
      </c>
      <c r="M1430" s="37" t="s">
        <v>177</v>
      </c>
      <c r="N1430" s="39" t="n">
        <v>43555</v>
      </c>
      <c r="O1430" s="41" t="s">
        <v>23</v>
      </c>
      <c r="P1430" s="41" t="s">
        <v>105</v>
      </c>
      <c r="Q1430" s="42"/>
      <c r="R1430" s="41"/>
      <c r="S1430" s="42"/>
      <c r="T1430" s="41"/>
    </row>
    <row r="1431" customFormat="false" ht="13.5" hidden="false" customHeight="true" outlineLevel="0" collapsed="false">
      <c r="A1431" s="37" t="n">
        <v>1428</v>
      </c>
      <c r="B1431" s="37" t="n">
        <v>3815</v>
      </c>
      <c r="C1431" s="38" t="s">
        <v>6550</v>
      </c>
      <c r="D1431" s="37" t="s">
        <v>100</v>
      </c>
      <c r="E1431" s="39" t="n">
        <v>27180</v>
      </c>
      <c r="F1431" s="37" t="n">
        <f aca="true">IFERROR(DATEDIF(E1431,TODAY(),"Y"),"")</f>
        <v>52</v>
      </c>
      <c r="G1431" s="40" t="s">
        <v>6551</v>
      </c>
      <c r="H1431" s="40" t="s">
        <v>6552</v>
      </c>
      <c r="I1431" s="38" t="s">
        <v>6553</v>
      </c>
      <c r="J1431" s="38" t="s">
        <v>16</v>
      </c>
      <c r="K1431" s="38" t="s">
        <v>6554</v>
      </c>
      <c r="L1431" s="38" t="s">
        <v>46</v>
      </c>
      <c r="M1431" s="37" t="s">
        <v>120</v>
      </c>
      <c r="N1431" s="39" t="n">
        <v>43555</v>
      </c>
      <c r="O1431" s="41" t="s">
        <v>23</v>
      </c>
      <c r="P1431" s="41" t="s">
        <v>105</v>
      </c>
      <c r="Q1431" s="42"/>
      <c r="R1431" s="41"/>
      <c r="S1431" s="42"/>
      <c r="T1431" s="41"/>
    </row>
    <row r="1432" customFormat="false" ht="13.5" hidden="false" customHeight="true" outlineLevel="0" collapsed="false">
      <c r="A1432" s="37" t="n">
        <v>1429</v>
      </c>
      <c r="B1432" s="37" t="n">
        <v>3816</v>
      </c>
      <c r="C1432" s="38" t="s">
        <v>6555</v>
      </c>
      <c r="D1432" s="37" t="s">
        <v>100</v>
      </c>
      <c r="E1432" s="39" t="n">
        <v>34885</v>
      </c>
      <c r="F1432" s="37" t="n">
        <f aca="true">IFERROR(DATEDIF(E1432,TODAY(),"Y"),"")</f>
        <v>31</v>
      </c>
      <c r="G1432" s="40" t="s">
        <v>6556</v>
      </c>
      <c r="H1432" s="40"/>
      <c r="I1432" s="38" t="s">
        <v>6557</v>
      </c>
      <c r="J1432" s="38" t="s">
        <v>15</v>
      </c>
      <c r="K1432" s="38" t="s">
        <v>6558</v>
      </c>
      <c r="L1432" s="38" t="s">
        <v>55</v>
      </c>
      <c r="M1432" s="37" t="s">
        <v>104</v>
      </c>
      <c r="N1432" s="39" t="n">
        <v>43561</v>
      </c>
      <c r="O1432" s="41" t="s">
        <v>23</v>
      </c>
      <c r="P1432" s="41" t="s">
        <v>105</v>
      </c>
      <c r="Q1432" s="42"/>
      <c r="R1432" s="41"/>
      <c r="S1432" s="42"/>
      <c r="T1432" s="41"/>
    </row>
    <row r="1433" customFormat="false" ht="13.5" hidden="false" customHeight="true" outlineLevel="0" collapsed="false">
      <c r="A1433" s="37" t="n">
        <v>1430</v>
      </c>
      <c r="B1433" s="37" t="n">
        <v>3817</v>
      </c>
      <c r="C1433" s="38" t="s">
        <v>6559</v>
      </c>
      <c r="D1433" s="37" t="s">
        <v>100</v>
      </c>
      <c r="E1433" s="39" t="n">
        <v>19323</v>
      </c>
      <c r="F1433" s="37" t="n">
        <f aca="true">IFERROR(DATEDIF(E1433,TODAY(),"Y"),"")</f>
        <v>73</v>
      </c>
      <c r="G1433" s="40" t="s">
        <v>6560</v>
      </c>
      <c r="H1433" s="40"/>
      <c r="I1433" s="38" t="s">
        <v>6561</v>
      </c>
      <c r="J1433" s="38" t="s">
        <v>15</v>
      </c>
      <c r="K1433" s="38" t="s">
        <v>6562</v>
      </c>
      <c r="L1433" s="38" t="s">
        <v>55</v>
      </c>
      <c r="M1433" s="37" t="s">
        <v>104</v>
      </c>
      <c r="N1433" s="39" t="n">
        <v>43562</v>
      </c>
      <c r="O1433" s="41" t="s">
        <v>23</v>
      </c>
      <c r="P1433" s="41" t="s">
        <v>105</v>
      </c>
      <c r="Q1433" s="42"/>
      <c r="R1433" s="41"/>
      <c r="S1433" s="42"/>
      <c r="T1433" s="41"/>
    </row>
    <row r="1434" customFormat="false" ht="13.5" hidden="false" customHeight="true" outlineLevel="0" collapsed="false">
      <c r="A1434" s="37" t="n">
        <v>1431</v>
      </c>
      <c r="B1434" s="37" t="n">
        <v>3818</v>
      </c>
      <c r="C1434" s="38" t="s">
        <v>6563</v>
      </c>
      <c r="D1434" s="37" t="s">
        <v>100</v>
      </c>
      <c r="E1434" s="39" t="n">
        <v>29116</v>
      </c>
      <c r="F1434" s="37" t="n">
        <f aca="true">IFERROR(DATEDIF(E1434,TODAY(),"Y"),"")</f>
        <v>46</v>
      </c>
      <c r="G1434" s="40" t="s">
        <v>6564</v>
      </c>
      <c r="H1434" s="40"/>
      <c r="I1434" s="38" t="s">
        <v>6565</v>
      </c>
      <c r="J1434" s="38" t="s">
        <v>15</v>
      </c>
      <c r="K1434" s="38" t="s">
        <v>6566</v>
      </c>
      <c r="L1434" s="38" t="s">
        <v>47</v>
      </c>
      <c r="M1434" s="37" t="s">
        <v>120</v>
      </c>
      <c r="N1434" s="39" t="n">
        <v>43562</v>
      </c>
      <c r="O1434" s="41" t="s">
        <v>23</v>
      </c>
      <c r="P1434" s="41" t="s">
        <v>105</v>
      </c>
      <c r="Q1434" s="42"/>
      <c r="R1434" s="41"/>
      <c r="S1434" s="42"/>
      <c r="T1434" s="41"/>
    </row>
    <row r="1435" customFormat="false" ht="13.5" hidden="false" customHeight="true" outlineLevel="0" collapsed="false">
      <c r="A1435" s="37" t="n">
        <v>1432</v>
      </c>
      <c r="B1435" s="37" t="n">
        <v>3820</v>
      </c>
      <c r="C1435" s="38" t="s">
        <v>6567</v>
      </c>
      <c r="D1435" s="37" t="s">
        <v>100</v>
      </c>
      <c r="E1435" s="39" t="n">
        <v>25764</v>
      </c>
      <c r="F1435" s="37" t="n">
        <f aca="true">IFERROR(DATEDIF(E1435,TODAY(),"Y"),"")</f>
        <v>56</v>
      </c>
      <c r="G1435" s="40" t="s">
        <v>6568</v>
      </c>
      <c r="H1435" s="40"/>
      <c r="I1435" s="38" t="s">
        <v>6569</v>
      </c>
      <c r="J1435" s="38" t="s">
        <v>15</v>
      </c>
      <c r="K1435" s="38" t="s">
        <v>6570</v>
      </c>
      <c r="L1435" s="38" t="s">
        <v>55</v>
      </c>
      <c r="M1435" s="37" t="s">
        <v>120</v>
      </c>
      <c r="N1435" s="39" t="n">
        <v>43568</v>
      </c>
      <c r="O1435" s="41" t="s">
        <v>23</v>
      </c>
      <c r="P1435" s="41" t="s">
        <v>105</v>
      </c>
      <c r="Q1435" s="42"/>
      <c r="R1435" s="41"/>
      <c r="S1435" s="42"/>
      <c r="T1435" s="41"/>
    </row>
    <row r="1436" customFormat="false" ht="13.5" hidden="false" customHeight="true" outlineLevel="0" collapsed="false">
      <c r="A1436" s="37" t="n">
        <v>1433</v>
      </c>
      <c r="B1436" s="37" t="n">
        <v>3821</v>
      </c>
      <c r="C1436" s="38" t="s">
        <v>6571</v>
      </c>
      <c r="D1436" s="37" t="s">
        <v>100</v>
      </c>
      <c r="E1436" s="39" t="n">
        <v>34702</v>
      </c>
      <c r="F1436" s="37" t="n">
        <f aca="true">IFERROR(DATEDIF(E1436,TODAY(),"Y"),"")</f>
        <v>31</v>
      </c>
      <c r="G1436" s="40" t="s">
        <v>6572</v>
      </c>
      <c r="H1436" s="40"/>
      <c r="I1436" s="38" t="s">
        <v>6573</v>
      </c>
      <c r="J1436" s="38" t="s">
        <v>15</v>
      </c>
      <c r="K1436" s="38" t="s">
        <v>6574</v>
      </c>
      <c r="L1436" s="38" t="s">
        <v>55</v>
      </c>
      <c r="M1436" s="37" t="s">
        <v>177</v>
      </c>
      <c r="N1436" s="39" t="n">
        <v>43568</v>
      </c>
      <c r="O1436" s="41" t="s">
        <v>23</v>
      </c>
      <c r="P1436" s="41" t="s">
        <v>105</v>
      </c>
      <c r="Q1436" s="42"/>
      <c r="R1436" s="41"/>
      <c r="S1436" s="42"/>
      <c r="T1436" s="41"/>
    </row>
    <row r="1437" customFormat="false" ht="13.5" hidden="false" customHeight="true" outlineLevel="0" collapsed="false">
      <c r="A1437" s="37" t="n">
        <v>1434</v>
      </c>
      <c r="B1437" s="37" t="n">
        <v>3822</v>
      </c>
      <c r="C1437" s="38" t="s">
        <v>6575</v>
      </c>
      <c r="D1437" s="37" t="s">
        <v>100</v>
      </c>
      <c r="E1437" s="39" t="n">
        <v>26302</v>
      </c>
      <c r="F1437" s="37" t="n">
        <f aca="true">IFERROR(DATEDIF(E1437,TODAY(),"Y"),"")</f>
        <v>54</v>
      </c>
      <c r="G1437" s="40" t="s">
        <v>6576</v>
      </c>
      <c r="H1437" s="40"/>
      <c r="I1437" s="38" t="s">
        <v>6577</v>
      </c>
      <c r="J1437" s="38" t="s">
        <v>15</v>
      </c>
      <c r="K1437" s="38" t="s">
        <v>6578</v>
      </c>
      <c r="L1437" s="38" t="s">
        <v>47</v>
      </c>
      <c r="M1437" s="37"/>
      <c r="N1437" s="39" t="n">
        <v>43568</v>
      </c>
      <c r="O1437" s="41" t="s">
        <v>23</v>
      </c>
      <c r="P1437" s="41" t="s">
        <v>105</v>
      </c>
      <c r="Q1437" s="42"/>
      <c r="R1437" s="41"/>
      <c r="S1437" s="42"/>
      <c r="T1437" s="41"/>
    </row>
    <row r="1438" customFormat="false" ht="13.5" hidden="false" customHeight="true" outlineLevel="0" collapsed="false">
      <c r="A1438" s="37" t="n">
        <v>1435</v>
      </c>
      <c r="B1438" s="37" t="n">
        <v>3823</v>
      </c>
      <c r="C1438" s="38" t="s">
        <v>6579</v>
      </c>
      <c r="D1438" s="37" t="s">
        <v>100</v>
      </c>
      <c r="E1438" s="39" t="n">
        <v>22850</v>
      </c>
      <c r="F1438" s="37" t="n">
        <f aca="true">IFERROR(DATEDIF(E1438,TODAY(),"Y"),"")</f>
        <v>64</v>
      </c>
      <c r="G1438" s="40" t="s">
        <v>6580</v>
      </c>
      <c r="H1438" s="40"/>
      <c r="I1438" s="38" t="s">
        <v>6581</v>
      </c>
      <c r="J1438" s="38" t="s">
        <v>15</v>
      </c>
      <c r="K1438" s="38" t="s">
        <v>6582</v>
      </c>
      <c r="L1438" s="38" t="s">
        <v>47</v>
      </c>
      <c r="M1438" s="37" t="s">
        <v>104</v>
      </c>
      <c r="N1438" s="39" t="n">
        <v>43580</v>
      </c>
      <c r="O1438" s="41" t="s">
        <v>23</v>
      </c>
      <c r="P1438" s="41" t="s">
        <v>105</v>
      </c>
      <c r="Q1438" s="42"/>
      <c r="R1438" s="41"/>
      <c r="S1438" s="42"/>
      <c r="T1438" s="41"/>
    </row>
    <row r="1439" customFormat="false" ht="13.5" hidden="false" customHeight="true" outlineLevel="0" collapsed="false">
      <c r="A1439" s="37" t="n">
        <v>1436</v>
      </c>
      <c r="B1439" s="37" t="n">
        <v>3824</v>
      </c>
      <c r="C1439" s="38" t="s">
        <v>6583</v>
      </c>
      <c r="D1439" s="37" t="s">
        <v>100</v>
      </c>
      <c r="E1439" s="39" t="n">
        <v>26409</v>
      </c>
      <c r="F1439" s="37" t="n">
        <f aca="true">IFERROR(DATEDIF(E1439,TODAY(),"Y"),"")</f>
        <v>54</v>
      </c>
      <c r="G1439" s="40" t="s">
        <v>6584</v>
      </c>
      <c r="H1439" s="40"/>
      <c r="I1439" s="38" t="s">
        <v>6585</v>
      </c>
      <c r="J1439" s="38" t="s">
        <v>18</v>
      </c>
      <c r="K1439" s="38" t="s">
        <v>6586</v>
      </c>
      <c r="L1439" s="38" t="s">
        <v>55</v>
      </c>
      <c r="M1439" s="37" t="s">
        <v>104</v>
      </c>
      <c r="N1439" s="39" t="n">
        <v>43582</v>
      </c>
      <c r="O1439" s="41" t="s">
        <v>23</v>
      </c>
      <c r="P1439" s="41" t="s">
        <v>105</v>
      </c>
      <c r="Q1439" s="42"/>
      <c r="R1439" s="41"/>
      <c r="S1439" s="42"/>
      <c r="T1439" s="41"/>
    </row>
    <row r="1440" customFormat="false" ht="13.5" hidden="false" customHeight="true" outlineLevel="0" collapsed="false">
      <c r="A1440" s="37" t="n">
        <v>1437</v>
      </c>
      <c r="B1440" s="37" t="n">
        <v>3825</v>
      </c>
      <c r="C1440" s="38" t="s">
        <v>6587</v>
      </c>
      <c r="D1440" s="37" t="s">
        <v>100</v>
      </c>
      <c r="E1440" s="39" t="n">
        <v>27175</v>
      </c>
      <c r="F1440" s="37" t="n">
        <f aca="true">IFERROR(DATEDIF(E1440,TODAY(),"Y"),"")</f>
        <v>52</v>
      </c>
      <c r="G1440" s="40" t="s">
        <v>6588</v>
      </c>
      <c r="H1440" s="40"/>
      <c r="I1440" s="38" t="s">
        <v>6589</v>
      </c>
      <c r="J1440" s="38" t="s">
        <v>15</v>
      </c>
      <c r="K1440" s="38" t="s">
        <v>6590</v>
      </c>
      <c r="L1440" s="38" t="s">
        <v>55</v>
      </c>
      <c r="M1440" s="37" t="s">
        <v>120</v>
      </c>
      <c r="N1440" s="39" t="n">
        <v>43587</v>
      </c>
      <c r="O1440" s="41" t="s">
        <v>23</v>
      </c>
      <c r="P1440" s="41" t="s">
        <v>105</v>
      </c>
      <c r="Q1440" s="42"/>
      <c r="R1440" s="41"/>
      <c r="S1440" s="42"/>
      <c r="T1440" s="41"/>
    </row>
    <row r="1441" customFormat="false" ht="13.5" hidden="false" customHeight="true" outlineLevel="0" collapsed="false">
      <c r="A1441" s="37" t="n">
        <v>1438</v>
      </c>
      <c r="B1441" s="37" t="n">
        <v>3826</v>
      </c>
      <c r="C1441" s="38" t="s">
        <v>6591</v>
      </c>
      <c r="D1441" s="37" t="s">
        <v>100</v>
      </c>
      <c r="E1441" s="39" t="n">
        <v>27844</v>
      </c>
      <c r="F1441" s="37" t="n">
        <f aca="true">IFERROR(DATEDIF(E1441,TODAY(),"Y"),"")</f>
        <v>50</v>
      </c>
      <c r="G1441" s="40" t="s">
        <v>6592</v>
      </c>
      <c r="H1441" s="40"/>
      <c r="I1441" s="38" t="s">
        <v>6593</v>
      </c>
      <c r="J1441" s="38" t="s">
        <v>16</v>
      </c>
      <c r="K1441" s="38" t="s">
        <v>6594</v>
      </c>
      <c r="L1441" s="38" t="s">
        <v>57</v>
      </c>
      <c r="M1441" s="37" t="s">
        <v>177</v>
      </c>
      <c r="N1441" s="39" t="n">
        <v>43590</v>
      </c>
      <c r="O1441" s="41" t="s">
        <v>23</v>
      </c>
      <c r="P1441" s="41" t="s">
        <v>105</v>
      </c>
      <c r="Q1441" s="42"/>
      <c r="R1441" s="41"/>
      <c r="S1441" s="42"/>
      <c r="T1441" s="41"/>
    </row>
    <row r="1442" customFormat="false" ht="13.5" hidden="false" customHeight="true" outlineLevel="0" collapsed="false">
      <c r="A1442" s="37" t="n">
        <v>1439</v>
      </c>
      <c r="B1442" s="37" t="n">
        <v>3827</v>
      </c>
      <c r="C1442" s="38" t="s">
        <v>6595</v>
      </c>
      <c r="D1442" s="37" t="s">
        <v>100</v>
      </c>
      <c r="E1442" s="39" t="n">
        <v>32207</v>
      </c>
      <c r="F1442" s="37" t="n">
        <f aca="true">IFERROR(DATEDIF(E1442,TODAY(),"Y"),"")</f>
        <v>38</v>
      </c>
      <c r="G1442" s="40" t="s">
        <v>6596</v>
      </c>
      <c r="H1442" s="40"/>
      <c r="I1442" s="38" t="s">
        <v>6597</v>
      </c>
      <c r="J1442" s="38" t="s">
        <v>18</v>
      </c>
      <c r="K1442" s="38" t="s">
        <v>6598</v>
      </c>
      <c r="L1442" s="38" t="s">
        <v>51</v>
      </c>
      <c r="M1442" s="37" t="s">
        <v>177</v>
      </c>
      <c r="N1442" s="39" t="n">
        <v>43590</v>
      </c>
      <c r="O1442" s="41" t="s">
        <v>23</v>
      </c>
      <c r="P1442" s="41" t="s">
        <v>105</v>
      </c>
      <c r="Q1442" s="42"/>
      <c r="R1442" s="41"/>
      <c r="S1442" s="42"/>
      <c r="T1442" s="41"/>
    </row>
    <row r="1443" customFormat="false" ht="13.5" hidden="false" customHeight="true" outlineLevel="0" collapsed="false">
      <c r="A1443" s="37" t="n">
        <v>1440</v>
      </c>
      <c r="B1443" s="37" t="n">
        <v>3828</v>
      </c>
      <c r="C1443" s="38" t="s">
        <v>6599</v>
      </c>
      <c r="D1443" s="37" t="s">
        <v>100</v>
      </c>
      <c r="E1443" s="39" t="n">
        <v>20619</v>
      </c>
      <c r="F1443" s="37" t="n">
        <f aca="true">IFERROR(DATEDIF(E1443,TODAY(),"Y"),"")</f>
        <v>70</v>
      </c>
      <c r="G1443" s="40" t="s">
        <v>6600</v>
      </c>
      <c r="H1443" s="40"/>
      <c r="I1443" s="38" t="s">
        <v>6601</v>
      </c>
      <c r="J1443" s="38" t="s">
        <v>15</v>
      </c>
      <c r="K1443" s="38" t="s">
        <v>6602</v>
      </c>
      <c r="L1443" s="38" t="s">
        <v>50</v>
      </c>
      <c r="M1443" s="37" t="s">
        <v>120</v>
      </c>
      <c r="N1443" s="39" t="n">
        <v>43594</v>
      </c>
      <c r="O1443" s="41" t="s">
        <v>23</v>
      </c>
      <c r="P1443" s="41" t="s">
        <v>105</v>
      </c>
      <c r="Q1443" s="42"/>
      <c r="R1443" s="41"/>
      <c r="S1443" s="42"/>
      <c r="T1443" s="41"/>
    </row>
    <row r="1444" customFormat="false" ht="13.5" hidden="false" customHeight="true" outlineLevel="0" collapsed="false">
      <c r="A1444" s="37" t="n">
        <v>1441</v>
      </c>
      <c r="B1444" s="37" t="n">
        <v>3829</v>
      </c>
      <c r="C1444" s="38" t="s">
        <v>6603</v>
      </c>
      <c r="D1444" s="37" t="s">
        <v>100</v>
      </c>
      <c r="E1444" s="39" t="n">
        <v>30818</v>
      </c>
      <c r="F1444" s="37" t="n">
        <f aca="true">IFERROR(DATEDIF(E1444,TODAY(),"Y"),"")</f>
        <v>42</v>
      </c>
      <c r="G1444" s="40" t="s">
        <v>6604</v>
      </c>
      <c r="H1444" s="40" t="s">
        <v>6605</v>
      </c>
      <c r="I1444" s="38" t="s">
        <v>6606</v>
      </c>
      <c r="J1444" s="38" t="s">
        <v>18</v>
      </c>
      <c r="K1444" s="38" t="s">
        <v>6607</v>
      </c>
      <c r="L1444" s="38" t="s">
        <v>57</v>
      </c>
      <c r="M1444" s="37" t="s">
        <v>120</v>
      </c>
      <c r="N1444" s="39" t="n">
        <v>43596</v>
      </c>
      <c r="O1444" s="41" t="s">
        <v>23</v>
      </c>
      <c r="P1444" s="41" t="s">
        <v>105</v>
      </c>
      <c r="Q1444" s="42"/>
      <c r="R1444" s="41"/>
      <c r="S1444" s="42"/>
      <c r="T1444" s="41"/>
    </row>
    <row r="1445" customFormat="false" ht="13.5" hidden="false" customHeight="true" outlineLevel="0" collapsed="false">
      <c r="A1445" s="37" t="n">
        <v>1442</v>
      </c>
      <c r="B1445" s="37" t="n">
        <v>3830</v>
      </c>
      <c r="C1445" s="38" t="s">
        <v>6608</v>
      </c>
      <c r="D1445" s="37" t="s">
        <v>100</v>
      </c>
      <c r="E1445" s="39" t="n">
        <v>26443</v>
      </c>
      <c r="F1445" s="37" t="n">
        <f aca="true">IFERROR(DATEDIF(E1445,TODAY(),"Y"),"")</f>
        <v>54</v>
      </c>
      <c r="G1445" s="40" t="s">
        <v>6609</v>
      </c>
      <c r="H1445" s="40" t="s">
        <v>6610</v>
      </c>
      <c r="I1445" s="38" t="s">
        <v>6611</v>
      </c>
      <c r="J1445" s="38" t="s">
        <v>15</v>
      </c>
      <c r="K1445" s="38" t="s">
        <v>6612</v>
      </c>
      <c r="L1445" s="38" t="s">
        <v>43</v>
      </c>
      <c r="M1445" s="37" t="s">
        <v>104</v>
      </c>
      <c r="N1445" s="39" t="n">
        <v>43611</v>
      </c>
      <c r="O1445" s="41" t="s">
        <v>23</v>
      </c>
      <c r="P1445" s="41" t="s">
        <v>105</v>
      </c>
      <c r="Q1445" s="42"/>
      <c r="R1445" s="41"/>
      <c r="S1445" s="42"/>
      <c r="T1445" s="41"/>
    </row>
    <row r="1446" customFormat="false" ht="13.5" hidden="false" customHeight="true" outlineLevel="0" collapsed="false">
      <c r="A1446" s="37" t="n">
        <v>1443</v>
      </c>
      <c r="B1446" s="37" t="n">
        <v>3831</v>
      </c>
      <c r="C1446" s="38" t="s">
        <v>6613</v>
      </c>
      <c r="D1446" s="37" t="s">
        <v>100</v>
      </c>
      <c r="E1446" s="39" t="n">
        <v>29729</v>
      </c>
      <c r="F1446" s="37" t="n">
        <f aca="true">IFERROR(DATEDIF(E1446,TODAY(),"Y"),"")</f>
        <v>45</v>
      </c>
      <c r="G1446" s="40" t="s">
        <v>6614</v>
      </c>
      <c r="H1446" s="40" t="s">
        <v>6615</v>
      </c>
      <c r="I1446" s="38" t="s">
        <v>6616</v>
      </c>
      <c r="J1446" s="38" t="s">
        <v>15</v>
      </c>
      <c r="K1446" s="38" t="s">
        <v>6617</v>
      </c>
      <c r="L1446" s="38" t="s">
        <v>44</v>
      </c>
      <c r="M1446" s="37" t="s">
        <v>177</v>
      </c>
      <c r="N1446" s="39" t="n">
        <v>43618</v>
      </c>
      <c r="O1446" s="41" t="s">
        <v>23</v>
      </c>
      <c r="P1446" s="41" t="s">
        <v>105</v>
      </c>
      <c r="Q1446" s="42"/>
      <c r="R1446" s="41"/>
      <c r="S1446" s="42"/>
      <c r="T1446" s="41"/>
    </row>
    <row r="1447" customFormat="false" ht="13.5" hidden="false" customHeight="true" outlineLevel="0" collapsed="false">
      <c r="A1447" s="37" t="n">
        <v>1444</v>
      </c>
      <c r="B1447" s="37" t="n">
        <v>3832</v>
      </c>
      <c r="C1447" s="38" t="s">
        <v>6618</v>
      </c>
      <c r="D1447" s="37" t="s">
        <v>100</v>
      </c>
      <c r="E1447" s="39" t="n">
        <v>17816</v>
      </c>
      <c r="F1447" s="37" t="n">
        <f aca="true">IFERROR(DATEDIF(E1447,TODAY(),"Y"),"")</f>
        <v>77</v>
      </c>
      <c r="G1447" s="40" t="s">
        <v>6619</v>
      </c>
      <c r="H1447" s="40"/>
      <c r="I1447" s="38" t="s">
        <v>6620</v>
      </c>
      <c r="J1447" s="38" t="s">
        <v>15</v>
      </c>
      <c r="K1447" s="38" t="s">
        <v>6621</v>
      </c>
      <c r="L1447" s="38" t="s">
        <v>57</v>
      </c>
      <c r="M1447" s="37" t="s">
        <v>177</v>
      </c>
      <c r="N1447" s="39" t="n">
        <v>43618</v>
      </c>
      <c r="O1447" s="41" t="s">
        <v>23</v>
      </c>
      <c r="P1447" s="41" t="s">
        <v>105</v>
      </c>
      <c r="Q1447" s="42"/>
      <c r="R1447" s="41"/>
      <c r="S1447" s="42"/>
      <c r="T1447" s="41"/>
    </row>
    <row r="1448" customFormat="false" ht="13.5" hidden="false" customHeight="true" outlineLevel="0" collapsed="false">
      <c r="A1448" s="37" t="n">
        <v>1445</v>
      </c>
      <c r="B1448" s="37" t="n">
        <v>3833</v>
      </c>
      <c r="C1448" s="38" t="s">
        <v>6622</v>
      </c>
      <c r="D1448" s="37" t="s">
        <v>100</v>
      </c>
      <c r="E1448" s="39" t="n">
        <v>21690</v>
      </c>
      <c r="F1448" s="37" t="n">
        <f aca="true">IFERROR(DATEDIF(E1448,TODAY(),"Y"),"")</f>
        <v>67</v>
      </c>
      <c r="G1448" s="40" t="s">
        <v>6623</v>
      </c>
      <c r="H1448" s="40"/>
      <c r="I1448" s="38" t="s">
        <v>6624</v>
      </c>
      <c r="J1448" s="38" t="s">
        <v>15</v>
      </c>
      <c r="K1448" s="38" t="s">
        <v>6625</v>
      </c>
      <c r="L1448" s="38" t="s">
        <v>46</v>
      </c>
      <c r="M1448" s="37" t="s">
        <v>120</v>
      </c>
      <c r="N1448" s="39" t="n">
        <v>43627</v>
      </c>
      <c r="O1448" s="41" t="s">
        <v>23</v>
      </c>
      <c r="P1448" s="41" t="s">
        <v>105</v>
      </c>
      <c r="Q1448" s="42"/>
      <c r="R1448" s="41"/>
      <c r="S1448" s="42"/>
      <c r="T1448" s="41"/>
    </row>
    <row r="1449" customFormat="false" ht="13.5" hidden="false" customHeight="true" outlineLevel="0" collapsed="false">
      <c r="A1449" s="37" t="n">
        <v>1446</v>
      </c>
      <c r="B1449" s="37" t="n">
        <v>3834</v>
      </c>
      <c r="C1449" s="38" t="s">
        <v>6626</v>
      </c>
      <c r="D1449" s="37" t="s">
        <v>100</v>
      </c>
      <c r="E1449" s="39" t="n">
        <v>27779</v>
      </c>
      <c r="F1449" s="37" t="n">
        <f aca="true">IFERROR(DATEDIF(E1449,TODAY(),"Y"),"")</f>
        <v>50</v>
      </c>
      <c r="G1449" s="40" t="s">
        <v>6627</v>
      </c>
      <c r="H1449" s="40" t="s">
        <v>6628</v>
      </c>
      <c r="I1449" s="38" t="s">
        <v>6629</v>
      </c>
      <c r="J1449" s="38" t="s">
        <v>15</v>
      </c>
      <c r="K1449" s="38" t="s">
        <v>6630</v>
      </c>
      <c r="L1449" s="38" t="s">
        <v>47</v>
      </c>
      <c r="M1449" s="37" t="s">
        <v>120</v>
      </c>
      <c r="N1449" s="39" t="n">
        <v>43645</v>
      </c>
      <c r="O1449" s="41" t="s">
        <v>23</v>
      </c>
      <c r="P1449" s="41" t="s">
        <v>105</v>
      </c>
      <c r="Q1449" s="42"/>
      <c r="R1449" s="41"/>
      <c r="S1449" s="42"/>
      <c r="T1449" s="41"/>
    </row>
    <row r="1450" customFormat="false" ht="13.5" hidden="false" customHeight="true" outlineLevel="0" collapsed="false">
      <c r="A1450" s="37" t="n">
        <v>1447</v>
      </c>
      <c r="B1450" s="37" t="n">
        <v>3835</v>
      </c>
      <c r="C1450" s="38" t="s">
        <v>6631</v>
      </c>
      <c r="D1450" s="37" t="s">
        <v>100</v>
      </c>
      <c r="E1450" s="39" t="n">
        <v>25351</v>
      </c>
      <c r="F1450" s="37" t="n">
        <f aca="true">IFERROR(DATEDIF(E1450,TODAY(),"Y"),"")</f>
        <v>57</v>
      </c>
      <c r="G1450" s="40" t="s">
        <v>6632</v>
      </c>
      <c r="H1450" s="40"/>
      <c r="I1450" s="38" t="s">
        <v>6633</v>
      </c>
      <c r="J1450" s="38" t="s">
        <v>15</v>
      </c>
      <c r="K1450" s="38" t="s">
        <v>6634</v>
      </c>
      <c r="L1450" s="38" t="s">
        <v>49</v>
      </c>
      <c r="M1450" s="37" t="s">
        <v>788</v>
      </c>
      <c r="N1450" s="39" t="n">
        <v>43645</v>
      </c>
      <c r="O1450" s="41" t="s">
        <v>23</v>
      </c>
      <c r="P1450" s="41" t="s">
        <v>105</v>
      </c>
      <c r="Q1450" s="42"/>
      <c r="R1450" s="41"/>
      <c r="S1450" s="42"/>
      <c r="T1450" s="41"/>
    </row>
    <row r="1451" customFormat="false" ht="13.5" hidden="false" customHeight="true" outlineLevel="0" collapsed="false">
      <c r="A1451" s="37" t="n">
        <v>1448</v>
      </c>
      <c r="B1451" s="37" t="n">
        <v>3836</v>
      </c>
      <c r="C1451" s="38" t="s">
        <v>6635</v>
      </c>
      <c r="D1451" s="37" t="s">
        <v>100</v>
      </c>
      <c r="E1451" s="39" t="n">
        <v>27908</v>
      </c>
      <c r="F1451" s="37" t="n">
        <f aca="true">IFERROR(DATEDIF(E1451,TODAY(),"Y"),"")</f>
        <v>50</v>
      </c>
      <c r="G1451" s="40" t="s">
        <v>6636</v>
      </c>
      <c r="H1451" s="40"/>
      <c r="I1451" s="38" t="s">
        <v>6637</v>
      </c>
      <c r="J1451" s="38" t="s">
        <v>16</v>
      </c>
      <c r="K1451" s="38" t="s">
        <v>6638</v>
      </c>
      <c r="L1451" s="38" t="s">
        <v>55</v>
      </c>
      <c r="M1451" s="37" t="s">
        <v>104</v>
      </c>
      <c r="N1451" s="39" t="n">
        <v>43655</v>
      </c>
      <c r="O1451" s="41" t="s">
        <v>23</v>
      </c>
      <c r="P1451" s="41" t="s">
        <v>105</v>
      </c>
      <c r="Q1451" s="42"/>
      <c r="R1451" s="41"/>
      <c r="S1451" s="42"/>
      <c r="T1451" s="41"/>
    </row>
    <row r="1452" customFormat="false" ht="13.5" hidden="false" customHeight="true" outlineLevel="0" collapsed="false">
      <c r="A1452" s="37" t="n">
        <v>1449</v>
      </c>
      <c r="B1452" s="37" t="n">
        <v>3837</v>
      </c>
      <c r="C1452" s="38" t="s">
        <v>6639</v>
      </c>
      <c r="D1452" s="37" t="s">
        <v>100</v>
      </c>
      <c r="E1452" s="39" t="n">
        <v>28620</v>
      </c>
      <c r="F1452" s="37" t="n">
        <f aca="true">IFERROR(DATEDIF(E1452,TODAY(),"Y"),"")</f>
        <v>48</v>
      </c>
      <c r="G1452" s="40" t="s">
        <v>6640</v>
      </c>
      <c r="H1452" s="40"/>
      <c r="I1452" s="38" t="s">
        <v>6641</v>
      </c>
      <c r="J1452" s="38" t="s">
        <v>16</v>
      </c>
      <c r="K1452" s="38" t="s">
        <v>6642</v>
      </c>
      <c r="L1452" s="38" t="s">
        <v>54</v>
      </c>
      <c r="M1452" s="37" t="s">
        <v>177</v>
      </c>
      <c r="N1452" s="39" t="n">
        <v>43657</v>
      </c>
      <c r="O1452" s="41" t="s">
        <v>23</v>
      </c>
      <c r="P1452" s="41" t="s">
        <v>105</v>
      </c>
      <c r="Q1452" s="42"/>
      <c r="R1452" s="41"/>
      <c r="S1452" s="42"/>
      <c r="T1452" s="41"/>
    </row>
    <row r="1453" customFormat="false" ht="13.5" hidden="false" customHeight="true" outlineLevel="0" collapsed="false">
      <c r="A1453" s="37" t="n">
        <v>1450</v>
      </c>
      <c r="B1453" s="37" t="n">
        <v>3838</v>
      </c>
      <c r="C1453" s="38" t="s">
        <v>6643</v>
      </c>
      <c r="D1453" s="37" t="s">
        <v>100</v>
      </c>
      <c r="E1453" s="39" t="n">
        <v>23523</v>
      </c>
      <c r="F1453" s="37" t="n">
        <f aca="true">IFERROR(DATEDIF(E1453,TODAY(),"Y"),"")</f>
        <v>62</v>
      </c>
      <c r="G1453" s="40" t="s">
        <v>6644</v>
      </c>
      <c r="H1453" s="40"/>
      <c r="I1453" s="38" t="s">
        <v>6645</v>
      </c>
      <c r="J1453" s="38" t="s">
        <v>15</v>
      </c>
      <c r="K1453" s="38" t="s">
        <v>6646</v>
      </c>
      <c r="L1453" s="38" t="s">
        <v>54</v>
      </c>
      <c r="M1453" s="37" t="s">
        <v>120</v>
      </c>
      <c r="N1453" s="39" t="n">
        <v>43660</v>
      </c>
      <c r="O1453" s="41" t="s">
        <v>23</v>
      </c>
      <c r="P1453" s="41" t="s">
        <v>105</v>
      </c>
      <c r="Q1453" s="42"/>
      <c r="R1453" s="41"/>
      <c r="S1453" s="42"/>
      <c r="T1453" s="41"/>
    </row>
    <row r="1454" customFormat="false" ht="13.5" hidden="false" customHeight="true" outlineLevel="0" collapsed="false">
      <c r="A1454" s="37" t="n">
        <v>1451</v>
      </c>
      <c r="B1454" s="37" t="n">
        <v>3839</v>
      </c>
      <c r="C1454" s="38" t="s">
        <v>6647</v>
      </c>
      <c r="D1454" s="37" t="s">
        <v>100</v>
      </c>
      <c r="E1454" s="39" t="n">
        <v>26080</v>
      </c>
      <c r="F1454" s="37" t="n">
        <f aca="true">IFERROR(DATEDIF(E1454,TODAY(),"Y"),"")</f>
        <v>55</v>
      </c>
      <c r="G1454" s="40" t="s">
        <v>6648</v>
      </c>
      <c r="H1454" s="40" t="s">
        <v>6649</v>
      </c>
      <c r="I1454" s="38" t="s">
        <v>6650</v>
      </c>
      <c r="J1454" s="38" t="s">
        <v>15</v>
      </c>
      <c r="K1454" s="38" t="s">
        <v>6651</v>
      </c>
      <c r="L1454" s="38" t="s">
        <v>47</v>
      </c>
      <c r="M1454" s="37" t="s">
        <v>120</v>
      </c>
      <c r="N1454" s="39" t="n">
        <v>43663</v>
      </c>
      <c r="O1454" s="41" t="s">
        <v>23</v>
      </c>
      <c r="P1454" s="41" t="s">
        <v>105</v>
      </c>
      <c r="Q1454" s="42"/>
      <c r="R1454" s="41"/>
      <c r="S1454" s="42"/>
      <c r="T1454" s="41"/>
    </row>
    <row r="1455" customFormat="false" ht="13.5" hidden="false" customHeight="true" outlineLevel="0" collapsed="false">
      <c r="A1455" s="37" t="n">
        <v>1452</v>
      </c>
      <c r="B1455" s="37" t="n">
        <v>3840</v>
      </c>
      <c r="C1455" s="38" t="s">
        <v>6652</v>
      </c>
      <c r="D1455" s="37" t="s">
        <v>100</v>
      </c>
      <c r="E1455" s="39" t="n">
        <v>21307</v>
      </c>
      <c r="F1455" s="37" t="n">
        <f aca="true">IFERROR(DATEDIF(E1455,TODAY(),"Y"),"")</f>
        <v>68</v>
      </c>
      <c r="G1455" s="40" t="s">
        <v>6653</v>
      </c>
      <c r="H1455" s="40" t="s">
        <v>6654</v>
      </c>
      <c r="I1455" s="38" t="s">
        <v>6655</v>
      </c>
      <c r="J1455" s="38" t="s">
        <v>16</v>
      </c>
      <c r="K1455" s="38" t="s">
        <v>6656</v>
      </c>
      <c r="L1455" s="38" t="s">
        <v>53</v>
      </c>
      <c r="M1455" s="37" t="s">
        <v>104</v>
      </c>
      <c r="N1455" s="39" t="n">
        <v>43663</v>
      </c>
      <c r="O1455" s="41" t="s">
        <v>23</v>
      </c>
      <c r="P1455" s="41" t="s">
        <v>105</v>
      </c>
      <c r="Q1455" s="42"/>
      <c r="R1455" s="41"/>
      <c r="S1455" s="42"/>
      <c r="T1455" s="41"/>
    </row>
    <row r="1456" customFormat="false" ht="13.5" hidden="false" customHeight="true" outlineLevel="0" collapsed="false">
      <c r="A1456" s="37" t="n">
        <v>1453</v>
      </c>
      <c r="B1456" s="37" t="n">
        <v>3841</v>
      </c>
      <c r="C1456" s="38" t="s">
        <v>6657</v>
      </c>
      <c r="D1456" s="37" t="s">
        <v>100</v>
      </c>
      <c r="E1456" s="39" t="n">
        <v>25551</v>
      </c>
      <c r="F1456" s="37" t="n">
        <f aca="true">IFERROR(DATEDIF(E1456,TODAY(),"Y"),"")</f>
        <v>56</v>
      </c>
      <c r="G1456" s="40" t="s">
        <v>6658</v>
      </c>
      <c r="H1456" s="40" t="s">
        <v>6659</v>
      </c>
      <c r="I1456" s="38" t="s">
        <v>6660</v>
      </c>
      <c r="J1456" s="38" t="s">
        <v>15</v>
      </c>
      <c r="K1456" s="38" t="s">
        <v>6661</v>
      </c>
      <c r="L1456" s="38" t="s">
        <v>47</v>
      </c>
      <c r="M1456" s="37"/>
      <c r="N1456" s="39" t="n">
        <v>43664</v>
      </c>
      <c r="O1456" s="41" t="s">
        <v>23</v>
      </c>
      <c r="P1456" s="41" t="s">
        <v>105</v>
      </c>
      <c r="Q1456" s="42"/>
      <c r="R1456" s="41"/>
      <c r="S1456" s="42"/>
      <c r="T1456" s="41"/>
    </row>
    <row r="1457" customFormat="false" ht="13.5" hidden="false" customHeight="true" outlineLevel="0" collapsed="false">
      <c r="A1457" s="37" t="n">
        <v>1454</v>
      </c>
      <c r="B1457" s="37" t="n">
        <v>3842</v>
      </c>
      <c r="C1457" s="38" t="s">
        <v>6662</v>
      </c>
      <c r="D1457" s="37" t="s">
        <v>100</v>
      </c>
      <c r="E1457" s="39" t="n">
        <v>30095</v>
      </c>
      <c r="F1457" s="37" t="n">
        <f aca="true">IFERROR(DATEDIF(E1457,TODAY(),"Y"),"")</f>
        <v>44</v>
      </c>
      <c r="G1457" s="40" t="s">
        <v>6663</v>
      </c>
      <c r="H1457" s="40" t="s">
        <v>6664</v>
      </c>
      <c r="I1457" s="38" t="s">
        <v>6665</v>
      </c>
      <c r="J1457" s="38" t="s">
        <v>16</v>
      </c>
      <c r="K1457" s="38" t="s">
        <v>6666</v>
      </c>
      <c r="L1457" s="38" t="s">
        <v>53</v>
      </c>
      <c r="M1457" s="37" t="s">
        <v>120</v>
      </c>
      <c r="N1457" s="39" t="n">
        <v>43671</v>
      </c>
      <c r="O1457" s="41" t="s">
        <v>23</v>
      </c>
      <c r="P1457" s="41" t="s">
        <v>105</v>
      </c>
      <c r="Q1457" s="42"/>
      <c r="R1457" s="41"/>
      <c r="S1457" s="42"/>
      <c r="T1457" s="41"/>
    </row>
    <row r="1458" customFormat="false" ht="13.5" hidden="false" customHeight="true" outlineLevel="0" collapsed="false">
      <c r="A1458" s="37" t="n">
        <v>1455</v>
      </c>
      <c r="B1458" s="37" t="n">
        <v>3843</v>
      </c>
      <c r="C1458" s="38" t="s">
        <v>6667</v>
      </c>
      <c r="D1458" s="37" t="s">
        <v>100</v>
      </c>
      <c r="E1458" s="39" t="n">
        <v>29879</v>
      </c>
      <c r="F1458" s="37" t="n">
        <f aca="true">IFERROR(DATEDIF(E1458,TODAY(),"Y"),"")</f>
        <v>44</v>
      </c>
      <c r="G1458" s="40" t="s">
        <v>6668</v>
      </c>
      <c r="H1458" s="40" t="s">
        <v>6669</v>
      </c>
      <c r="I1458" s="38" t="s">
        <v>6670</v>
      </c>
      <c r="J1458" s="38" t="s">
        <v>15</v>
      </c>
      <c r="K1458" s="38" t="s">
        <v>6671</v>
      </c>
      <c r="L1458" s="38" t="s">
        <v>47</v>
      </c>
      <c r="M1458" s="37" t="s">
        <v>231</v>
      </c>
      <c r="N1458" s="39" t="n">
        <v>43673</v>
      </c>
      <c r="O1458" s="41" t="s">
        <v>23</v>
      </c>
      <c r="P1458" s="41" t="s">
        <v>105</v>
      </c>
      <c r="Q1458" s="42"/>
      <c r="R1458" s="41"/>
      <c r="S1458" s="42"/>
      <c r="T1458" s="41"/>
    </row>
    <row r="1459" customFormat="false" ht="13.5" hidden="false" customHeight="true" outlineLevel="0" collapsed="false">
      <c r="A1459" s="37" t="n">
        <v>1456</v>
      </c>
      <c r="B1459" s="37" t="n">
        <v>3844</v>
      </c>
      <c r="C1459" s="38" t="s">
        <v>6672</v>
      </c>
      <c r="D1459" s="37" t="s">
        <v>100</v>
      </c>
      <c r="E1459" s="39" t="n">
        <v>19603</v>
      </c>
      <c r="F1459" s="37" t="n">
        <f aca="true">IFERROR(DATEDIF(E1459,TODAY(),"Y"),"")</f>
        <v>72</v>
      </c>
      <c r="G1459" s="40" t="s">
        <v>6673</v>
      </c>
      <c r="H1459" s="40" t="s">
        <v>6674</v>
      </c>
      <c r="I1459" s="38" t="s">
        <v>6675</v>
      </c>
      <c r="J1459" s="38" t="s">
        <v>16</v>
      </c>
      <c r="K1459" s="38" t="s">
        <v>6676</v>
      </c>
      <c r="L1459" s="38" t="s">
        <v>48</v>
      </c>
      <c r="M1459" s="37" t="s">
        <v>493</v>
      </c>
      <c r="N1459" s="39" t="n">
        <v>43680</v>
      </c>
      <c r="O1459" s="41" t="s">
        <v>23</v>
      </c>
      <c r="P1459" s="41" t="s">
        <v>105</v>
      </c>
      <c r="Q1459" s="42"/>
      <c r="R1459" s="41"/>
      <c r="S1459" s="42"/>
      <c r="T1459" s="41"/>
    </row>
    <row r="1460" customFormat="false" ht="13.5" hidden="false" customHeight="true" outlineLevel="0" collapsed="false">
      <c r="A1460" s="37" t="n">
        <v>1457</v>
      </c>
      <c r="B1460" s="37" t="n">
        <v>3845</v>
      </c>
      <c r="C1460" s="38" t="s">
        <v>6677</v>
      </c>
      <c r="D1460" s="37" t="s">
        <v>100</v>
      </c>
      <c r="E1460" s="39" t="n">
        <v>23468</v>
      </c>
      <c r="F1460" s="37" t="n">
        <f aca="true">IFERROR(DATEDIF(E1460,TODAY(),"Y"),"")</f>
        <v>62</v>
      </c>
      <c r="G1460" s="40" t="s">
        <v>6678</v>
      </c>
      <c r="H1460" s="40" t="s">
        <v>6679</v>
      </c>
      <c r="I1460" s="38" t="s">
        <v>6680</v>
      </c>
      <c r="J1460" s="38" t="s">
        <v>18</v>
      </c>
      <c r="K1460" s="38" t="s">
        <v>6681</v>
      </c>
      <c r="L1460" s="38" t="s">
        <v>50</v>
      </c>
      <c r="M1460" s="37"/>
      <c r="N1460" s="39" t="n">
        <v>43697</v>
      </c>
      <c r="O1460" s="41" t="s">
        <v>23</v>
      </c>
      <c r="P1460" s="41" t="s">
        <v>105</v>
      </c>
      <c r="Q1460" s="42"/>
      <c r="R1460" s="41"/>
      <c r="S1460" s="42"/>
      <c r="T1460" s="41"/>
    </row>
    <row r="1461" customFormat="false" ht="13.5" hidden="false" customHeight="true" outlineLevel="0" collapsed="false">
      <c r="A1461" s="37" t="n">
        <v>1458</v>
      </c>
      <c r="B1461" s="37" t="n">
        <v>3846</v>
      </c>
      <c r="C1461" s="38" t="s">
        <v>6682</v>
      </c>
      <c r="D1461" s="37" t="s">
        <v>100</v>
      </c>
      <c r="E1461" s="39" t="n">
        <v>28934</v>
      </c>
      <c r="F1461" s="37" t="n">
        <f aca="true">IFERROR(DATEDIF(E1461,TODAY(),"Y"),"")</f>
        <v>47</v>
      </c>
      <c r="G1461" s="40" t="s">
        <v>6683</v>
      </c>
      <c r="H1461" s="40" t="s">
        <v>6684</v>
      </c>
      <c r="I1461" s="38" t="s">
        <v>6685</v>
      </c>
      <c r="J1461" s="38" t="s">
        <v>16</v>
      </c>
      <c r="K1461" s="38" t="s">
        <v>6686</v>
      </c>
      <c r="L1461" s="38" t="s">
        <v>46</v>
      </c>
      <c r="M1461" s="37" t="s">
        <v>177</v>
      </c>
      <c r="N1461" s="39" t="n">
        <v>43711</v>
      </c>
      <c r="O1461" s="41" t="s">
        <v>23</v>
      </c>
      <c r="P1461" s="41" t="s">
        <v>105</v>
      </c>
      <c r="Q1461" s="42"/>
      <c r="R1461" s="41"/>
      <c r="S1461" s="42"/>
      <c r="T1461" s="41"/>
    </row>
    <row r="1462" customFormat="false" ht="13.5" hidden="false" customHeight="true" outlineLevel="0" collapsed="false">
      <c r="A1462" s="37" t="n">
        <v>1459</v>
      </c>
      <c r="B1462" s="37" t="n">
        <v>3848</v>
      </c>
      <c r="C1462" s="38" t="s">
        <v>6687</v>
      </c>
      <c r="D1462" s="37" t="s">
        <v>100</v>
      </c>
      <c r="E1462" s="39" t="n">
        <v>22645</v>
      </c>
      <c r="F1462" s="37" t="n">
        <f aca="true">IFERROR(DATEDIF(E1462,TODAY(),"Y"),"")</f>
        <v>64</v>
      </c>
      <c r="G1462" s="40" t="s">
        <v>6688</v>
      </c>
      <c r="H1462" s="40"/>
      <c r="I1462" s="38" t="s">
        <v>6689</v>
      </c>
      <c r="J1462" s="38" t="s">
        <v>15</v>
      </c>
      <c r="K1462" s="38" t="s">
        <v>6690</v>
      </c>
      <c r="L1462" s="38" t="s">
        <v>54</v>
      </c>
      <c r="M1462" s="37" t="s">
        <v>120</v>
      </c>
      <c r="N1462" s="39" t="n">
        <v>43718</v>
      </c>
      <c r="O1462" s="41" t="s">
        <v>23</v>
      </c>
      <c r="P1462" s="41" t="s">
        <v>105</v>
      </c>
      <c r="Q1462" s="42"/>
      <c r="R1462" s="41"/>
      <c r="S1462" s="42"/>
      <c r="T1462" s="41"/>
    </row>
    <row r="1463" customFormat="false" ht="13.5" hidden="false" customHeight="true" outlineLevel="0" collapsed="false">
      <c r="A1463" s="37" t="n">
        <v>1460</v>
      </c>
      <c r="B1463" s="37" t="n">
        <v>3849</v>
      </c>
      <c r="C1463" s="38" t="s">
        <v>6691</v>
      </c>
      <c r="D1463" s="37" t="s">
        <v>100</v>
      </c>
      <c r="E1463" s="39" t="n">
        <v>30498</v>
      </c>
      <c r="F1463" s="37" t="n">
        <f aca="true">IFERROR(DATEDIF(E1463,TODAY(),"Y"),"")</f>
        <v>43</v>
      </c>
      <c r="G1463" s="40" t="s">
        <v>6692</v>
      </c>
      <c r="H1463" s="40"/>
      <c r="I1463" s="38" t="s">
        <v>6693</v>
      </c>
      <c r="J1463" s="38" t="s">
        <v>16</v>
      </c>
      <c r="K1463" s="38" t="s">
        <v>6694</v>
      </c>
      <c r="L1463" s="38" t="s">
        <v>43</v>
      </c>
      <c r="M1463" s="37" t="s">
        <v>177</v>
      </c>
      <c r="N1463" s="39" t="n">
        <v>43726</v>
      </c>
      <c r="O1463" s="41" t="s">
        <v>23</v>
      </c>
      <c r="P1463" s="41" t="s">
        <v>105</v>
      </c>
      <c r="Q1463" s="42"/>
      <c r="R1463" s="41"/>
      <c r="S1463" s="42"/>
      <c r="T1463" s="41"/>
    </row>
    <row r="1464" customFormat="false" ht="13.5" hidden="false" customHeight="true" outlineLevel="0" collapsed="false">
      <c r="A1464" s="37" t="n">
        <v>1461</v>
      </c>
      <c r="B1464" s="37" t="n">
        <v>3850</v>
      </c>
      <c r="C1464" s="38" t="s">
        <v>6695</v>
      </c>
      <c r="D1464" s="37" t="s">
        <v>100</v>
      </c>
      <c r="E1464" s="39" t="n">
        <v>31187</v>
      </c>
      <c r="F1464" s="37" t="n">
        <f aca="true">IFERROR(DATEDIF(E1464,TODAY(),"Y"),"")</f>
        <v>41</v>
      </c>
      <c r="G1464" s="40" t="s">
        <v>6696</v>
      </c>
      <c r="H1464" s="40"/>
      <c r="I1464" s="38" t="s">
        <v>6697</v>
      </c>
      <c r="J1464" s="38" t="s">
        <v>15</v>
      </c>
      <c r="K1464" s="38" t="s">
        <v>6698</v>
      </c>
      <c r="L1464" s="38" t="s">
        <v>49</v>
      </c>
      <c r="M1464" s="37" t="s">
        <v>120</v>
      </c>
      <c r="N1464" s="39" t="n">
        <v>43727</v>
      </c>
      <c r="O1464" s="41" t="s">
        <v>23</v>
      </c>
      <c r="P1464" s="41" t="s">
        <v>105</v>
      </c>
      <c r="Q1464" s="42"/>
      <c r="R1464" s="41"/>
      <c r="S1464" s="42"/>
      <c r="T1464" s="41"/>
    </row>
    <row r="1465" customFormat="false" ht="13.5" hidden="false" customHeight="true" outlineLevel="0" collapsed="false">
      <c r="A1465" s="37" t="n">
        <v>1462</v>
      </c>
      <c r="B1465" s="37" t="n">
        <v>3851</v>
      </c>
      <c r="C1465" s="38" t="s">
        <v>6699</v>
      </c>
      <c r="D1465" s="37" t="s">
        <v>100</v>
      </c>
      <c r="E1465" s="39" t="n">
        <v>26078</v>
      </c>
      <c r="F1465" s="37" t="n">
        <f aca="true">IFERROR(DATEDIF(E1465,TODAY(),"Y"),"")</f>
        <v>55</v>
      </c>
      <c r="G1465" s="40" t="s">
        <v>6700</v>
      </c>
      <c r="H1465" s="40" t="s">
        <v>6701</v>
      </c>
      <c r="I1465" s="38" t="s">
        <v>6702</v>
      </c>
      <c r="J1465" s="38" t="s">
        <v>15</v>
      </c>
      <c r="K1465" s="38" t="s">
        <v>6703</v>
      </c>
      <c r="L1465" s="38" t="s">
        <v>55</v>
      </c>
      <c r="M1465" s="37" t="s">
        <v>177</v>
      </c>
      <c r="N1465" s="39" t="n">
        <v>43730</v>
      </c>
      <c r="O1465" s="41" t="s">
        <v>23</v>
      </c>
      <c r="P1465" s="41" t="s">
        <v>105</v>
      </c>
      <c r="Q1465" s="42"/>
      <c r="R1465" s="41"/>
      <c r="S1465" s="42"/>
      <c r="T1465" s="41"/>
    </row>
    <row r="1466" customFormat="false" ht="13.5" hidden="false" customHeight="true" outlineLevel="0" collapsed="false">
      <c r="A1466" s="37" t="n">
        <v>1463</v>
      </c>
      <c r="B1466" s="37" t="n">
        <v>3852</v>
      </c>
      <c r="C1466" s="38" t="s">
        <v>6704</v>
      </c>
      <c r="D1466" s="37" t="s">
        <v>100</v>
      </c>
      <c r="E1466" s="39" t="n">
        <v>21990</v>
      </c>
      <c r="F1466" s="37" t="n">
        <f aca="true">IFERROR(DATEDIF(E1466,TODAY(),"Y"),"")</f>
        <v>66</v>
      </c>
      <c r="G1466" s="40" t="s">
        <v>6705</v>
      </c>
      <c r="H1466" s="40" t="s">
        <v>6706</v>
      </c>
      <c r="I1466" s="38" t="s">
        <v>6707</v>
      </c>
      <c r="J1466" s="38" t="s">
        <v>18</v>
      </c>
      <c r="K1466" s="38" t="s">
        <v>6708</v>
      </c>
      <c r="L1466" s="38" t="s">
        <v>46</v>
      </c>
      <c r="M1466" s="37"/>
      <c r="N1466" s="39" t="n">
        <v>43736</v>
      </c>
      <c r="O1466" s="41" t="s">
        <v>23</v>
      </c>
      <c r="P1466" s="41" t="s">
        <v>105</v>
      </c>
      <c r="Q1466" s="42"/>
      <c r="R1466" s="41"/>
      <c r="S1466" s="42"/>
      <c r="T1466" s="41"/>
    </row>
    <row r="1467" customFormat="false" ht="13.5" hidden="false" customHeight="true" outlineLevel="0" collapsed="false">
      <c r="A1467" s="37" t="n">
        <v>1464</v>
      </c>
      <c r="B1467" s="37" t="n">
        <v>3853</v>
      </c>
      <c r="C1467" s="38" t="s">
        <v>6709</v>
      </c>
      <c r="D1467" s="37" t="s">
        <v>100</v>
      </c>
      <c r="E1467" s="39" t="n">
        <v>28995</v>
      </c>
      <c r="F1467" s="37" t="n">
        <f aca="true">IFERROR(DATEDIF(E1467,TODAY(),"Y"),"")</f>
        <v>47</v>
      </c>
      <c r="G1467" s="40" t="s">
        <v>6710</v>
      </c>
      <c r="H1467" s="40"/>
      <c r="I1467" s="38" t="s">
        <v>6711</v>
      </c>
      <c r="J1467" s="38" t="s">
        <v>15</v>
      </c>
      <c r="K1467" s="38" t="s">
        <v>6712</v>
      </c>
      <c r="L1467" s="38" t="s">
        <v>55</v>
      </c>
      <c r="M1467" s="37" t="s">
        <v>177</v>
      </c>
      <c r="N1467" s="39" t="n">
        <v>43743</v>
      </c>
      <c r="O1467" s="41" t="s">
        <v>23</v>
      </c>
      <c r="P1467" s="41" t="s">
        <v>105</v>
      </c>
      <c r="Q1467" s="42"/>
      <c r="R1467" s="41"/>
      <c r="S1467" s="42"/>
      <c r="T1467" s="41"/>
    </row>
    <row r="1468" customFormat="false" ht="13.5" hidden="false" customHeight="true" outlineLevel="0" collapsed="false">
      <c r="A1468" s="37" t="n">
        <v>1465</v>
      </c>
      <c r="B1468" s="37" t="n">
        <v>3854</v>
      </c>
      <c r="C1468" s="38" t="s">
        <v>6713</v>
      </c>
      <c r="D1468" s="37" t="s">
        <v>100</v>
      </c>
      <c r="E1468" s="39" t="n">
        <v>28511</v>
      </c>
      <c r="F1468" s="37" t="n">
        <f aca="true">IFERROR(DATEDIF(E1468,TODAY(),"Y"),"")</f>
        <v>48</v>
      </c>
      <c r="G1468" s="40" t="s">
        <v>6714</v>
      </c>
      <c r="H1468" s="40"/>
      <c r="I1468" s="38" t="s">
        <v>6715</v>
      </c>
      <c r="J1468" s="38" t="s">
        <v>16</v>
      </c>
      <c r="K1468" s="38" t="s">
        <v>6716</v>
      </c>
      <c r="L1468" s="38" t="s">
        <v>55</v>
      </c>
      <c r="M1468" s="37" t="s">
        <v>120</v>
      </c>
      <c r="N1468" s="39" t="n">
        <v>43743</v>
      </c>
      <c r="O1468" s="41" t="s">
        <v>23</v>
      </c>
      <c r="P1468" s="41" t="s">
        <v>105</v>
      </c>
      <c r="Q1468" s="42"/>
      <c r="R1468" s="41"/>
      <c r="S1468" s="42"/>
      <c r="T1468" s="41"/>
    </row>
    <row r="1469" customFormat="false" ht="13.5" hidden="false" customHeight="true" outlineLevel="0" collapsed="false">
      <c r="A1469" s="37" t="n">
        <v>1466</v>
      </c>
      <c r="B1469" s="37" t="n">
        <v>3855</v>
      </c>
      <c r="C1469" s="38" t="s">
        <v>6717</v>
      </c>
      <c r="D1469" s="37" t="s">
        <v>100</v>
      </c>
      <c r="E1469" s="39" t="n">
        <v>23893</v>
      </c>
      <c r="F1469" s="37" t="n">
        <f aca="true">IFERROR(DATEDIF(E1469,TODAY(),"Y"),"")</f>
        <v>61</v>
      </c>
      <c r="G1469" s="40" t="s">
        <v>6718</v>
      </c>
      <c r="H1469" s="40" t="s">
        <v>6719</v>
      </c>
      <c r="I1469" s="38" t="s">
        <v>6720</v>
      </c>
      <c r="J1469" s="38" t="s">
        <v>15</v>
      </c>
      <c r="K1469" s="38" t="s">
        <v>6721</v>
      </c>
      <c r="L1469" s="38" t="s">
        <v>48</v>
      </c>
      <c r="M1469" s="37" t="s">
        <v>788</v>
      </c>
      <c r="N1469" s="39" t="n">
        <v>43743</v>
      </c>
      <c r="O1469" s="41" t="s">
        <v>23</v>
      </c>
      <c r="P1469" s="41" t="s">
        <v>105</v>
      </c>
      <c r="Q1469" s="42"/>
      <c r="R1469" s="41"/>
      <c r="S1469" s="42"/>
      <c r="T1469" s="41"/>
    </row>
    <row r="1470" customFormat="false" ht="13.5" hidden="false" customHeight="true" outlineLevel="0" collapsed="false">
      <c r="A1470" s="37" t="n">
        <v>1467</v>
      </c>
      <c r="B1470" s="37" t="n">
        <v>3856</v>
      </c>
      <c r="C1470" s="38" t="s">
        <v>6722</v>
      </c>
      <c r="D1470" s="37" t="s">
        <v>100</v>
      </c>
      <c r="E1470" s="39" t="n">
        <v>28075</v>
      </c>
      <c r="F1470" s="37" t="n">
        <f aca="true">IFERROR(DATEDIF(E1470,TODAY(),"Y"),"")</f>
        <v>49</v>
      </c>
      <c r="G1470" s="40" t="s">
        <v>6723</v>
      </c>
      <c r="H1470" s="40"/>
      <c r="I1470" s="38" t="s">
        <v>6724</v>
      </c>
      <c r="J1470" s="38" t="s">
        <v>15</v>
      </c>
      <c r="K1470" s="38" t="s">
        <v>6725</v>
      </c>
      <c r="L1470" s="38" t="s">
        <v>51</v>
      </c>
      <c r="M1470" s="37" t="s">
        <v>104</v>
      </c>
      <c r="N1470" s="39" t="n">
        <v>43746</v>
      </c>
      <c r="O1470" s="41" t="s">
        <v>23</v>
      </c>
      <c r="P1470" s="41" t="s">
        <v>105</v>
      </c>
      <c r="Q1470" s="42"/>
      <c r="R1470" s="41"/>
      <c r="S1470" s="42"/>
      <c r="T1470" s="41"/>
    </row>
    <row r="1471" customFormat="false" ht="13.5" hidden="false" customHeight="true" outlineLevel="0" collapsed="false">
      <c r="A1471" s="37" t="n">
        <v>1468</v>
      </c>
      <c r="B1471" s="37" t="n">
        <v>3857</v>
      </c>
      <c r="C1471" s="38" t="s">
        <v>6726</v>
      </c>
      <c r="D1471" s="37" t="s">
        <v>100</v>
      </c>
      <c r="E1471" s="39" t="n">
        <v>26764</v>
      </c>
      <c r="F1471" s="37" t="n">
        <f aca="true">IFERROR(DATEDIF(E1471,TODAY(),"Y"),"")</f>
        <v>53</v>
      </c>
      <c r="G1471" s="40" t="s">
        <v>6727</v>
      </c>
      <c r="H1471" s="40"/>
      <c r="I1471" s="38" t="s">
        <v>6728</v>
      </c>
      <c r="J1471" s="38" t="s">
        <v>15</v>
      </c>
      <c r="K1471" s="38" t="s">
        <v>6729</v>
      </c>
      <c r="L1471" s="38" t="s">
        <v>46</v>
      </c>
      <c r="M1471" s="37" t="s">
        <v>231</v>
      </c>
      <c r="N1471" s="39" t="n">
        <v>43748</v>
      </c>
      <c r="O1471" s="41" t="s">
        <v>23</v>
      </c>
      <c r="P1471" s="41" t="s">
        <v>105</v>
      </c>
      <c r="Q1471" s="42"/>
      <c r="R1471" s="41"/>
      <c r="S1471" s="42"/>
      <c r="T1471" s="41"/>
    </row>
    <row r="1472" customFormat="false" ht="13.5" hidden="false" customHeight="true" outlineLevel="0" collapsed="false">
      <c r="A1472" s="37" t="n">
        <v>1469</v>
      </c>
      <c r="B1472" s="37" t="n">
        <v>3858</v>
      </c>
      <c r="C1472" s="38" t="s">
        <v>6730</v>
      </c>
      <c r="D1472" s="37" t="s">
        <v>100</v>
      </c>
      <c r="E1472" s="39" t="n">
        <v>24988</v>
      </c>
      <c r="F1472" s="37" t="n">
        <f aca="true">IFERROR(DATEDIF(E1472,TODAY(),"Y"),"")</f>
        <v>58</v>
      </c>
      <c r="G1472" s="40" t="s">
        <v>6731</v>
      </c>
      <c r="H1472" s="40"/>
      <c r="I1472" s="38" t="s">
        <v>6732</v>
      </c>
      <c r="J1472" s="38" t="s">
        <v>15</v>
      </c>
      <c r="K1472" s="38" t="s">
        <v>6733</v>
      </c>
      <c r="L1472" s="38" t="s">
        <v>48</v>
      </c>
      <c r="M1472" s="37" t="s">
        <v>177</v>
      </c>
      <c r="N1472" s="39" t="n">
        <v>43751</v>
      </c>
      <c r="O1472" s="41" t="s">
        <v>23</v>
      </c>
      <c r="P1472" s="41" t="s">
        <v>105</v>
      </c>
      <c r="Q1472" s="42"/>
      <c r="R1472" s="41"/>
      <c r="S1472" s="42"/>
      <c r="T1472" s="41"/>
    </row>
    <row r="1473" customFormat="false" ht="13.5" hidden="false" customHeight="true" outlineLevel="0" collapsed="false">
      <c r="A1473" s="37" t="n">
        <v>1470</v>
      </c>
      <c r="B1473" s="37" t="n">
        <v>3859</v>
      </c>
      <c r="C1473" s="38" t="s">
        <v>6734</v>
      </c>
      <c r="D1473" s="37" t="s">
        <v>100</v>
      </c>
      <c r="E1473" s="39" t="n">
        <v>28555</v>
      </c>
      <c r="F1473" s="37" t="n">
        <f aca="true">IFERROR(DATEDIF(E1473,TODAY(),"Y"),"")</f>
        <v>48</v>
      </c>
      <c r="G1473" s="40" t="s">
        <v>6735</v>
      </c>
      <c r="H1473" s="40"/>
      <c r="I1473" s="38" t="s">
        <v>6736</v>
      </c>
      <c r="J1473" s="38" t="s">
        <v>15</v>
      </c>
      <c r="K1473" s="38" t="s">
        <v>6737</v>
      </c>
      <c r="L1473" s="43" t="s">
        <v>58</v>
      </c>
      <c r="M1473" s="37" t="s">
        <v>745</v>
      </c>
      <c r="N1473" s="39" t="n">
        <v>43751</v>
      </c>
      <c r="O1473" s="41" t="s">
        <v>23</v>
      </c>
      <c r="P1473" s="41" t="s">
        <v>105</v>
      </c>
      <c r="Q1473" s="42"/>
      <c r="R1473" s="41"/>
      <c r="S1473" s="42"/>
      <c r="T1473" s="41"/>
    </row>
    <row r="1474" customFormat="false" ht="13.5" hidden="false" customHeight="true" outlineLevel="0" collapsed="false">
      <c r="A1474" s="37" t="n">
        <v>1471</v>
      </c>
      <c r="B1474" s="37" t="n">
        <v>3860</v>
      </c>
      <c r="C1474" s="38" t="s">
        <v>6738</v>
      </c>
      <c r="D1474" s="37" t="s">
        <v>100</v>
      </c>
      <c r="E1474" s="39" t="n">
        <v>30466</v>
      </c>
      <c r="F1474" s="37" t="n">
        <f aca="true">IFERROR(DATEDIF(E1474,TODAY(),"Y"),"")</f>
        <v>43</v>
      </c>
      <c r="G1474" s="40" t="s">
        <v>6739</v>
      </c>
      <c r="H1474" s="40"/>
      <c r="I1474" s="38" t="s">
        <v>6740</v>
      </c>
      <c r="J1474" s="38" t="s">
        <v>15</v>
      </c>
      <c r="K1474" s="38" t="s">
        <v>6741</v>
      </c>
      <c r="L1474" s="38" t="s">
        <v>50</v>
      </c>
      <c r="M1474" s="37"/>
      <c r="N1474" s="39" t="n">
        <v>43754</v>
      </c>
      <c r="O1474" s="41" t="s">
        <v>23</v>
      </c>
      <c r="P1474" s="41" t="s">
        <v>105</v>
      </c>
      <c r="Q1474" s="42"/>
      <c r="R1474" s="41"/>
      <c r="S1474" s="42"/>
      <c r="T1474" s="41"/>
    </row>
    <row r="1475" customFormat="false" ht="13.5" hidden="false" customHeight="true" outlineLevel="0" collapsed="false">
      <c r="A1475" s="37" t="n">
        <v>1472</v>
      </c>
      <c r="B1475" s="37" t="n">
        <v>3861</v>
      </c>
      <c r="C1475" s="38" t="s">
        <v>6742</v>
      </c>
      <c r="D1475" s="37" t="s">
        <v>100</v>
      </c>
      <c r="E1475" s="39" t="n">
        <v>25347</v>
      </c>
      <c r="F1475" s="37" t="n">
        <f aca="true">IFERROR(DATEDIF(E1475,TODAY(),"Y"),"")</f>
        <v>57</v>
      </c>
      <c r="G1475" s="40" t="s">
        <v>6743</v>
      </c>
      <c r="H1475" s="40" t="s">
        <v>6744</v>
      </c>
      <c r="I1475" s="38" t="s">
        <v>6745</v>
      </c>
      <c r="J1475" s="38" t="s">
        <v>16</v>
      </c>
      <c r="K1475" s="38" t="s">
        <v>6746</v>
      </c>
      <c r="L1475" s="38" t="s">
        <v>47</v>
      </c>
      <c r="M1475" s="37"/>
      <c r="N1475" s="39" t="n">
        <v>43759</v>
      </c>
      <c r="O1475" s="41" t="s">
        <v>23</v>
      </c>
      <c r="P1475" s="41" t="s">
        <v>105</v>
      </c>
      <c r="Q1475" s="42"/>
      <c r="R1475" s="41"/>
      <c r="S1475" s="42"/>
      <c r="T1475" s="41"/>
    </row>
    <row r="1476" customFormat="false" ht="13.5" hidden="false" customHeight="true" outlineLevel="0" collapsed="false">
      <c r="A1476" s="37" t="n">
        <v>1473</v>
      </c>
      <c r="B1476" s="37" t="n">
        <v>3862</v>
      </c>
      <c r="C1476" s="38" t="s">
        <v>6747</v>
      </c>
      <c r="D1476" s="37" t="s">
        <v>100</v>
      </c>
      <c r="E1476" s="39" t="n">
        <v>25315</v>
      </c>
      <c r="F1476" s="37" t="n">
        <f aca="true">IFERROR(DATEDIF(E1476,TODAY(),"Y"),"")</f>
        <v>57</v>
      </c>
      <c r="G1476" s="40" t="s">
        <v>6748</v>
      </c>
      <c r="H1476" s="40" t="s">
        <v>6749</v>
      </c>
      <c r="I1476" s="38" t="s">
        <v>6750</v>
      </c>
      <c r="J1476" s="38"/>
      <c r="K1476" s="38" t="s">
        <v>6751</v>
      </c>
      <c r="L1476" s="38" t="s">
        <v>52</v>
      </c>
      <c r="M1476" s="37" t="s">
        <v>120</v>
      </c>
      <c r="N1476" s="39" t="n">
        <v>43762</v>
      </c>
      <c r="O1476" s="41" t="s">
        <v>23</v>
      </c>
      <c r="P1476" s="41" t="s">
        <v>105</v>
      </c>
      <c r="Q1476" s="42"/>
      <c r="R1476" s="41"/>
      <c r="S1476" s="42"/>
      <c r="T1476" s="41"/>
    </row>
    <row r="1477" customFormat="false" ht="13.5" hidden="false" customHeight="true" outlineLevel="0" collapsed="false">
      <c r="A1477" s="37" t="n">
        <v>1474</v>
      </c>
      <c r="B1477" s="37" t="n">
        <v>3863</v>
      </c>
      <c r="C1477" s="38" t="s">
        <v>6752</v>
      </c>
      <c r="D1477" s="37" t="s">
        <v>100</v>
      </c>
      <c r="E1477" s="39" t="n">
        <v>29351</v>
      </c>
      <c r="F1477" s="37" t="n">
        <f aca="true">IFERROR(DATEDIF(E1477,TODAY(),"Y"),"")</f>
        <v>46</v>
      </c>
      <c r="G1477" s="40" t="s">
        <v>6753</v>
      </c>
      <c r="H1477" s="40" t="s">
        <v>6754</v>
      </c>
      <c r="I1477" s="38" t="s">
        <v>6755</v>
      </c>
      <c r="J1477" s="38" t="s">
        <v>15</v>
      </c>
      <c r="K1477" s="38" t="s">
        <v>6756</v>
      </c>
      <c r="L1477" s="38" t="s">
        <v>47</v>
      </c>
      <c r="M1477" s="37" t="s">
        <v>120</v>
      </c>
      <c r="N1477" s="39" t="n">
        <v>43767</v>
      </c>
      <c r="O1477" s="41" t="s">
        <v>23</v>
      </c>
      <c r="P1477" s="41" t="s">
        <v>105</v>
      </c>
      <c r="Q1477" s="42"/>
      <c r="R1477" s="41"/>
      <c r="S1477" s="42"/>
      <c r="T1477" s="41"/>
    </row>
    <row r="1478" customFormat="false" ht="13.5" hidden="false" customHeight="true" outlineLevel="0" collapsed="false">
      <c r="A1478" s="37" t="n">
        <v>1475</v>
      </c>
      <c r="B1478" s="37" t="n">
        <v>3864</v>
      </c>
      <c r="C1478" s="38" t="s">
        <v>6757</v>
      </c>
      <c r="D1478" s="37" t="s">
        <v>100</v>
      </c>
      <c r="E1478" s="39" t="n">
        <v>30367</v>
      </c>
      <c r="F1478" s="37" t="n">
        <f aca="true">IFERROR(DATEDIF(E1478,TODAY(),"Y"),"")</f>
        <v>43</v>
      </c>
      <c r="G1478" s="40" t="s">
        <v>6758</v>
      </c>
      <c r="H1478" s="40"/>
      <c r="I1478" s="38" t="s">
        <v>6759</v>
      </c>
      <c r="J1478" s="38"/>
      <c r="K1478" s="38" t="s">
        <v>6760</v>
      </c>
      <c r="L1478" s="38" t="s">
        <v>47</v>
      </c>
      <c r="M1478" s="37" t="s">
        <v>104</v>
      </c>
      <c r="N1478" s="39" t="n">
        <v>43771</v>
      </c>
      <c r="O1478" s="41" t="s">
        <v>23</v>
      </c>
      <c r="P1478" s="41" t="s">
        <v>105</v>
      </c>
      <c r="Q1478" s="42"/>
      <c r="R1478" s="41"/>
      <c r="S1478" s="42"/>
      <c r="T1478" s="41"/>
    </row>
    <row r="1479" customFormat="false" ht="13.5" hidden="false" customHeight="true" outlineLevel="0" collapsed="false">
      <c r="A1479" s="37" t="n">
        <v>1476</v>
      </c>
      <c r="B1479" s="37" t="n">
        <v>3865</v>
      </c>
      <c r="C1479" s="38" t="s">
        <v>6761</v>
      </c>
      <c r="D1479" s="37" t="s">
        <v>100</v>
      </c>
      <c r="E1479" s="39" t="n">
        <v>29281</v>
      </c>
      <c r="F1479" s="37" t="n">
        <f aca="true">IFERROR(DATEDIF(E1479,TODAY(),"Y"),"")</f>
        <v>46</v>
      </c>
      <c r="G1479" s="40" t="s">
        <v>6762</v>
      </c>
      <c r="H1479" s="40" t="s">
        <v>6763</v>
      </c>
      <c r="I1479" s="38" t="s">
        <v>6764</v>
      </c>
      <c r="J1479" s="38" t="s">
        <v>15</v>
      </c>
      <c r="K1479" s="38" t="s">
        <v>6765</v>
      </c>
      <c r="L1479" s="38" t="s">
        <v>46</v>
      </c>
      <c r="M1479" s="37" t="s">
        <v>120</v>
      </c>
      <c r="N1479" s="39" t="n">
        <v>43774</v>
      </c>
      <c r="O1479" s="41" t="s">
        <v>23</v>
      </c>
      <c r="P1479" s="41" t="s">
        <v>105</v>
      </c>
      <c r="Q1479" s="42"/>
      <c r="R1479" s="41"/>
      <c r="S1479" s="42"/>
      <c r="T1479" s="41"/>
    </row>
    <row r="1480" customFormat="false" ht="13.5" hidden="false" customHeight="true" outlineLevel="0" collapsed="false">
      <c r="A1480" s="37" t="n">
        <v>1477</v>
      </c>
      <c r="B1480" s="37" t="n">
        <v>3866</v>
      </c>
      <c r="C1480" s="38" t="s">
        <v>6766</v>
      </c>
      <c r="D1480" s="37" t="s">
        <v>100</v>
      </c>
      <c r="E1480" s="39" t="n">
        <v>25029</v>
      </c>
      <c r="F1480" s="37" t="n">
        <f aca="true">IFERROR(DATEDIF(E1480,TODAY(),"Y"),"")</f>
        <v>58</v>
      </c>
      <c r="G1480" s="40" t="s">
        <v>6767</v>
      </c>
      <c r="H1480" s="40" t="s">
        <v>6768</v>
      </c>
      <c r="I1480" s="38" t="s">
        <v>6769</v>
      </c>
      <c r="J1480" s="38" t="s">
        <v>15</v>
      </c>
      <c r="K1480" s="38" t="s">
        <v>6770</v>
      </c>
      <c r="L1480" s="38" t="s">
        <v>47</v>
      </c>
      <c r="M1480" s="37" t="s">
        <v>120</v>
      </c>
      <c r="N1480" s="39" t="n">
        <v>43775</v>
      </c>
      <c r="O1480" s="41" t="s">
        <v>23</v>
      </c>
      <c r="P1480" s="41" t="s">
        <v>105</v>
      </c>
      <c r="Q1480" s="42"/>
      <c r="R1480" s="41"/>
      <c r="S1480" s="42"/>
      <c r="T1480" s="41"/>
    </row>
    <row r="1481" customFormat="false" ht="13.5" hidden="false" customHeight="true" outlineLevel="0" collapsed="false">
      <c r="A1481" s="37" t="n">
        <v>1478</v>
      </c>
      <c r="B1481" s="37" t="n">
        <v>3867</v>
      </c>
      <c r="C1481" s="38" t="s">
        <v>6771</v>
      </c>
      <c r="D1481" s="37" t="s">
        <v>100</v>
      </c>
      <c r="E1481" s="39" t="n">
        <v>25729</v>
      </c>
      <c r="F1481" s="37" t="n">
        <f aca="true">IFERROR(DATEDIF(E1481,TODAY(),"Y"),"")</f>
        <v>56</v>
      </c>
      <c r="G1481" s="40" t="s">
        <v>6772</v>
      </c>
      <c r="H1481" s="40" t="s">
        <v>6773</v>
      </c>
      <c r="I1481" s="38" t="s">
        <v>6774</v>
      </c>
      <c r="J1481" s="38" t="s">
        <v>15</v>
      </c>
      <c r="K1481" s="38" t="s">
        <v>6775</v>
      </c>
      <c r="L1481" s="38" t="s">
        <v>46</v>
      </c>
      <c r="M1481" s="37" t="s">
        <v>120</v>
      </c>
      <c r="N1481" s="39" t="n">
        <v>43776</v>
      </c>
      <c r="O1481" s="41" t="s">
        <v>23</v>
      </c>
      <c r="P1481" s="41" t="s">
        <v>105</v>
      </c>
      <c r="Q1481" s="42"/>
      <c r="R1481" s="41"/>
      <c r="S1481" s="42"/>
      <c r="T1481" s="41"/>
    </row>
    <row r="1482" customFormat="false" ht="13.5" hidden="false" customHeight="true" outlineLevel="0" collapsed="false">
      <c r="A1482" s="37" t="n">
        <v>1479</v>
      </c>
      <c r="B1482" s="37" t="n">
        <v>3868</v>
      </c>
      <c r="C1482" s="38" t="s">
        <v>6776</v>
      </c>
      <c r="D1482" s="37" t="s">
        <v>100</v>
      </c>
      <c r="E1482" s="39" t="n">
        <v>30044</v>
      </c>
      <c r="F1482" s="37" t="n">
        <f aca="true">IFERROR(DATEDIF(E1482,TODAY(),"Y"),"")</f>
        <v>44</v>
      </c>
      <c r="G1482" s="40" t="s">
        <v>6777</v>
      </c>
      <c r="H1482" s="40"/>
      <c r="I1482" s="38" t="s">
        <v>6778</v>
      </c>
      <c r="J1482" s="38" t="s">
        <v>27</v>
      </c>
      <c r="K1482" s="38" t="s">
        <v>6779</v>
      </c>
      <c r="L1482" s="38" t="s">
        <v>50</v>
      </c>
      <c r="M1482" s="37"/>
      <c r="N1482" s="39" t="n">
        <v>43786</v>
      </c>
      <c r="O1482" s="41" t="s">
        <v>23</v>
      </c>
      <c r="P1482" s="41" t="s">
        <v>105</v>
      </c>
      <c r="Q1482" s="42"/>
      <c r="R1482" s="41"/>
      <c r="S1482" s="42"/>
      <c r="T1482" s="41"/>
    </row>
    <row r="1483" customFormat="false" ht="13.5" hidden="false" customHeight="true" outlineLevel="0" collapsed="false">
      <c r="A1483" s="37" t="n">
        <v>1480</v>
      </c>
      <c r="B1483" s="37" t="n">
        <v>3869</v>
      </c>
      <c r="C1483" s="38" t="s">
        <v>6780</v>
      </c>
      <c r="D1483" s="37" t="s">
        <v>100</v>
      </c>
      <c r="E1483" s="39" t="n">
        <v>28980</v>
      </c>
      <c r="F1483" s="37" t="n">
        <f aca="true">IFERROR(DATEDIF(E1483,TODAY(),"Y"),"")</f>
        <v>47</v>
      </c>
      <c r="G1483" s="40" t="s">
        <v>6781</v>
      </c>
      <c r="H1483" s="40"/>
      <c r="I1483" s="38" t="s">
        <v>6782</v>
      </c>
      <c r="J1483" s="38" t="s">
        <v>15</v>
      </c>
      <c r="K1483" s="38" t="s">
        <v>6783</v>
      </c>
      <c r="L1483" s="38" t="s">
        <v>46</v>
      </c>
      <c r="M1483" s="37" t="s">
        <v>177</v>
      </c>
      <c r="N1483" s="39" t="n">
        <v>43792</v>
      </c>
      <c r="O1483" s="41" t="s">
        <v>23</v>
      </c>
      <c r="P1483" s="41" t="s">
        <v>105</v>
      </c>
      <c r="Q1483" s="42"/>
      <c r="R1483" s="41"/>
      <c r="S1483" s="42"/>
      <c r="T1483" s="41"/>
    </row>
    <row r="1484" customFormat="false" ht="13.5" hidden="false" customHeight="true" outlineLevel="0" collapsed="false">
      <c r="A1484" s="37" t="n">
        <v>1481</v>
      </c>
      <c r="B1484" s="37" t="n">
        <v>3870</v>
      </c>
      <c r="C1484" s="38" t="s">
        <v>6784</v>
      </c>
      <c r="D1484" s="37" t="s">
        <v>100</v>
      </c>
      <c r="E1484" s="39" t="n">
        <v>31150</v>
      </c>
      <c r="F1484" s="37" t="n">
        <f aca="true">IFERROR(DATEDIF(E1484,TODAY(),"Y"),"")</f>
        <v>41</v>
      </c>
      <c r="G1484" s="40" t="s">
        <v>6785</v>
      </c>
      <c r="H1484" s="40"/>
      <c r="I1484" s="38" t="s">
        <v>6786</v>
      </c>
      <c r="J1484" s="38" t="s">
        <v>15</v>
      </c>
      <c r="K1484" s="38" t="s">
        <v>6787</v>
      </c>
      <c r="L1484" s="38" t="s">
        <v>47</v>
      </c>
      <c r="M1484" s="37" t="s">
        <v>120</v>
      </c>
      <c r="N1484" s="39" t="n">
        <v>43792</v>
      </c>
      <c r="O1484" s="41" t="s">
        <v>23</v>
      </c>
      <c r="P1484" s="41" t="s">
        <v>105</v>
      </c>
      <c r="Q1484" s="42"/>
      <c r="R1484" s="41"/>
      <c r="S1484" s="42"/>
      <c r="T1484" s="41"/>
    </row>
    <row r="1485" customFormat="false" ht="13.5" hidden="false" customHeight="true" outlineLevel="0" collapsed="false">
      <c r="A1485" s="37" t="n">
        <v>1482</v>
      </c>
      <c r="B1485" s="37" t="n">
        <v>3871</v>
      </c>
      <c r="C1485" s="38" t="s">
        <v>6788</v>
      </c>
      <c r="D1485" s="37" t="s">
        <v>100</v>
      </c>
      <c r="E1485" s="39" t="n">
        <v>26188</v>
      </c>
      <c r="F1485" s="37" t="n">
        <f aca="true">IFERROR(DATEDIF(E1485,TODAY(),"Y"),"")</f>
        <v>54</v>
      </c>
      <c r="G1485" s="40" t="s">
        <v>6789</v>
      </c>
      <c r="H1485" s="40"/>
      <c r="I1485" s="38" t="s">
        <v>6790</v>
      </c>
      <c r="J1485" s="38" t="s">
        <v>16</v>
      </c>
      <c r="K1485" s="38" t="s">
        <v>6791</v>
      </c>
      <c r="L1485" s="38" t="s">
        <v>48</v>
      </c>
      <c r="M1485" s="37" t="s">
        <v>104</v>
      </c>
      <c r="N1485" s="39" t="n">
        <v>43793</v>
      </c>
      <c r="O1485" s="41" t="s">
        <v>23</v>
      </c>
      <c r="P1485" s="41" t="s">
        <v>105</v>
      </c>
      <c r="Q1485" s="42"/>
      <c r="R1485" s="41"/>
      <c r="S1485" s="42"/>
      <c r="T1485" s="41"/>
    </row>
    <row r="1486" customFormat="false" ht="13.5" hidden="false" customHeight="true" outlineLevel="0" collapsed="false">
      <c r="A1486" s="37" t="n">
        <v>1483</v>
      </c>
      <c r="B1486" s="37" t="n">
        <v>3872</v>
      </c>
      <c r="C1486" s="38" t="s">
        <v>6792</v>
      </c>
      <c r="D1486" s="37" t="s">
        <v>100</v>
      </c>
      <c r="E1486" s="39" t="n">
        <v>30812</v>
      </c>
      <c r="F1486" s="37" t="n">
        <f aca="true">IFERROR(DATEDIF(E1486,TODAY(),"Y"),"")</f>
        <v>42</v>
      </c>
      <c r="G1486" s="40" t="s">
        <v>6793</v>
      </c>
      <c r="H1486" s="40"/>
      <c r="I1486" s="38" t="s">
        <v>6794</v>
      </c>
      <c r="J1486" s="38" t="s">
        <v>16</v>
      </c>
      <c r="K1486" s="38" t="s">
        <v>6795</v>
      </c>
      <c r="L1486" s="38" t="s">
        <v>53</v>
      </c>
      <c r="M1486" s="37" t="s">
        <v>104</v>
      </c>
      <c r="N1486" s="39" t="n">
        <v>43803</v>
      </c>
      <c r="O1486" s="41" t="s">
        <v>23</v>
      </c>
      <c r="P1486" s="41" t="s">
        <v>105</v>
      </c>
      <c r="Q1486" s="42"/>
      <c r="R1486" s="41"/>
      <c r="S1486" s="42"/>
      <c r="T1486" s="41"/>
    </row>
    <row r="1487" customFormat="false" ht="13.5" hidden="false" customHeight="true" outlineLevel="0" collapsed="false">
      <c r="A1487" s="37" t="n">
        <v>1484</v>
      </c>
      <c r="B1487" s="37" t="n">
        <v>3873</v>
      </c>
      <c r="C1487" s="38" t="s">
        <v>6796</v>
      </c>
      <c r="D1487" s="37" t="s">
        <v>100</v>
      </c>
      <c r="E1487" s="39" t="n">
        <v>26621</v>
      </c>
      <c r="F1487" s="37" t="n">
        <f aca="true">IFERROR(DATEDIF(E1487,TODAY(),"Y"),"")</f>
        <v>53</v>
      </c>
      <c r="G1487" s="40" t="s">
        <v>6797</v>
      </c>
      <c r="H1487" s="40" t="s">
        <v>6798</v>
      </c>
      <c r="I1487" s="38" t="s">
        <v>6799</v>
      </c>
      <c r="J1487" s="38" t="s">
        <v>15</v>
      </c>
      <c r="K1487" s="38" t="s">
        <v>6800</v>
      </c>
      <c r="L1487" s="38" t="s">
        <v>46</v>
      </c>
      <c r="M1487" s="37" t="s">
        <v>104</v>
      </c>
      <c r="N1487" s="39" t="n">
        <v>43804</v>
      </c>
      <c r="O1487" s="41" t="s">
        <v>23</v>
      </c>
      <c r="P1487" s="41" t="s">
        <v>105</v>
      </c>
      <c r="Q1487" s="42"/>
      <c r="R1487" s="41"/>
      <c r="S1487" s="42"/>
      <c r="T1487" s="41"/>
    </row>
    <row r="1488" customFormat="false" ht="13.5" hidden="false" customHeight="true" outlineLevel="0" collapsed="false">
      <c r="A1488" s="37" t="n">
        <v>1485</v>
      </c>
      <c r="B1488" s="37" t="n">
        <v>3874</v>
      </c>
      <c r="C1488" s="38" t="s">
        <v>6801</v>
      </c>
      <c r="D1488" s="37" t="s">
        <v>100</v>
      </c>
      <c r="E1488" s="39" t="n">
        <v>31198</v>
      </c>
      <c r="F1488" s="37" t="n">
        <f aca="true">IFERROR(DATEDIF(E1488,TODAY(),"Y"),"")</f>
        <v>41</v>
      </c>
      <c r="G1488" s="40" t="s">
        <v>6802</v>
      </c>
      <c r="H1488" s="40"/>
      <c r="I1488" s="38" t="s">
        <v>6803</v>
      </c>
      <c r="J1488" s="38" t="s">
        <v>16</v>
      </c>
      <c r="K1488" s="38" t="s">
        <v>6804</v>
      </c>
      <c r="L1488" s="38" t="s">
        <v>44</v>
      </c>
      <c r="M1488" s="37" t="s">
        <v>120</v>
      </c>
      <c r="N1488" s="39" t="n">
        <v>43804</v>
      </c>
      <c r="O1488" s="41" t="s">
        <v>23</v>
      </c>
      <c r="P1488" s="41" t="s">
        <v>105</v>
      </c>
      <c r="Q1488" s="42"/>
      <c r="R1488" s="41"/>
      <c r="S1488" s="42"/>
      <c r="T1488" s="41"/>
    </row>
    <row r="1489" customFormat="false" ht="13.5" hidden="false" customHeight="true" outlineLevel="0" collapsed="false">
      <c r="A1489" s="37" t="n">
        <v>1486</v>
      </c>
      <c r="B1489" s="37" t="n">
        <v>3875</v>
      </c>
      <c r="C1489" s="38" t="s">
        <v>6805</v>
      </c>
      <c r="D1489" s="37" t="s">
        <v>100</v>
      </c>
      <c r="E1489" s="39" t="n">
        <v>26033</v>
      </c>
      <c r="F1489" s="37" t="n">
        <f aca="true">IFERROR(DATEDIF(E1489,TODAY(),"Y"),"")</f>
        <v>55</v>
      </c>
      <c r="G1489" s="40" t="s">
        <v>6806</v>
      </c>
      <c r="H1489" s="40" t="s">
        <v>6807</v>
      </c>
      <c r="I1489" s="38" t="s">
        <v>6808</v>
      </c>
      <c r="J1489" s="38" t="s">
        <v>15</v>
      </c>
      <c r="K1489" s="38" t="s">
        <v>6809</v>
      </c>
      <c r="L1489" s="38" t="s">
        <v>50</v>
      </c>
      <c r="M1489" s="37"/>
      <c r="N1489" s="39" t="n">
        <v>43810</v>
      </c>
      <c r="O1489" s="41" t="s">
        <v>23</v>
      </c>
      <c r="P1489" s="41" t="s">
        <v>105</v>
      </c>
      <c r="Q1489" s="42"/>
      <c r="R1489" s="41"/>
      <c r="S1489" s="42"/>
      <c r="T1489" s="41"/>
    </row>
    <row r="1490" customFormat="false" ht="13.5" hidden="false" customHeight="true" outlineLevel="0" collapsed="false">
      <c r="A1490" s="37" t="n">
        <v>1487</v>
      </c>
      <c r="B1490" s="37" t="n">
        <v>3876</v>
      </c>
      <c r="C1490" s="38" t="s">
        <v>6810</v>
      </c>
      <c r="D1490" s="37" t="s">
        <v>100</v>
      </c>
      <c r="E1490" s="39" t="n">
        <v>21701</v>
      </c>
      <c r="F1490" s="37" t="n">
        <f aca="true">IFERROR(DATEDIF(E1490,TODAY(),"Y"),"")</f>
        <v>67</v>
      </c>
      <c r="G1490" s="40" t="s">
        <v>6811</v>
      </c>
      <c r="H1490" s="40" t="s">
        <v>6812</v>
      </c>
      <c r="I1490" s="38" t="s">
        <v>6813</v>
      </c>
      <c r="J1490" s="38" t="s">
        <v>16</v>
      </c>
      <c r="K1490" s="38" t="s">
        <v>6814</v>
      </c>
      <c r="L1490" s="38" t="s">
        <v>48</v>
      </c>
      <c r="M1490" s="37" t="s">
        <v>120</v>
      </c>
      <c r="N1490" s="39" t="n">
        <v>43817</v>
      </c>
      <c r="O1490" s="41" t="s">
        <v>23</v>
      </c>
      <c r="P1490" s="41" t="s">
        <v>105</v>
      </c>
      <c r="Q1490" s="42"/>
      <c r="R1490" s="41"/>
      <c r="S1490" s="42"/>
      <c r="T1490" s="41"/>
    </row>
    <row r="1491" customFormat="false" ht="13.5" hidden="false" customHeight="true" outlineLevel="0" collapsed="false">
      <c r="A1491" s="37" t="n">
        <v>1488</v>
      </c>
      <c r="B1491" s="37" t="n">
        <v>3877</v>
      </c>
      <c r="C1491" s="38" t="s">
        <v>6815</v>
      </c>
      <c r="D1491" s="37" t="s">
        <v>100</v>
      </c>
      <c r="E1491" s="39" t="n">
        <v>26814</v>
      </c>
      <c r="F1491" s="37" t="n">
        <f aca="true">IFERROR(DATEDIF(E1491,TODAY(),"Y"),"")</f>
        <v>53</v>
      </c>
      <c r="G1491" s="40" t="s">
        <v>6816</v>
      </c>
      <c r="H1491" s="40" t="s">
        <v>6817</v>
      </c>
      <c r="I1491" s="38" t="s">
        <v>6818</v>
      </c>
      <c r="J1491" s="38" t="s">
        <v>18</v>
      </c>
      <c r="K1491" s="38" t="s">
        <v>6819</v>
      </c>
      <c r="L1491" s="38" t="s">
        <v>48</v>
      </c>
      <c r="M1491" s="37" t="s">
        <v>177</v>
      </c>
      <c r="N1491" s="39" t="n">
        <v>43818</v>
      </c>
      <c r="O1491" s="41" t="s">
        <v>23</v>
      </c>
      <c r="P1491" s="41" t="s">
        <v>105</v>
      </c>
      <c r="Q1491" s="42"/>
      <c r="R1491" s="41"/>
      <c r="S1491" s="42"/>
      <c r="T1491" s="41"/>
    </row>
    <row r="1492" customFormat="false" ht="13.5" hidden="false" customHeight="true" outlineLevel="0" collapsed="false">
      <c r="A1492" s="37" t="n">
        <v>1489</v>
      </c>
      <c r="B1492" s="37" t="n">
        <v>3878</v>
      </c>
      <c r="C1492" s="38" t="s">
        <v>6820</v>
      </c>
      <c r="D1492" s="37" t="s">
        <v>100</v>
      </c>
      <c r="E1492" s="39" t="n">
        <v>32235</v>
      </c>
      <c r="F1492" s="37" t="n">
        <f aca="true">IFERROR(DATEDIF(E1492,TODAY(),"Y"),"")</f>
        <v>38</v>
      </c>
      <c r="G1492" s="40" t="s">
        <v>6821</v>
      </c>
      <c r="H1492" s="40"/>
      <c r="I1492" s="38" t="s">
        <v>6822</v>
      </c>
      <c r="J1492" s="38" t="s">
        <v>15</v>
      </c>
      <c r="K1492" s="38" t="s">
        <v>6823</v>
      </c>
      <c r="L1492" s="38" t="s">
        <v>47</v>
      </c>
      <c r="M1492" s="37" t="s">
        <v>241</v>
      </c>
      <c r="N1492" s="39" t="n">
        <v>43835</v>
      </c>
      <c r="O1492" s="41" t="s">
        <v>23</v>
      </c>
      <c r="P1492" s="41" t="s">
        <v>105</v>
      </c>
      <c r="Q1492" s="42"/>
      <c r="R1492" s="41"/>
      <c r="S1492" s="42"/>
      <c r="T1492" s="41"/>
    </row>
    <row r="1493" customFormat="false" ht="13.5" hidden="false" customHeight="true" outlineLevel="0" collapsed="false">
      <c r="A1493" s="37" t="n">
        <v>1490</v>
      </c>
      <c r="B1493" s="37" t="n">
        <v>3879</v>
      </c>
      <c r="C1493" s="38" t="s">
        <v>6824</v>
      </c>
      <c r="D1493" s="37" t="s">
        <v>100</v>
      </c>
      <c r="E1493" s="39" t="n">
        <v>29668</v>
      </c>
      <c r="F1493" s="37" t="n">
        <f aca="true">IFERROR(DATEDIF(E1493,TODAY(),"Y"),"")</f>
        <v>45</v>
      </c>
      <c r="G1493" s="40" t="s">
        <v>6825</v>
      </c>
      <c r="H1493" s="40"/>
      <c r="I1493" s="38" t="s">
        <v>6826</v>
      </c>
      <c r="J1493" s="38" t="s">
        <v>16</v>
      </c>
      <c r="K1493" s="38" t="s">
        <v>6827</v>
      </c>
      <c r="L1493" s="38" t="s">
        <v>47</v>
      </c>
      <c r="M1493" s="37"/>
      <c r="N1493" s="39" t="n">
        <v>43836</v>
      </c>
      <c r="O1493" s="41" t="s">
        <v>23</v>
      </c>
      <c r="P1493" s="41" t="s">
        <v>105</v>
      </c>
      <c r="Q1493" s="42"/>
      <c r="R1493" s="41"/>
      <c r="S1493" s="42"/>
      <c r="T1493" s="41"/>
    </row>
    <row r="1494" customFormat="false" ht="13.5" hidden="false" customHeight="true" outlineLevel="0" collapsed="false">
      <c r="A1494" s="37" t="n">
        <v>1491</v>
      </c>
      <c r="B1494" s="37" t="n">
        <v>3880</v>
      </c>
      <c r="C1494" s="38" t="s">
        <v>6828</v>
      </c>
      <c r="D1494" s="37" t="s">
        <v>100</v>
      </c>
      <c r="E1494" s="39" t="n">
        <v>30062</v>
      </c>
      <c r="F1494" s="37" t="n">
        <f aca="true">IFERROR(DATEDIF(E1494,TODAY(),"Y"),"")</f>
        <v>44</v>
      </c>
      <c r="G1494" s="40" t="s">
        <v>6829</v>
      </c>
      <c r="H1494" s="40" t="s">
        <v>6830</v>
      </c>
      <c r="I1494" s="38" t="s">
        <v>6831</v>
      </c>
      <c r="J1494" s="38" t="s">
        <v>15</v>
      </c>
      <c r="K1494" s="38" t="s">
        <v>6832</v>
      </c>
      <c r="L1494" s="38" t="s">
        <v>51</v>
      </c>
      <c r="M1494" s="37" t="s">
        <v>104</v>
      </c>
      <c r="N1494" s="39" t="n">
        <v>43836</v>
      </c>
      <c r="O1494" s="41" t="s">
        <v>23</v>
      </c>
      <c r="P1494" s="41" t="s">
        <v>105</v>
      </c>
      <c r="Q1494" s="42"/>
      <c r="R1494" s="41"/>
      <c r="S1494" s="42"/>
      <c r="T1494" s="41"/>
    </row>
    <row r="1495" customFormat="false" ht="13.5" hidden="false" customHeight="true" outlineLevel="0" collapsed="false">
      <c r="A1495" s="37" t="n">
        <v>1492</v>
      </c>
      <c r="B1495" s="37" t="n">
        <v>3881</v>
      </c>
      <c r="C1495" s="38" t="s">
        <v>6833</v>
      </c>
      <c r="D1495" s="37" t="s">
        <v>100</v>
      </c>
      <c r="E1495" s="39" t="n">
        <v>25716</v>
      </c>
      <c r="F1495" s="37" t="n">
        <f aca="true">IFERROR(DATEDIF(E1495,TODAY(),"Y"),"")</f>
        <v>56</v>
      </c>
      <c r="G1495" s="40" t="s">
        <v>6834</v>
      </c>
      <c r="H1495" s="40" t="s">
        <v>6835</v>
      </c>
      <c r="I1495" s="38" t="s">
        <v>6836</v>
      </c>
      <c r="J1495" s="38" t="s">
        <v>15</v>
      </c>
      <c r="K1495" s="38" t="s">
        <v>6837</v>
      </c>
      <c r="L1495" s="38" t="s">
        <v>49</v>
      </c>
      <c r="M1495" s="37" t="s">
        <v>120</v>
      </c>
      <c r="N1495" s="39" t="n">
        <v>43837</v>
      </c>
      <c r="O1495" s="41" t="s">
        <v>23</v>
      </c>
      <c r="P1495" s="41" t="s">
        <v>105</v>
      </c>
      <c r="Q1495" s="42"/>
      <c r="R1495" s="41"/>
      <c r="S1495" s="42"/>
      <c r="T1495" s="41"/>
    </row>
    <row r="1496" customFormat="false" ht="13.5" hidden="false" customHeight="true" outlineLevel="0" collapsed="false">
      <c r="A1496" s="37" t="n">
        <v>1493</v>
      </c>
      <c r="B1496" s="37" t="n">
        <v>3883</v>
      </c>
      <c r="C1496" s="38" t="s">
        <v>6838</v>
      </c>
      <c r="D1496" s="37" t="s">
        <v>100</v>
      </c>
      <c r="E1496" s="39" t="n">
        <v>28270</v>
      </c>
      <c r="F1496" s="37" t="n">
        <f aca="true">IFERROR(DATEDIF(E1496,TODAY(),"Y"),"")</f>
        <v>49</v>
      </c>
      <c r="G1496" s="40" t="s">
        <v>6839</v>
      </c>
      <c r="H1496" s="40" t="s">
        <v>6840</v>
      </c>
      <c r="I1496" s="38" t="s">
        <v>6841</v>
      </c>
      <c r="J1496" s="38" t="s">
        <v>16</v>
      </c>
      <c r="K1496" s="38" t="s">
        <v>6842</v>
      </c>
      <c r="L1496" s="38" t="s">
        <v>43</v>
      </c>
      <c r="M1496" s="37" t="s">
        <v>120</v>
      </c>
      <c r="N1496" s="39" t="n">
        <v>43852</v>
      </c>
      <c r="O1496" s="41" t="s">
        <v>23</v>
      </c>
      <c r="P1496" s="41" t="s">
        <v>105</v>
      </c>
      <c r="Q1496" s="42"/>
      <c r="R1496" s="41"/>
      <c r="S1496" s="42"/>
      <c r="T1496" s="41"/>
    </row>
    <row r="1497" customFormat="false" ht="13.5" hidden="false" customHeight="true" outlineLevel="0" collapsed="false">
      <c r="A1497" s="37" t="n">
        <v>1494</v>
      </c>
      <c r="B1497" s="37" t="n">
        <v>3884</v>
      </c>
      <c r="C1497" s="38" t="s">
        <v>6843</v>
      </c>
      <c r="D1497" s="37" t="s">
        <v>100</v>
      </c>
      <c r="E1497" s="39" t="n">
        <v>27531</v>
      </c>
      <c r="F1497" s="37" t="n">
        <f aca="true">IFERROR(DATEDIF(E1497,TODAY(),"Y"),"")</f>
        <v>51</v>
      </c>
      <c r="G1497" s="40" t="s">
        <v>6844</v>
      </c>
      <c r="H1497" s="40" t="s">
        <v>6845</v>
      </c>
      <c r="I1497" s="38" t="s">
        <v>6846</v>
      </c>
      <c r="J1497" s="38" t="s">
        <v>15</v>
      </c>
      <c r="K1497" s="38" t="s">
        <v>6847</v>
      </c>
      <c r="L1497" s="38" t="s">
        <v>51</v>
      </c>
      <c r="M1497" s="37" t="s">
        <v>120</v>
      </c>
      <c r="N1497" s="39" t="n">
        <v>43860</v>
      </c>
      <c r="O1497" s="41" t="s">
        <v>23</v>
      </c>
      <c r="P1497" s="41" t="s">
        <v>105</v>
      </c>
      <c r="Q1497" s="42"/>
      <c r="R1497" s="41"/>
      <c r="S1497" s="42"/>
      <c r="T1497" s="41"/>
    </row>
    <row r="1498" customFormat="false" ht="13.5" hidden="false" customHeight="true" outlineLevel="0" collapsed="false">
      <c r="A1498" s="37" t="n">
        <v>1495</v>
      </c>
      <c r="B1498" s="37" t="n">
        <v>3885</v>
      </c>
      <c r="C1498" s="38" t="s">
        <v>6848</v>
      </c>
      <c r="D1498" s="37" t="s">
        <v>100</v>
      </c>
      <c r="E1498" s="39" t="n">
        <v>27297</v>
      </c>
      <c r="F1498" s="37" t="n">
        <f aca="true">IFERROR(DATEDIF(E1498,TODAY(),"Y"),"")</f>
        <v>51</v>
      </c>
      <c r="G1498" s="40" t="s">
        <v>6849</v>
      </c>
      <c r="H1498" s="40"/>
      <c r="I1498" s="38" t="s">
        <v>6850</v>
      </c>
      <c r="J1498" s="38" t="s">
        <v>16</v>
      </c>
      <c r="K1498" s="38" t="s">
        <v>6851</v>
      </c>
      <c r="L1498" s="38" t="s">
        <v>53</v>
      </c>
      <c r="M1498" s="37" t="s">
        <v>788</v>
      </c>
      <c r="N1498" s="39" t="n">
        <v>43863</v>
      </c>
      <c r="O1498" s="41" t="s">
        <v>23</v>
      </c>
      <c r="P1498" s="41" t="s">
        <v>105</v>
      </c>
      <c r="Q1498" s="42"/>
      <c r="R1498" s="41"/>
      <c r="S1498" s="42"/>
      <c r="T1498" s="41"/>
    </row>
    <row r="1499" customFormat="false" ht="13.5" hidden="false" customHeight="true" outlineLevel="0" collapsed="false">
      <c r="A1499" s="37" t="n">
        <v>1496</v>
      </c>
      <c r="B1499" s="37" t="n">
        <v>3886</v>
      </c>
      <c r="C1499" s="38" t="s">
        <v>6852</v>
      </c>
      <c r="D1499" s="37" t="s">
        <v>100</v>
      </c>
      <c r="E1499" s="39" t="n">
        <v>30101</v>
      </c>
      <c r="F1499" s="37" t="n">
        <f aca="true">IFERROR(DATEDIF(E1499,TODAY(),"Y"),"")</f>
        <v>44</v>
      </c>
      <c r="G1499" s="40" t="s">
        <v>6853</v>
      </c>
      <c r="H1499" s="40"/>
      <c r="I1499" s="38" t="s">
        <v>6854</v>
      </c>
      <c r="J1499" s="38" t="s">
        <v>16</v>
      </c>
      <c r="K1499" s="38" t="s">
        <v>6855</v>
      </c>
      <c r="L1499" s="38" t="s">
        <v>46</v>
      </c>
      <c r="M1499" s="37" t="s">
        <v>120</v>
      </c>
      <c r="N1499" s="39" t="n">
        <v>43863</v>
      </c>
      <c r="O1499" s="41" t="s">
        <v>23</v>
      </c>
      <c r="P1499" s="41" t="s">
        <v>105</v>
      </c>
      <c r="Q1499" s="42"/>
      <c r="R1499" s="41"/>
      <c r="S1499" s="42"/>
      <c r="T1499" s="41"/>
    </row>
    <row r="1500" customFormat="false" ht="13.5" hidden="false" customHeight="true" outlineLevel="0" collapsed="false">
      <c r="A1500" s="37" t="n">
        <v>1497</v>
      </c>
      <c r="B1500" s="37" t="n">
        <v>3887</v>
      </c>
      <c r="C1500" s="38" t="s">
        <v>6856</v>
      </c>
      <c r="D1500" s="37" t="s">
        <v>100</v>
      </c>
      <c r="E1500" s="39" t="n">
        <v>23111</v>
      </c>
      <c r="F1500" s="37" t="n">
        <f aca="true">IFERROR(DATEDIF(E1500,TODAY(),"Y"),"")</f>
        <v>63</v>
      </c>
      <c r="G1500" s="40" t="s">
        <v>6857</v>
      </c>
      <c r="H1500" s="40"/>
      <c r="I1500" s="38" t="s">
        <v>6858</v>
      </c>
      <c r="J1500" s="38" t="s">
        <v>16</v>
      </c>
      <c r="K1500" s="38" t="s">
        <v>6859</v>
      </c>
      <c r="L1500" s="38" t="s">
        <v>55</v>
      </c>
      <c r="M1500" s="37" t="s">
        <v>104</v>
      </c>
      <c r="N1500" s="39" t="n">
        <v>43863</v>
      </c>
      <c r="O1500" s="41" t="s">
        <v>23</v>
      </c>
      <c r="P1500" s="41" t="s">
        <v>105</v>
      </c>
      <c r="Q1500" s="42"/>
      <c r="R1500" s="41"/>
      <c r="S1500" s="42"/>
      <c r="T1500" s="41"/>
    </row>
    <row r="1501" customFormat="false" ht="13.5" hidden="false" customHeight="true" outlineLevel="0" collapsed="false">
      <c r="A1501" s="37" t="n">
        <v>1498</v>
      </c>
      <c r="B1501" s="37" t="n">
        <v>3888</v>
      </c>
      <c r="C1501" s="38" t="s">
        <v>6860</v>
      </c>
      <c r="D1501" s="37" t="s">
        <v>100</v>
      </c>
      <c r="E1501" s="39" t="n">
        <v>27177</v>
      </c>
      <c r="F1501" s="37" t="n">
        <f aca="true">IFERROR(DATEDIF(E1501,TODAY(),"Y"),"")</f>
        <v>52</v>
      </c>
      <c r="G1501" s="40" t="s">
        <v>6861</v>
      </c>
      <c r="H1501" s="40"/>
      <c r="I1501" s="38" t="s">
        <v>6862</v>
      </c>
      <c r="J1501" s="38" t="s">
        <v>16</v>
      </c>
      <c r="K1501" s="38" t="s">
        <v>6863</v>
      </c>
      <c r="L1501" s="38" t="s">
        <v>55</v>
      </c>
      <c r="M1501" s="37" t="s">
        <v>120</v>
      </c>
      <c r="N1501" s="39" t="n">
        <v>43867</v>
      </c>
      <c r="O1501" s="41" t="s">
        <v>23</v>
      </c>
      <c r="P1501" s="41" t="s">
        <v>105</v>
      </c>
      <c r="Q1501" s="42"/>
      <c r="R1501" s="41"/>
      <c r="S1501" s="42"/>
      <c r="T1501" s="41"/>
    </row>
    <row r="1502" customFormat="false" ht="13.5" hidden="false" customHeight="true" outlineLevel="0" collapsed="false">
      <c r="A1502" s="37" t="n">
        <v>1499</v>
      </c>
      <c r="B1502" s="37" t="n">
        <v>3889</v>
      </c>
      <c r="C1502" s="38" t="s">
        <v>6864</v>
      </c>
      <c r="D1502" s="37" t="s">
        <v>100</v>
      </c>
      <c r="E1502" s="39" t="n">
        <v>29860</v>
      </c>
      <c r="F1502" s="37" t="n">
        <f aca="true">IFERROR(DATEDIF(E1502,TODAY(),"Y"),"")</f>
        <v>44</v>
      </c>
      <c r="G1502" s="40" t="s">
        <v>6865</v>
      </c>
      <c r="H1502" s="40"/>
      <c r="I1502" s="38" t="s">
        <v>6866</v>
      </c>
      <c r="J1502" s="38" t="s">
        <v>15</v>
      </c>
      <c r="K1502" s="38" t="s">
        <v>6867</v>
      </c>
      <c r="L1502" s="38" t="s">
        <v>51</v>
      </c>
      <c r="M1502" s="37" t="s">
        <v>104</v>
      </c>
      <c r="N1502" s="39" t="n">
        <v>43875</v>
      </c>
      <c r="O1502" s="41" t="s">
        <v>23</v>
      </c>
      <c r="P1502" s="41" t="s">
        <v>105</v>
      </c>
      <c r="Q1502" s="42"/>
      <c r="R1502" s="41"/>
      <c r="S1502" s="42"/>
      <c r="T1502" s="41"/>
    </row>
    <row r="1503" customFormat="false" ht="13.5" hidden="false" customHeight="true" outlineLevel="0" collapsed="false">
      <c r="A1503" s="37" t="n">
        <v>1500</v>
      </c>
      <c r="B1503" s="37" t="n">
        <v>3890</v>
      </c>
      <c r="C1503" s="38" t="s">
        <v>6868</v>
      </c>
      <c r="D1503" s="37" t="s">
        <v>100</v>
      </c>
      <c r="E1503" s="39" t="n">
        <v>30099</v>
      </c>
      <c r="F1503" s="37" t="n">
        <f aca="true">IFERROR(DATEDIF(E1503,TODAY(),"Y"),"")</f>
        <v>44</v>
      </c>
      <c r="G1503" s="40" t="s">
        <v>6869</v>
      </c>
      <c r="H1503" s="40" t="s">
        <v>6870</v>
      </c>
      <c r="I1503" s="38" t="s">
        <v>6871</v>
      </c>
      <c r="J1503" s="38" t="s">
        <v>16</v>
      </c>
      <c r="K1503" s="38" t="s">
        <v>6872</v>
      </c>
      <c r="L1503" s="38" t="s">
        <v>57</v>
      </c>
      <c r="M1503" s="37"/>
      <c r="N1503" s="39" t="n">
        <v>43874</v>
      </c>
      <c r="O1503" s="41" t="s">
        <v>23</v>
      </c>
      <c r="P1503" s="41" t="s">
        <v>105</v>
      </c>
      <c r="Q1503" s="42"/>
      <c r="R1503" s="41"/>
      <c r="S1503" s="42"/>
      <c r="T1503" s="41"/>
    </row>
    <row r="1504" customFormat="false" ht="13.5" hidden="false" customHeight="true" outlineLevel="0" collapsed="false">
      <c r="A1504" s="37" t="n">
        <v>1501</v>
      </c>
      <c r="B1504" s="37" t="n">
        <v>3891</v>
      </c>
      <c r="C1504" s="38" t="s">
        <v>6873</v>
      </c>
      <c r="D1504" s="37" t="s">
        <v>100</v>
      </c>
      <c r="E1504" s="39" t="n">
        <v>27907</v>
      </c>
      <c r="F1504" s="37" t="n">
        <f aca="true">IFERROR(DATEDIF(E1504,TODAY(),"Y"),"")</f>
        <v>50</v>
      </c>
      <c r="G1504" s="40" t="s">
        <v>6874</v>
      </c>
      <c r="H1504" s="40" t="s">
        <v>6875</v>
      </c>
      <c r="I1504" s="38" t="s">
        <v>6876</v>
      </c>
      <c r="J1504" s="38" t="s">
        <v>15</v>
      </c>
      <c r="K1504" s="38" t="s">
        <v>6877</v>
      </c>
      <c r="L1504" s="38" t="s">
        <v>46</v>
      </c>
      <c r="M1504" s="37" t="s">
        <v>120</v>
      </c>
      <c r="N1504" s="39" t="n">
        <v>43876</v>
      </c>
      <c r="O1504" s="41" t="s">
        <v>23</v>
      </c>
      <c r="P1504" s="41" t="s">
        <v>105</v>
      </c>
      <c r="Q1504" s="42"/>
      <c r="R1504" s="41"/>
      <c r="S1504" s="42"/>
      <c r="T1504" s="41"/>
    </row>
    <row r="1505" customFormat="false" ht="13.5" hidden="false" customHeight="true" outlineLevel="0" collapsed="false">
      <c r="A1505" s="37" t="n">
        <v>1502</v>
      </c>
      <c r="B1505" s="37" t="n">
        <v>3892</v>
      </c>
      <c r="C1505" s="38" t="s">
        <v>6878</v>
      </c>
      <c r="D1505" s="37" t="s">
        <v>100</v>
      </c>
      <c r="E1505" s="39" t="n">
        <v>33187</v>
      </c>
      <c r="F1505" s="37" t="n">
        <f aca="true">IFERROR(DATEDIF(E1505,TODAY(),"Y"),"")</f>
        <v>35</v>
      </c>
      <c r="G1505" s="40" t="s">
        <v>6879</v>
      </c>
      <c r="H1505" s="40" t="s">
        <v>6880</v>
      </c>
      <c r="I1505" s="38" t="s">
        <v>6881</v>
      </c>
      <c r="J1505" s="38"/>
      <c r="K1505" s="38" t="s">
        <v>6882</v>
      </c>
      <c r="L1505" s="38" t="s">
        <v>55</v>
      </c>
      <c r="M1505" s="37"/>
      <c r="N1505" s="39" t="n">
        <v>43881</v>
      </c>
      <c r="O1505" s="41" t="s">
        <v>23</v>
      </c>
      <c r="P1505" s="41" t="s">
        <v>105</v>
      </c>
      <c r="Q1505" s="42"/>
      <c r="R1505" s="41"/>
      <c r="S1505" s="42"/>
      <c r="T1505" s="41"/>
    </row>
    <row r="1506" customFormat="false" ht="13.5" hidden="false" customHeight="true" outlineLevel="0" collapsed="false">
      <c r="A1506" s="37" t="n">
        <v>1503</v>
      </c>
      <c r="B1506" s="37" t="n">
        <v>3893</v>
      </c>
      <c r="C1506" s="38" t="s">
        <v>6883</v>
      </c>
      <c r="D1506" s="37" t="s">
        <v>100</v>
      </c>
      <c r="E1506" s="39" t="n">
        <v>32724</v>
      </c>
      <c r="F1506" s="37" t="n">
        <f aca="true">IFERROR(DATEDIF(E1506,TODAY(),"Y"),"")</f>
        <v>37</v>
      </c>
      <c r="G1506" s="40" t="s">
        <v>6884</v>
      </c>
      <c r="H1506" s="40" t="s">
        <v>6885</v>
      </c>
      <c r="I1506" s="38" t="s">
        <v>6886</v>
      </c>
      <c r="J1506" s="38" t="s">
        <v>16</v>
      </c>
      <c r="K1506" s="38" t="s">
        <v>6887</v>
      </c>
      <c r="L1506" s="38" t="s">
        <v>53</v>
      </c>
      <c r="M1506" s="37" t="s">
        <v>120</v>
      </c>
      <c r="N1506" s="39" t="n">
        <v>43883</v>
      </c>
      <c r="O1506" s="41" t="s">
        <v>23</v>
      </c>
      <c r="P1506" s="41" t="s">
        <v>105</v>
      </c>
      <c r="Q1506" s="42"/>
      <c r="R1506" s="41"/>
      <c r="S1506" s="42"/>
      <c r="T1506" s="41"/>
    </row>
    <row r="1507" customFormat="false" ht="13.5" hidden="false" customHeight="true" outlineLevel="0" collapsed="false">
      <c r="A1507" s="37" t="n">
        <v>1504</v>
      </c>
      <c r="B1507" s="37" t="n">
        <v>3894</v>
      </c>
      <c r="C1507" s="38" t="s">
        <v>6888</v>
      </c>
      <c r="D1507" s="37" t="s">
        <v>100</v>
      </c>
      <c r="E1507" s="39" t="n">
        <v>30090</v>
      </c>
      <c r="F1507" s="37" t="n">
        <f aca="true">IFERROR(DATEDIF(E1507,TODAY(),"Y"),"")</f>
        <v>44</v>
      </c>
      <c r="G1507" s="40" t="s">
        <v>6889</v>
      </c>
      <c r="H1507" s="40"/>
      <c r="I1507" s="38" t="s">
        <v>6890</v>
      </c>
      <c r="J1507" s="38" t="s">
        <v>16</v>
      </c>
      <c r="K1507" s="38" t="s">
        <v>6891</v>
      </c>
      <c r="L1507" s="38" t="s">
        <v>54</v>
      </c>
      <c r="M1507" s="37" t="s">
        <v>104</v>
      </c>
      <c r="N1507" s="39" t="n">
        <v>43885</v>
      </c>
      <c r="O1507" s="41" t="s">
        <v>23</v>
      </c>
      <c r="P1507" s="41" t="s">
        <v>105</v>
      </c>
      <c r="Q1507" s="42"/>
      <c r="R1507" s="41"/>
      <c r="S1507" s="42"/>
      <c r="T1507" s="41"/>
    </row>
    <row r="1508" customFormat="false" ht="13.5" hidden="false" customHeight="true" outlineLevel="0" collapsed="false">
      <c r="A1508" s="37" t="n">
        <v>1505</v>
      </c>
      <c r="B1508" s="37" t="n">
        <v>3895</v>
      </c>
      <c r="C1508" s="38" t="s">
        <v>6892</v>
      </c>
      <c r="D1508" s="37" t="s">
        <v>100</v>
      </c>
      <c r="E1508" s="39" t="n">
        <v>32365</v>
      </c>
      <c r="F1508" s="37" t="n">
        <f aca="true">IFERROR(DATEDIF(E1508,TODAY(),"Y"),"")</f>
        <v>38</v>
      </c>
      <c r="G1508" s="40" t="s">
        <v>6893</v>
      </c>
      <c r="H1508" s="40" t="s">
        <v>6894</v>
      </c>
      <c r="I1508" s="38" t="s">
        <v>6895</v>
      </c>
      <c r="J1508" s="38" t="s">
        <v>25</v>
      </c>
      <c r="K1508" s="38" t="s">
        <v>6896</v>
      </c>
      <c r="L1508" s="38" t="s">
        <v>43</v>
      </c>
      <c r="M1508" s="37" t="s">
        <v>120</v>
      </c>
      <c r="N1508" s="39" t="n">
        <v>43891</v>
      </c>
      <c r="O1508" s="41" t="s">
        <v>23</v>
      </c>
      <c r="P1508" s="41" t="s">
        <v>105</v>
      </c>
      <c r="Q1508" s="42"/>
      <c r="R1508" s="41"/>
      <c r="S1508" s="42"/>
      <c r="T1508" s="41"/>
    </row>
    <row r="1509" customFormat="false" ht="13.5" hidden="false" customHeight="true" outlineLevel="0" collapsed="false">
      <c r="A1509" s="37" t="n">
        <v>1506</v>
      </c>
      <c r="B1509" s="37" t="n">
        <v>3896</v>
      </c>
      <c r="C1509" s="38" t="s">
        <v>6897</v>
      </c>
      <c r="D1509" s="37" t="s">
        <v>100</v>
      </c>
      <c r="E1509" s="39" t="n">
        <v>27120</v>
      </c>
      <c r="F1509" s="37" t="n">
        <f aca="true">IFERROR(DATEDIF(E1509,TODAY(),"Y"),"")</f>
        <v>52</v>
      </c>
      <c r="G1509" s="40" t="s">
        <v>6898</v>
      </c>
      <c r="H1509" s="40" t="s">
        <v>6899</v>
      </c>
      <c r="I1509" s="38" t="s">
        <v>6900</v>
      </c>
      <c r="J1509" s="38" t="s">
        <v>25</v>
      </c>
      <c r="K1509" s="38" t="s">
        <v>6901</v>
      </c>
      <c r="L1509" s="38" t="s">
        <v>50</v>
      </c>
      <c r="M1509" s="37" t="s">
        <v>177</v>
      </c>
      <c r="N1509" s="39" t="n">
        <v>43898</v>
      </c>
      <c r="O1509" s="41" t="s">
        <v>23</v>
      </c>
      <c r="P1509" s="41" t="s">
        <v>105</v>
      </c>
      <c r="Q1509" s="42"/>
      <c r="R1509" s="41"/>
      <c r="S1509" s="42"/>
      <c r="T1509" s="41"/>
    </row>
    <row r="1510" customFormat="false" ht="13.5" hidden="false" customHeight="true" outlineLevel="0" collapsed="false">
      <c r="A1510" s="37" t="n">
        <v>1507</v>
      </c>
      <c r="B1510" s="37" t="n">
        <v>3897</v>
      </c>
      <c r="C1510" s="38" t="s">
        <v>6902</v>
      </c>
      <c r="D1510" s="37" t="s">
        <v>100</v>
      </c>
      <c r="E1510" s="39" t="n">
        <v>17678</v>
      </c>
      <c r="F1510" s="37" t="n">
        <f aca="true">IFERROR(DATEDIF(E1510,TODAY(),"Y"),"")</f>
        <v>78</v>
      </c>
      <c r="G1510" s="40" t="s">
        <v>6903</v>
      </c>
      <c r="H1510" s="40"/>
      <c r="I1510" s="38" t="s">
        <v>6904</v>
      </c>
      <c r="J1510" s="38" t="s">
        <v>18</v>
      </c>
      <c r="K1510" s="38" t="s">
        <v>6905</v>
      </c>
      <c r="L1510" s="38" t="s">
        <v>43</v>
      </c>
      <c r="M1510" s="37" t="s">
        <v>104</v>
      </c>
      <c r="N1510" s="39" t="n">
        <v>43898</v>
      </c>
      <c r="O1510" s="41" t="s">
        <v>23</v>
      </c>
      <c r="P1510" s="41" t="s">
        <v>105</v>
      </c>
      <c r="Q1510" s="42"/>
      <c r="R1510" s="41"/>
      <c r="S1510" s="42"/>
      <c r="T1510" s="41"/>
    </row>
    <row r="1511" customFormat="false" ht="13.5" hidden="false" customHeight="true" outlineLevel="0" collapsed="false">
      <c r="A1511" s="37" t="n">
        <v>1508</v>
      </c>
      <c r="B1511" s="37" t="n">
        <v>3898</v>
      </c>
      <c r="C1511" s="38" t="s">
        <v>6906</v>
      </c>
      <c r="D1511" s="37" t="s">
        <v>100</v>
      </c>
      <c r="E1511" s="39" t="n">
        <v>25692</v>
      </c>
      <c r="F1511" s="37" t="n">
        <f aca="true">IFERROR(DATEDIF(E1511,TODAY(),"Y"),"")</f>
        <v>56</v>
      </c>
      <c r="G1511" s="40" t="s">
        <v>6907</v>
      </c>
      <c r="H1511" s="40"/>
      <c r="I1511" s="38" t="s">
        <v>6908</v>
      </c>
      <c r="J1511" s="38" t="s">
        <v>15</v>
      </c>
      <c r="K1511" s="38" t="s">
        <v>6909</v>
      </c>
      <c r="L1511" s="43" t="s">
        <v>58</v>
      </c>
      <c r="M1511" s="37" t="s">
        <v>120</v>
      </c>
      <c r="N1511" s="39" t="n">
        <v>43926</v>
      </c>
      <c r="O1511" s="41" t="s">
        <v>23</v>
      </c>
      <c r="P1511" s="41" t="s">
        <v>105</v>
      </c>
      <c r="Q1511" s="42"/>
      <c r="R1511" s="41"/>
      <c r="S1511" s="42"/>
      <c r="T1511" s="41"/>
    </row>
    <row r="1512" customFormat="false" ht="13.5" hidden="false" customHeight="true" outlineLevel="0" collapsed="false">
      <c r="A1512" s="37" t="n">
        <v>1509</v>
      </c>
      <c r="B1512" s="37" t="n">
        <v>3899</v>
      </c>
      <c r="C1512" s="38" t="s">
        <v>6910</v>
      </c>
      <c r="D1512" s="37" t="s">
        <v>100</v>
      </c>
      <c r="E1512" s="39" t="n">
        <v>28233</v>
      </c>
      <c r="F1512" s="37" t="n">
        <f aca="true">IFERROR(DATEDIF(E1512,TODAY(),"Y"),"")</f>
        <v>49</v>
      </c>
      <c r="G1512" s="40" t="s">
        <v>6911</v>
      </c>
      <c r="H1512" s="40"/>
      <c r="I1512" s="38" t="s">
        <v>6912</v>
      </c>
      <c r="J1512" s="38" t="s">
        <v>16</v>
      </c>
      <c r="K1512" s="38" t="s">
        <v>6913</v>
      </c>
      <c r="L1512" s="38" t="s">
        <v>47</v>
      </c>
      <c r="M1512" s="37" t="s">
        <v>177</v>
      </c>
      <c r="N1512" s="39" t="n">
        <v>43926</v>
      </c>
      <c r="O1512" s="41" t="s">
        <v>23</v>
      </c>
      <c r="P1512" s="41" t="s">
        <v>105</v>
      </c>
      <c r="Q1512" s="42"/>
      <c r="R1512" s="41"/>
      <c r="S1512" s="42"/>
      <c r="T1512" s="41"/>
    </row>
    <row r="1513" customFormat="false" ht="13.5" hidden="false" customHeight="true" outlineLevel="0" collapsed="false">
      <c r="A1513" s="37" t="n">
        <v>1510</v>
      </c>
      <c r="B1513" s="37" t="n">
        <v>3900</v>
      </c>
      <c r="C1513" s="38" t="s">
        <v>6914</v>
      </c>
      <c r="D1513" s="37" t="s">
        <v>100</v>
      </c>
      <c r="E1513" s="39" t="n">
        <v>25335</v>
      </c>
      <c r="F1513" s="37" t="n">
        <f aca="true">IFERROR(DATEDIF(E1513,TODAY(),"Y"),"")</f>
        <v>57</v>
      </c>
      <c r="G1513" s="40" t="s">
        <v>6915</v>
      </c>
      <c r="H1513" s="40" t="s">
        <v>6916</v>
      </c>
      <c r="I1513" s="38" t="s">
        <v>6917</v>
      </c>
      <c r="J1513" s="38" t="s">
        <v>15</v>
      </c>
      <c r="K1513" s="38" t="s">
        <v>6918</v>
      </c>
      <c r="L1513" s="38" t="s">
        <v>51</v>
      </c>
      <c r="M1513" s="37" t="s">
        <v>104</v>
      </c>
      <c r="N1513" s="39" t="n">
        <v>43927</v>
      </c>
      <c r="O1513" s="41" t="s">
        <v>23</v>
      </c>
      <c r="P1513" s="41" t="s">
        <v>105</v>
      </c>
      <c r="Q1513" s="42"/>
      <c r="R1513" s="41"/>
      <c r="S1513" s="42"/>
      <c r="T1513" s="41"/>
    </row>
    <row r="1514" customFormat="false" ht="13.5" hidden="false" customHeight="true" outlineLevel="0" collapsed="false">
      <c r="A1514" s="37" t="n">
        <v>1511</v>
      </c>
      <c r="B1514" s="37" t="n">
        <v>3901</v>
      </c>
      <c r="C1514" s="38" t="s">
        <v>6919</v>
      </c>
      <c r="D1514" s="37" t="s">
        <v>100</v>
      </c>
      <c r="E1514" s="39" t="n">
        <v>27420</v>
      </c>
      <c r="F1514" s="37" t="n">
        <f aca="true">IFERROR(DATEDIF(E1514,TODAY(),"Y"),"")</f>
        <v>51</v>
      </c>
      <c r="G1514" s="40" t="s">
        <v>6920</v>
      </c>
      <c r="H1514" s="40" t="s">
        <v>6921</v>
      </c>
      <c r="I1514" s="38" t="s">
        <v>6922</v>
      </c>
      <c r="J1514" s="38" t="s">
        <v>15</v>
      </c>
      <c r="K1514" s="38" t="s">
        <v>6923</v>
      </c>
      <c r="L1514" s="38" t="s">
        <v>46</v>
      </c>
      <c r="M1514" s="37"/>
      <c r="N1514" s="39" t="n">
        <v>43927</v>
      </c>
      <c r="O1514" s="41" t="s">
        <v>23</v>
      </c>
      <c r="P1514" s="41" t="s">
        <v>105</v>
      </c>
      <c r="Q1514" s="42"/>
      <c r="R1514" s="41"/>
      <c r="S1514" s="42"/>
      <c r="T1514" s="41"/>
    </row>
    <row r="1515" customFormat="false" ht="13.5" hidden="false" customHeight="true" outlineLevel="0" collapsed="false">
      <c r="A1515" s="37" t="n">
        <v>1512</v>
      </c>
      <c r="B1515" s="37" t="n">
        <v>3902</v>
      </c>
      <c r="C1515" s="38" t="s">
        <v>6924</v>
      </c>
      <c r="D1515" s="37" t="s">
        <v>100</v>
      </c>
      <c r="E1515" s="39" t="n">
        <v>24983</v>
      </c>
      <c r="F1515" s="37" t="n">
        <f aca="true">IFERROR(DATEDIF(E1515,TODAY(),"Y"),"")</f>
        <v>58</v>
      </c>
      <c r="G1515" s="40" t="s">
        <v>6925</v>
      </c>
      <c r="H1515" s="40"/>
      <c r="I1515" s="38"/>
      <c r="J1515" s="38" t="s">
        <v>18</v>
      </c>
      <c r="K1515" s="38" t="s">
        <v>6926</v>
      </c>
      <c r="L1515" s="38" t="s">
        <v>51</v>
      </c>
      <c r="M1515" s="37" t="s">
        <v>104</v>
      </c>
      <c r="N1515" s="39" t="n">
        <v>43934</v>
      </c>
      <c r="O1515" s="41" t="s">
        <v>23</v>
      </c>
      <c r="P1515" s="41" t="s">
        <v>105</v>
      </c>
      <c r="Q1515" s="42"/>
      <c r="R1515" s="41"/>
      <c r="S1515" s="42"/>
      <c r="T1515" s="41"/>
    </row>
    <row r="1516" customFormat="false" ht="13.5" hidden="false" customHeight="true" outlineLevel="0" collapsed="false">
      <c r="A1516" s="37" t="n">
        <v>1513</v>
      </c>
      <c r="B1516" s="37" t="n">
        <v>3903</v>
      </c>
      <c r="C1516" s="38" t="s">
        <v>6927</v>
      </c>
      <c r="D1516" s="37" t="s">
        <v>100</v>
      </c>
      <c r="E1516" s="39" t="n">
        <v>21976</v>
      </c>
      <c r="F1516" s="37" t="n">
        <f aca="true">IFERROR(DATEDIF(E1516,TODAY(),"Y"),"")</f>
        <v>66</v>
      </c>
      <c r="G1516" s="40" t="s">
        <v>6928</v>
      </c>
      <c r="H1516" s="40"/>
      <c r="I1516" s="38" t="s">
        <v>6929</v>
      </c>
      <c r="J1516" s="38" t="s">
        <v>15</v>
      </c>
      <c r="K1516" s="38" t="s">
        <v>6930</v>
      </c>
      <c r="L1516" s="43" t="s">
        <v>58</v>
      </c>
      <c r="M1516" s="37" t="s">
        <v>120</v>
      </c>
      <c r="N1516" s="39" t="n">
        <v>43944</v>
      </c>
      <c r="O1516" s="41" t="s">
        <v>23</v>
      </c>
      <c r="P1516" s="41" t="s">
        <v>105</v>
      </c>
      <c r="Q1516" s="42"/>
      <c r="R1516" s="41"/>
      <c r="S1516" s="42"/>
      <c r="T1516" s="41"/>
    </row>
    <row r="1517" customFormat="false" ht="13.5" hidden="false" customHeight="true" outlineLevel="0" collapsed="false">
      <c r="A1517" s="37" t="n">
        <v>1514</v>
      </c>
      <c r="B1517" s="37" t="n">
        <v>3904</v>
      </c>
      <c r="C1517" s="38" t="s">
        <v>6931</v>
      </c>
      <c r="D1517" s="37" t="s">
        <v>100</v>
      </c>
      <c r="E1517" s="39" t="n">
        <v>29508</v>
      </c>
      <c r="F1517" s="37" t="n">
        <f aca="true">IFERROR(DATEDIF(E1517,TODAY(),"Y"),"")</f>
        <v>45</v>
      </c>
      <c r="G1517" s="40" t="s">
        <v>6932</v>
      </c>
      <c r="H1517" s="40" t="s">
        <v>6933</v>
      </c>
      <c r="I1517" s="38" t="s">
        <v>6934</v>
      </c>
      <c r="J1517" s="38" t="s">
        <v>15</v>
      </c>
      <c r="K1517" s="38" t="s">
        <v>6935</v>
      </c>
      <c r="L1517" s="38" t="s">
        <v>47</v>
      </c>
      <c r="M1517" s="37" t="s">
        <v>120</v>
      </c>
      <c r="N1517" s="39" t="n">
        <v>43983</v>
      </c>
      <c r="O1517" s="41" t="s">
        <v>23</v>
      </c>
      <c r="P1517" s="41" t="s">
        <v>105</v>
      </c>
      <c r="Q1517" s="42"/>
      <c r="R1517" s="41"/>
      <c r="S1517" s="42"/>
      <c r="T1517" s="41"/>
    </row>
    <row r="1518" customFormat="false" ht="13.5" hidden="false" customHeight="true" outlineLevel="0" collapsed="false">
      <c r="A1518" s="37" t="n">
        <v>1515</v>
      </c>
      <c r="B1518" s="37" t="n">
        <v>3905</v>
      </c>
      <c r="C1518" s="38" t="s">
        <v>6936</v>
      </c>
      <c r="D1518" s="37" t="s">
        <v>100</v>
      </c>
      <c r="E1518" s="39" t="n">
        <v>31774</v>
      </c>
      <c r="F1518" s="37" t="n">
        <f aca="true">IFERROR(DATEDIF(E1518,TODAY(),"Y"),"")</f>
        <v>39</v>
      </c>
      <c r="G1518" s="40" t="s">
        <v>6937</v>
      </c>
      <c r="H1518" s="40" t="s">
        <v>6938</v>
      </c>
      <c r="I1518" s="38" t="s">
        <v>6939</v>
      </c>
      <c r="J1518" s="38" t="s">
        <v>16</v>
      </c>
      <c r="K1518" s="38" t="s">
        <v>6940</v>
      </c>
      <c r="L1518" s="38" t="s">
        <v>44</v>
      </c>
      <c r="M1518" s="37" t="s">
        <v>120</v>
      </c>
      <c r="N1518" s="39" t="n">
        <v>44010</v>
      </c>
      <c r="O1518" s="41" t="s">
        <v>23</v>
      </c>
      <c r="P1518" s="41" t="s">
        <v>105</v>
      </c>
      <c r="Q1518" s="42"/>
      <c r="R1518" s="41"/>
      <c r="S1518" s="42"/>
      <c r="T1518" s="41"/>
    </row>
    <row r="1519" customFormat="false" ht="13.5" hidden="false" customHeight="true" outlineLevel="0" collapsed="false">
      <c r="A1519" s="37" t="n">
        <v>1516</v>
      </c>
      <c r="B1519" s="37" t="n">
        <v>3906</v>
      </c>
      <c r="C1519" s="38" t="s">
        <v>6941</v>
      </c>
      <c r="D1519" s="37" t="s">
        <v>100</v>
      </c>
      <c r="E1519" s="39" t="n">
        <v>26429</v>
      </c>
      <c r="F1519" s="37" t="n">
        <f aca="true">IFERROR(DATEDIF(E1519,TODAY(),"Y"),"")</f>
        <v>54</v>
      </c>
      <c r="G1519" s="40" t="s">
        <v>6942</v>
      </c>
      <c r="H1519" s="40"/>
      <c r="I1519" s="38" t="s">
        <v>6943</v>
      </c>
      <c r="J1519" s="38" t="s">
        <v>16</v>
      </c>
      <c r="K1519" s="38" t="s">
        <v>6944</v>
      </c>
      <c r="L1519" s="38" t="s">
        <v>49</v>
      </c>
      <c r="M1519" s="37" t="s">
        <v>104</v>
      </c>
      <c r="N1519" s="39" t="n">
        <v>44010</v>
      </c>
      <c r="O1519" s="41" t="s">
        <v>23</v>
      </c>
      <c r="P1519" s="41" t="s">
        <v>105</v>
      </c>
      <c r="Q1519" s="42"/>
      <c r="R1519" s="41"/>
      <c r="S1519" s="42"/>
      <c r="T1519" s="41"/>
    </row>
    <row r="1520" customFormat="false" ht="13.5" hidden="false" customHeight="true" outlineLevel="0" collapsed="false">
      <c r="A1520" s="37" t="n">
        <v>1517</v>
      </c>
      <c r="B1520" s="37" t="n">
        <v>3907</v>
      </c>
      <c r="C1520" s="38" t="s">
        <v>6945</v>
      </c>
      <c r="D1520" s="37" t="s">
        <v>100</v>
      </c>
      <c r="E1520" s="39" t="n">
        <v>25712</v>
      </c>
      <c r="F1520" s="37" t="n">
        <f aca="true">IFERROR(DATEDIF(E1520,TODAY(),"Y"),"")</f>
        <v>56</v>
      </c>
      <c r="G1520" s="40" t="s">
        <v>6946</v>
      </c>
      <c r="H1520" s="40" t="s">
        <v>6947</v>
      </c>
      <c r="I1520" s="38" t="s">
        <v>6948</v>
      </c>
      <c r="J1520" s="38" t="s">
        <v>15</v>
      </c>
      <c r="K1520" s="38" t="s">
        <v>6949</v>
      </c>
      <c r="L1520" s="38" t="s">
        <v>54</v>
      </c>
      <c r="M1520" s="37" t="s">
        <v>231</v>
      </c>
      <c r="N1520" s="39" t="n">
        <v>44010</v>
      </c>
      <c r="O1520" s="41" t="s">
        <v>23</v>
      </c>
      <c r="P1520" s="41" t="s">
        <v>105</v>
      </c>
      <c r="Q1520" s="42"/>
      <c r="R1520" s="41"/>
      <c r="S1520" s="42"/>
      <c r="T1520" s="41"/>
    </row>
    <row r="1521" customFormat="false" ht="13.5" hidden="false" customHeight="true" outlineLevel="0" collapsed="false">
      <c r="A1521" s="37" t="n">
        <v>1518</v>
      </c>
      <c r="B1521" s="37" t="n">
        <v>3908</v>
      </c>
      <c r="C1521" s="38" t="s">
        <v>6950</v>
      </c>
      <c r="D1521" s="37" t="s">
        <v>100</v>
      </c>
      <c r="E1521" s="39" t="n">
        <v>27151</v>
      </c>
      <c r="F1521" s="37" t="n">
        <f aca="true">IFERROR(DATEDIF(E1521,TODAY(),"Y"),"")</f>
        <v>52</v>
      </c>
      <c r="G1521" s="40" t="s">
        <v>6951</v>
      </c>
      <c r="H1521" s="40"/>
      <c r="I1521" s="38" t="s">
        <v>6952</v>
      </c>
      <c r="J1521" s="38" t="s">
        <v>16</v>
      </c>
      <c r="K1521" s="38" t="s">
        <v>6953</v>
      </c>
      <c r="L1521" s="38" t="s">
        <v>47</v>
      </c>
      <c r="M1521" s="37" t="s">
        <v>120</v>
      </c>
      <c r="N1521" s="39" t="n">
        <v>44010</v>
      </c>
      <c r="O1521" s="41" t="s">
        <v>23</v>
      </c>
      <c r="P1521" s="41" t="s">
        <v>105</v>
      </c>
      <c r="Q1521" s="42"/>
      <c r="R1521" s="41"/>
      <c r="S1521" s="42"/>
      <c r="T1521" s="41"/>
    </row>
    <row r="1522" customFormat="false" ht="13.5" hidden="false" customHeight="true" outlineLevel="0" collapsed="false">
      <c r="A1522" s="37" t="n">
        <v>1519</v>
      </c>
      <c r="B1522" s="37" t="n">
        <v>3909</v>
      </c>
      <c r="C1522" s="38" t="s">
        <v>6954</v>
      </c>
      <c r="D1522" s="37" t="s">
        <v>100</v>
      </c>
      <c r="E1522" s="39" t="n">
        <v>30816</v>
      </c>
      <c r="F1522" s="37" t="n">
        <f aca="true">IFERROR(DATEDIF(E1522,TODAY(),"Y"),"")</f>
        <v>42</v>
      </c>
      <c r="G1522" s="40" t="s">
        <v>6955</v>
      </c>
      <c r="H1522" s="40"/>
      <c r="I1522" s="38" t="s">
        <v>6956</v>
      </c>
      <c r="J1522" s="38" t="s">
        <v>16</v>
      </c>
      <c r="K1522" s="38" t="s">
        <v>6957</v>
      </c>
      <c r="L1522" s="38" t="s">
        <v>44</v>
      </c>
      <c r="M1522" s="37" t="s">
        <v>120</v>
      </c>
      <c r="N1522" s="39" t="n">
        <v>44012</v>
      </c>
      <c r="O1522" s="41" t="s">
        <v>23</v>
      </c>
      <c r="P1522" s="41" t="s">
        <v>105</v>
      </c>
      <c r="Q1522" s="42"/>
      <c r="R1522" s="41"/>
      <c r="S1522" s="42"/>
      <c r="T1522" s="41"/>
    </row>
    <row r="1523" customFormat="false" ht="13.5" hidden="false" customHeight="true" outlineLevel="0" collapsed="false">
      <c r="A1523" s="37" t="n">
        <v>1520</v>
      </c>
      <c r="B1523" s="37" t="n">
        <v>3910</v>
      </c>
      <c r="C1523" s="38" t="s">
        <v>6958</v>
      </c>
      <c r="D1523" s="37" t="s">
        <v>100</v>
      </c>
      <c r="E1523" s="39" t="n">
        <v>25573</v>
      </c>
      <c r="F1523" s="37" t="n">
        <f aca="true">IFERROR(DATEDIF(E1523,TODAY(),"Y"),"")</f>
        <v>56</v>
      </c>
      <c r="G1523" s="40" t="s">
        <v>6959</v>
      </c>
      <c r="H1523" s="40" t="s">
        <v>6960</v>
      </c>
      <c r="I1523" s="38" t="s">
        <v>6961</v>
      </c>
      <c r="J1523" s="38" t="s">
        <v>16</v>
      </c>
      <c r="K1523" s="38" t="s">
        <v>6962</v>
      </c>
      <c r="L1523" s="38" t="s">
        <v>46</v>
      </c>
      <c r="M1523" s="37" t="s">
        <v>104</v>
      </c>
      <c r="N1523" s="39" t="n">
        <v>44016</v>
      </c>
      <c r="O1523" s="41" t="s">
        <v>23</v>
      </c>
      <c r="P1523" s="41" t="s">
        <v>105</v>
      </c>
      <c r="Q1523" s="42"/>
      <c r="R1523" s="41"/>
      <c r="S1523" s="42"/>
      <c r="T1523" s="41"/>
    </row>
    <row r="1524" customFormat="false" ht="13.5" hidden="false" customHeight="true" outlineLevel="0" collapsed="false">
      <c r="A1524" s="37" t="n">
        <v>1521</v>
      </c>
      <c r="B1524" s="37" t="n">
        <v>3911</v>
      </c>
      <c r="C1524" s="38" t="s">
        <v>6963</v>
      </c>
      <c r="D1524" s="37" t="s">
        <v>100</v>
      </c>
      <c r="E1524" s="39" t="n">
        <v>16865</v>
      </c>
      <c r="F1524" s="37" t="n">
        <f aca="true">IFERROR(DATEDIF(E1524,TODAY(),"Y"),"")</f>
        <v>80</v>
      </c>
      <c r="G1524" s="40" t="s">
        <v>6964</v>
      </c>
      <c r="H1524" s="40" t="s">
        <v>6965</v>
      </c>
      <c r="I1524" s="38" t="s">
        <v>6966</v>
      </c>
      <c r="J1524" s="38" t="s">
        <v>15</v>
      </c>
      <c r="K1524" s="38" t="s">
        <v>6967</v>
      </c>
      <c r="L1524" s="38" t="s">
        <v>55</v>
      </c>
      <c r="M1524" s="37"/>
      <c r="N1524" s="39" t="n">
        <v>44027</v>
      </c>
      <c r="O1524" s="41" t="s">
        <v>23</v>
      </c>
      <c r="P1524" s="41" t="s">
        <v>105</v>
      </c>
      <c r="Q1524" s="42"/>
      <c r="R1524" s="41"/>
      <c r="S1524" s="42"/>
      <c r="T1524" s="41"/>
    </row>
    <row r="1525" customFormat="false" ht="13.5" hidden="false" customHeight="true" outlineLevel="0" collapsed="false">
      <c r="A1525" s="37" t="n">
        <v>1522</v>
      </c>
      <c r="B1525" s="37" t="n">
        <v>3912</v>
      </c>
      <c r="C1525" s="38" t="s">
        <v>6968</v>
      </c>
      <c r="D1525" s="37" t="s">
        <v>100</v>
      </c>
      <c r="E1525" s="39" t="n">
        <v>29000</v>
      </c>
      <c r="F1525" s="37" t="n">
        <f aca="true">IFERROR(DATEDIF(E1525,TODAY(),"Y"),"")</f>
        <v>47</v>
      </c>
      <c r="G1525" s="40" t="s">
        <v>6969</v>
      </c>
      <c r="H1525" s="40" t="s">
        <v>6970</v>
      </c>
      <c r="I1525" s="38" t="s">
        <v>6971</v>
      </c>
      <c r="J1525" s="38" t="s">
        <v>16</v>
      </c>
      <c r="K1525" s="38" t="s">
        <v>6972</v>
      </c>
      <c r="L1525" s="38" t="s">
        <v>50</v>
      </c>
      <c r="M1525" s="37" t="s">
        <v>177</v>
      </c>
      <c r="N1525" s="39" t="n">
        <v>44027</v>
      </c>
      <c r="O1525" s="41" t="s">
        <v>23</v>
      </c>
      <c r="P1525" s="41" t="s">
        <v>105</v>
      </c>
      <c r="Q1525" s="42"/>
      <c r="R1525" s="41"/>
      <c r="S1525" s="42"/>
      <c r="T1525" s="41"/>
    </row>
    <row r="1526" customFormat="false" ht="13.5" hidden="false" customHeight="true" outlineLevel="0" collapsed="false">
      <c r="A1526" s="37" t="n">
        <v>1523</v>
      </c>
      <c r="B1526" s="37" t="n">
        <v>3913</v>
      </c>
      <c r="C1526" s="38" t="s">
        <v>6973</v>
      </c>
      <c r="D1526" s="37" t="s">
        <v>100</v>
      </c>
      <c r="E1526" s="39" t="n">
        <v>27384</v>
      </c>
      <c r="F1526" s="37" t="n">
        <f aca="true">IFERROR(DATEDIF(E1526,TODAY(),"Y"),"")</f>
        <v>51</v>
      </c>
      <c r="G1526" s="40" t="s">
        <v>6974</v>
      </c>
      <c r="H1526" s="40" t="s">
        <v>6975</v>
      </c>
      <c r="I1526" s="38" t="s">
        <v>6976</v>
      </c>
      <c r="J1526" s="38" t="s">
        <v>15</v>
      </c>
      <c r="K1526" s="38" t="s">
        <v>6977</v>
      </c>
      <c r="L1526" s="38" t="s">
        <v>44</v>
      </c>
      <c r="M1526" s="37"/>
      <c r="N1526" s="39" t="n">
        <v>44027</v>
      </c>
      <c r="O1526" s="41" t="s">
        <v>23</v>
      </c>
      <c r="P1526" s="41" t="s">
        <v>105</v>
      </c>
      <c r="Q1526" s="42"/>
      <c r="R1526" s="41"/>
      <c r="S1526" s="42"/>
      <c r="T1526" s="41"/>
    </row>
    <row r="1527" customFormat="false" ht="13.5" hidden="false" customHeight="true" outlineLevel="0" collapsed="false">
      <c r="A1527" s="37" t="n">
        <v>1524</v>
      </c>
      <c r="B1527" s="37" t="n">
        <v>3914</v>
      </c>
      <c r="C1527" s="38" t="s">
        <v>6978</v>
      </c>
      <c r="D1527" s="37" t="s">
        <v>100</v>
      </c>
      <c r="E1527" s="39" t="n">
        <v>29731</v>
      </c>
      <c r="F1527" s="37" t="n">
        <f aca="true">IFERROR(DATEDIF(E1527,TODAY(),"Y"),"")</f>
        <v>45</v>
      </c>
      <c r="G1527" s="40" t="s">
        <v>6979</v>
      </c>
      <c r="H1527" s="40" t="s">
        <v>6980</v>
      </c>
      <c r="I1527" s="38" t="s">
        <v>6981</v>
      </c>
      <c r="J1527" s="38" t="s">
        <v>16</v>
      </c>
      <c r="K1527" s="38" t="s">
        <v>6982</v>
      </c>
      <c r="L1527" s="38" t="s">
        <v>47</v>
      </c>
      <c r="M1527" s="37" t="s">
        <v>104</v>
      </c>
      <c r="N1527" s="39" t="n">
        <v>44028</v>
      </c>
      <c r="O1527" s="41" t="s">
        <v>23</v>
      </c>
      <c r="P1527" s="41" t="s">
        <v>105</v>
      </c>
      <c r="Q1527" s="42"/>
      <c r="R1527" s="41"/>
      <c r="S1527" s="42"/>
      <c r="T1527" s="41"/>
    </row>
    <row r="1528" customFormat="false" ht="13.5" hidden="false" customHeight="true" outlineLevel="0" collapsed="false">
      <c r="A1528" s="37" t="n">
        <v>1525</v>
      </c>
      <c r="B1528" s="37" t="n">
        <v>3915</v>
      </c>
      <c r="C1528" s="38" t="s">
        <v>6983</v>
      </c>
      <c r="D1528" s="37" t="s">
        <v>100</v>
      </c>
      <c r="E1528" s="39" t="n">
        <v>27925</v>
      </c>
      <c r="F1528" s="37" t="n">
        <f aca="true">IFERROR(DATEDIF(E1528,TODAY(),"Y"),"")</f>
        <v>50</v>
      </c>
      <c r="G1528" s="40" t="s">
        <v>6984</v>
      </c>
      <c r="H1528" s="40" t="s">
        <v>6985</v>
      </c>
      <c r="I1528" s="38" t="s">
        <v>6986</v>
      </c>
      <c r="J1528" s="38" t="s">
        <v>15</v>
      </c>
      <c r="K1528" s="38" t="s">
        <v>6987</v>
      </c>
      <c r="L1528" s="38" t="s">
        <v>54</v>
      </c>
      <c r="M1528" s="37" t="s">
        <v>177</v>
      </c>
      <c r="N1528" s="39" t="n">
        <v>44028</v>
      </c>
      <c r="O1528" s="41" t="s">
        <v>23</v>
      </c>
      <c r="P1528" s="41" t="s">
        <v>105</v>
      </c>
      <c r="Q1528" s="42"/>
      <c r="R1528" s="41"/>
      <c r="S1528" s="42"/>
      <c r="T1528" s="41"/>
    </row>
    <row r="1529" customFormat="false" ht="13.5" hidden="false" customHeight="true" outlineLevel="0" collapsed="false">
      <c r="A1529" s="37" t="n">
        <v>1526</v>
      </c>
      <c r="B1529" s="37" t="n">
        <v>3916</v>
      </c>
      <c r="C1529" s="38" t="s">
        <v>6988</v>
      </c>
      <c r="D1529" s="37" t="s">
        <v>100</v>
      </c>
      <c r="E1529" s="39" t="n">
        <v>29999</v>
      </c>
      <c r="F1529" s="37" t="n">
        <f aca="true">IFERROR(DATEDIF(E1529,TODAY(),"Y"),"")</f>
        <v>44</v>
      </c>
      <c r="G1529" s="40" t="s">
        <v>6989</v>
      </c>
      <c r="H1529" s="40"/>
      <c r="I1529" s="38" t="s">
        <v>6990</v>
      </c>
      <c r="J1529" s="38" t="s">
        <v>16</v>
      </c>
      <c r="K1529" s="38" t="s">
        <v>6991</v>
      </c>
      <c r="L1529" s="38" t="s">
        <v>47</v>
      </c>
      <c r="M1529" s="37" t="s">
        <v>104</v>
      </c>
      <c r="N1529" s="39" t="n">
        <v>44030</v>
      </c>
      <c r="O1529" s="41" t="s">
        <v>23</v>
      </c>
      <c r="P1529" s="41" t="s">
        <v>105</v>
      </c>
      <c r="Q1529" s="42"/>
      <c r="R1529" s="41"/>
      <c r="S1529" s="42"/>
      <c r="T1529" s="41"/>
    </row>
    <row r="1530" customFormat="false" ht="13.5" hidden="false" customHeight="true" outlineLevel="0" collapsed="false">
      <c r="A1530" s="37" t="n">
        <v>1527</v>
      </c>
      <c r="B1530" s="37" t="n">
        <v>3918</v>
      </c>
      <c r="C1530" s="38" t="s">
        <v>6992</v>
      </c>
      <c r="D1530" s="37" t="s">
        <v>100</v>
      </c>
      <c r="E1530" s="39" t="n">
        <v>26736</v>
      </c>
      <c r="F1530" s="37" t="n">
        <f aca="true">IFERROR(DATEDIF(E1530,TODAY(),"Y"),"")</f>
        <v>53</v>
      </c>
      <c r="G1530" s="40" t="s">
        <v>6993</v>
      </c>
      <c r="H1530" s="40"/>
      <c r="I1530" s="38" t="s">
        <v>6994</v>
      </c>
      <c r="J1530" s="38" t="s">
        <v>15</v>
      </c>
      <c r="K1530" s="38" t="s">
        <v>6995</v>
      </c>
      <c r="L1530" s="38" t="s">
        <v>53</v>
      </c>
      <c r="M1530" s="37" t="s">
        <v>120</v>
      </c>
      <c r="N1530" s="39" t="n">
        <v>44034</v>
      </c>
      <c r="O1530" s="41" t="s">
        <v>23</v>
      </c>
      <c r="P1530" s="41" t="s">
        <v>105</v>
      </c>
      <c r="Q1530" s="42"/>
      <c r="R1530" s="41"/>
      <c r="S1530" s="42"/>
      <c r="T1530" s="41"/>
    </row>
    <row r="1531" customFormat="false" ht="13.5" hidden="false" customHeight="true" outlineLevel="0" collapsed="false">
      <c r="A1531" s="37" t="n">
        <v>1528</v>
      </c>
      <c r="B1531" s="37" t="n">
        <v>3919</v>
      </c>
      <c r="C1531" s="38" t="s">
        <v>6996</v>
      </c>
      <c r="D1531" s="37" t="s">
        <v>100</v>
      </c>
      <c r="E1531" s="39" t="n">
        <v>32711</v>
      </c>
      <c r="F1531" s="37" t="n">
        <f aca="true">IFERROR(DATEDIF(E1531,TODAY(),"Y"),"")</f>
        <v>37</v>
      </c>
      <c r="G1531" s="40" t="s">
        <v>6997</v>
      </c>
      <c r="H1531" s="40"/>
      <c r="I1531" s="38" t="s">
        <v>6998</v>
      </c>
      <c r="J1531" s="38" t="s">
        <v>16</v>
      </c>
      <c r="K1531" s="38" t="s">
        <v>6999</v>
      </c>
      <c r="L1531" s="38" t="s">
        <v>55</v>
      </c>
      <c r="M1531" s="37" t="s">
        <v>190</v>
      </c>
      <c r="N1531" s="39" t="n">
        <v>44035</v>
      </c>
      <c r="O1531" s="41" t="s">
        <v>23</v>
      </c>
      <c r="P1531" s="41" t="s">
        <v>105</v>
      </c>
      <c r="Q1531" s="42"/>
      <c r="R1531" s="41"/>
      <c r="S1531" s="42"/>
      <c r="T1531" s="41"/>
    </row>
    <row r="1532" customFormat="false" ht="13.5" hidden="false" customHeight="true" outlineLevel="0" collapsed="false">
      <c r="A1532" s="37" t="n">
        <v>1529</v>
      </c>
      <c r="B1532" s="37" t="n">
        <v>3920</v>
      </c>
      <c r="C1532" s="38" t="s">
        <v>7000</v>
      </c>
      <c r="D1532" s="37" t="s">
        <v>100</v>
      </c>
      <c r="E1532" s="39" t="n">
        <v>27403</v>
      </c>
      <c r="F1532" s="37" t="n">
        <f aca="true">IFERROR(DATEDIF(E1532,TODAY(),"Y"),"")</f>
        <v>51</v>
      </c>
      <c r="G1532" s="40" t="s">
        <v>7001</v>
      </c>
      <c r="H1532" s="40" t="s">
        <v>7002</v>
      </c>
      <c r="I1532" s="38" t="s">
        <v>7003</v>
      </c>
      <c r="J1532" s="38" t="s">
        <v>18</v>
      </c>
      <c r="K1532" s="38" t="s">
        <v>7004</v>
      </c>
      <c r="L1532" s="38" t="s">
        <v>50</v>
      </c>
      <c r="M1532" s="37" t="s">
        <v>104</v>
      </c>
      <c r="N1532" s="39" t="n">
        <v>44035</v>
      </c>
      <c r="O1532" s="41" t="s">
        <v>23</v>
      </c>
      <c r="P1532" s="41" t="s">
        <v>105</v>
      </c>
      <c r="Q1532" s="42"/>
      <c r="R1532" s="41"/>
      <c r="S1532" s="42"/>
      <c r="T1532" s="41"/>
    </row>
    <row r="1533" customFormat="false" ht="13.5" hidden="false" customHeight="true" outlineLevel="0" collapsed="false">
      <c r="A1533" s="37" t="n">
        <v>1530</v>
      </c>
      <c r="B1533" s="37" t="n">
        <v>3921</v>
      </c>
      <c r="C1533" s="38" t="s">
        <v>7005</v>
      </c>
      <c r="D1533" s="37" t="s">
        <v>100</v>
      </c>
      <c r="E1533" s="39" t="n">
        <v>29321</v>
      </c>
      <c r="F1533" s="37" t="n">
        <f aca="true">IFERROR(DATEDIF(E1533,TODAY(),"Y"),"")</f>
        <v>46</v>
      </c>
      <c r="G1533" s="40" t="s">
        <v>7006</v>
      </c>
      <c r="H1533" s="40" t="s">
        <v>7007</v>
      </c>
      <c r="I1533" s="38" t="s">
        <v>7008</v>
      </c>
      <c r="J1533" s="38" t="s">
        <v>15</v>
      </c>
      <c r="K1533" s="38" t="s">
        <v>7009</v>
      </c>
      <c r="L1533" s="38" t="s">
        <v>46</v>
      </c>
      <c r="M1533" s="37" t="s">
        <v>177</v>
      </c>
      <c r="N1533" s="39" t="n">
        <v>44053</v>
      </c>
      <c r="O1533" s="41" t="s">
        <v>23</v>
      </c>
      <c r="P1533" s="41" t="s">
        <v>105</v>
      </c>
      <c r="Q1533" s="42"/>
      <c r="R1533" s="41"/>
      <c r="S1533" s="42"/>
      <c r="T1533" s="41"/>
    </row>
    <row r="1534" customFormat="false" ht="13.5" hidden="false" customHeight="true" outlineLevel="0" collapsed="false">
      <c r="A1534" s="37" t="n">
        <v>1531</v>
      </c>
      <c r="B1534" s="37" t="n">
        <v>3922</v>
      </c>
      <c r="C1534" s="38" t="s">
        <v>7010</v>
      </c>
      <c r="D1534" s="37" t="s">
        <v>100</v>
      </c>
      <c r="E1534" s="39" t="n">
        <v>26444</v>
      </c>
      <c r="F1534" s="37" t="n">
        <f aca="true">IFERROR(DATEDIF(E1534,TODAY(),"Y"),"")</f>
        <v>54</v>
      </c>
      <c r="G1534" s="40" t="s">
        <v>7011</v>
      </c>
      <c r="H1534" s="40" t="s">
        <v>7012</v>
      </c>
      <c r="I1534" s="38" t="s">
        <v>7013</v>
      </c>
      <c r="J1534" s="38" t="s">
        <v>16</v>
      </c>
      <c r="K1534" s="38" t="s">
        <v>7014</v>
      </c>
      <c r="L1534" s="38" t="s">
        <v>48</v>
      </c>
      <c r="M1534" s="37" t="s">
        <v>177</v>
      </c>
      <c r="N1534" s="39" t="n">
        <v>44055</v>
      </c>
      <c r="O1534" s="41" t="s">
        <v>23</v>
      </c>
      <c r="P1534" s="41" t="s">
        <v>105</v>
      </c>
      <c r="Q1534" s="42"/>
      <c r="R1534" s="41"/>
      <c r="S1534" s="42"/>
      <c r="T1534" s="41"/>
    </row>
    <row r="1535" customFormat="false" ht="13.5" hidden="false" customHeight="true" outlineLevel="0" collapsed="false">
      <c r="A1535" s="37" t="n">
        <v>1532</v>
      </c>
      <c r="B1535" s="37" t="n">
        <v>3923</v>
      </c>
      <c r="C1535" s="38" t="s">
        <v>7015</v>
      </c>
      <c r="D1535" s="37" t="s">
        <v>100</v>
      </c>
      <c r="E1535" s="39" t="n">
        <v>20418</v>
      </c>
      <c r="F1535" s="37" t="n">
        <f aca="true">IFERROR(DATEDIF(E1535,TODAY(),"Y"),"")</f>
        <v>70</v>
      </c>
      <c r="G1535" s="40" t="s">
        <v>7016</v>
      </c>
      <c r="H1535" s="40"/>
      <c r="I1535" s="38" t="s">
        <v>7017</v>
      </c>
      <c r="J1535" s="38" t="s">
        <v>15</v>
      </c>
      <c r="K1535" s="38" t="s">
        <v>7018</v>
      </c>
      <c r="L1535" s="38" t="s">
        <v>46</v>
      </c>
      <c r="M1535" s="37" t="s">
        <v>177</v>
      </c>
      <c r="N1535" s="39" t="n">
        <v>44056</v>
      </c>
      <c r="O1535" s="41" t="s">
        <v>23</v>
      </c>
      <c r="P1535" s="41" t="s">
        <v>105</v>
      </c>
      <c r="Q1535" s="42"/>
      <c r="R1535" s="41"/>
      <c r="S1535" s="42"/>
      <c r="T1535" s="41"/>
    </row>
    <row r="1536" customFormat="false" ht="13.5" hidden="false" customHeight="true" outlineLevel="0" collapsed="false">
      <c r="A1536" s="37" t="n">
        <v>1533</v>
      </c>
      <c r="B1536" s="37" t="n">
        <v>3924</v>
      </c>
      <c r="C1536" s="38" t="s">
        <v>7019</v>
      </c>
      <c r="D1536" s="37" t="s">
        <v>100</v>
      </c>
      <c r="E1536" s="39" t="n">
        <v>30519</v>
      </c>
      <c r="F1536" s="37" t="n">
        <f aca="true">IFERROR(DATEDIF(E1536,TODAY(),"Y"),"")</f>
        <v>43</v>
      </c>
      <c r="G1536" s="40" t="s">
        <v>7020</v>
      </c>
      <c r="H1536" s="40" t="s">
        <v>7021</v>
      </c>
      <c r="I1536" s="38" t="s">
        <v>7022</v>
      </c>
      <c r="J1536" s="38" t="s">
        <v>16</v>
      </c>
      <c r="K1536" s="38" t="s">
        <v>7023</v>
      </c>
      <c r="L1536" s="38" t="s">
        <v>43</v>
      </c>
      <c r="M1536" s="37" t="s">
        <v>177</v>
      </c>
      <c r="N1536" s="39" t="n">
        <v>44059</v>
      </c>
      <c r="O1536" s="41" t="s">
        <v>23</v>
      </c>
      <c r="P1536" s="41" t="s">
        <v>105</v>
      </c>
      <c r="Q1536" s="42"/>
      <c r="R1536" s="41"/>
      <c r="S1536" s="42"/>
      <c r="T1536" s="41"/>
    </row>
    <row r="1537" customFormat="false" ht="13.5" hidden="false" customHeight="true" outlineLevel="0" collapsed="false">
      <c r="A1537" s="37" t="n">
        <v>1534</v>
      </c>
      <c r="B1537" s="37" t="n">
        <v>3925</v>
      </c>
      <c r="C1537" s="38" t="s">
        <v>7024</v>
      </c>
      <c r="D1537" s="37" t="s">
        <v>100</v>
      </c>
      <c r="E1537" s="39" t="n">
        <v>28265</v>
      </c>
      <c r="F1537" s="37" t="n">
        <f aca="true">IFERROR(DATEDIF(E1537,TODAY(),"Y"),"")</f>
        <v>49</v>
      </c>
      <c r="G1537" s="40" t="s">
        <v>7025</v>
      </c>
      <c r="H1537" s="40"/>
      <c r="I1537" s="38" t="s">
        <v>7026</v>
      </c>
      <c r="J1537" s="38" t="s">
        <v>16</v>
      </c>
      <c r="K1537" s="38" t="s">
        <v>7027</v>
      </c>
      <c r="L1537" s="38" t="s">
        <v>46</v>
      </c>
      <c r="M1537" s="37" t="s">
        <v>104</v>
      </c>
      <c r="N1537" s="39" t="n">
        <v>44059</v>
      </c>
      <c r="O1537" s="41" t="s">
        <v>23</v>
      </c>
      <c r="P1537" s="41" t="s">
        <v>105</v>
      </c>
      <c r="Q1537" s="42"/>
      <c r="R1537" s="41"/>
      <c r="S1537" s="42"/>
      <c r="T1537" s="41"/>
    </row>
    <row r="1538" customFormat="false" ht="13.5" hidden="false" customHeight="true" outlineLevel="0" collapsed="false">
      <c r="A1538" s="37" t="n">
        <v>1535</v>
      </c>
      <c r="B1538" s="37" t="n">
        <v>3926</v>
      </c>
      <c r="C1538" s="38" t="s">
        <v>7028</v>
      </c>
      <c r="D1538" s="37" t="s">
        <v>100</v>
      </c>
      <c r="E1538" s="39" t="n">
        <v>29033</v>
      </c>
      <c r="F1538" s="37" t="n">
        <f aca="true">IFERROR(DATEDIF(E1538,TODAY(),"Y"),"")</f>
        <v>47</v>
      </c>
      <c r="G1538" s="40" t="s">
        <v>7029</v>
      </c>
      <c r="H1538" s="40" t="s">
        <v>7030</v>
      </c>
      <c r="I1538" s="38" t="s">
        <v>7031</v>
      </c>
      <c r="J1538" s="38" t="s">
        <v>16</v>
      </c>
      <c r="K1538" s="38" t="s">
        <v>7032</v>
      </c>
      <c r="L1538" s="38" t="s">
        <v>55</v>
      </c>
      <c r="M1538" s="37" t="s">
        <v>177</v>
      </c>
      <c r="N1538" s="39" t="n">
        <v>44063</v>
      </c>
      <c r="O1538" s="41" t="s">
        <v>23</v>
      </c>
      <c r="P1538" s="41" t="s">
        <v>105</v>
      </c>
      <c r="Q1538" s="42"/>
      <c r="R1538" s="41"/>
      <c r="S1538" s="42"/>
      <c r="T1538" s="41"/>
    </row>
    <row r="1539" customFormat="false" ht="13.5" hidden="false" customHeight="true" outlineLevel="0" collapsed="false">
      <c r="A1539" s="37" t="n">
        <v>1536</v>
      </c>
      <c r="B1539" s="37" t="n">
        <v>3927</v>
      </c>
      <c r="C1539" s="38" t="s">
        <v>7033</v>
      </c>
      <c r="D1539" s="37" t="s">
        <v>100</v>
      </c>
      <c r="E1539" s="39" t="n">
        <v>30074</v>
      </c>
      <c r="F1539" s="37" t="n">
        <f aca="true">IFERROR(DATEDIF(E1539,TODAY(),"Y"),"")</f>
        <v>44</v>
      </c>
      <c r="G1539" s="40" t="s">
        <v>7034</v>
      </c>
      <c r="H1539" s="40" t="s">
        <v>7035</v>
      </c>
      <c r="I1539" s="38" t="s">
        <v>7036</v>
      </c>
      <c r="J1539" s="38" t="s">
        <v>15</v>
      </c>
      <c r="K1539" s="38" t="s">
        <v>7037</v>
      </c>
      <c r="L1539" s="38" t="s">
        <v>47</v>
      </c>
      <c r="M1539" s="37" t="s">
        <v>120</v>
      </c>
      <c r="N1539" s="39" t="n">
        <v>44084</v>
      </c>
      <c r="O1539" s="41" t="s">
        <v>23</v>
      </c>
      <c r="P1539" s="41" t="s">
        <v>105</v>
      </c>
      <c r="Q1539" s="42"/>
      <c r="R1539" s="41"/>
      <c r="S1539" s="42"/>
      <c r="T1539" s="41"/>
    </row>
    <row r="1540" customFormat="false" ht="13.5" hidden="false" customHeight="true" outlineLevel="0" collapsed="false">
      <c r="A1540" s="37" t="n">
        <v>1537</v>
      </c>
      <c r="B1540" s="37" t="n">
        <v>3928</v>
      </c>
      <c r="C1540" s="38" t="s">
        <v>7038</v>
      </c>
      <c r="D1540" s="37" t="s">
        <v>100</v>
      </c>
      <c r="E1540" s="39" t="n">
        <v>32805</v>
      </c>
      <c r="F1540" s="37" t="n">
        <f aca="true">IFERROR(DATEDIF(E1540,TODAY(),"Y"),"")</f>
        <v>36</v>
      </c>
      <c r="G1540" s="40" t="s">
        <v>7039</v>
      </c>
      <c r="H1540" s="40"/>
      <c r="I1540" s="38" t="s">
        <v>7040</v>
      </c>
      <c r="J1540" s="38" t="s">
        <v>15</v>
      </c>
      <c r="K1540" s="38" t="s">
        <v>7041</v>
      </c>
      <c r="L1540" s="38" t="s">
        <v>51</v>
      </c>
      <c r="M1540" s="37" t="s">
        <v>231</v>
      </c>
      <c r="N1540" s="39" t="n">
        <v>44086</v>
      </c>
      <c r="O1540" s="41" t="s">
        <v>23</v>
      </c>
      <c r="P1540" s="41" t="s">
        <v>105</v>
      </c>
      <c r="Q1540" s="42"/>
      <c r="R1540" s="41"/>
      <c r="S1540" s="42"/>
      <c r="T1540" s="41"/>
    </row>
    <row r="1541" customFormat="false" ht="13.5" hidden="false" customHeight="true" outlineLevel="0" collapsed="false">
      <c r="A1541" s="37" t="n">
        <v>1538</v>
      </c>
      <c r="B1541" s="37" t="n">
        <v>3929</v>
      </c>
      <c r="C1541" s="38" t="s">
        <v>7042</v>
      </c>
      <c r="D1541" s="37" t="s">
        <v>100</v>
      </c>
      <c r="E1541" s="39" t="n">
        <v>27179</v>
      </c>
      <c r="F1541" s="37" t="n">
        <f aca="true">IFERROR(DATEDIF(E1541,TODAY(),"Y"),"")</f>
        <v>52</v>
      </c>
      <c r="G1541" s="40" t="s">
        <v>7043</v>
      </c>
      <c r="H1541" s="40"/>
      <c r="I1541" s="38" t="s">
        <v>7044</v>
      </c>
      <c r="J1541" s="38" t="s">
        <v>16</v>
      </c>
      <c r="K1541" s="38" t="s">
        <v>7045</v>
      </c>
      <c r="L1541" s="38" t="s">
        <v>48</v>
      </c>
      <c r="M1541" s="37" t="s">
        <v>120</v>
      </c>
      <c r="N1541" s="39" t="n">
        <v>44088</v>
      </c>
      <c r="O1541" s="41" t="s">
        <v>23</v>
      </c>
      <c r="P1541" s="41" t="s">
        <v>105</v>
      </c>
      <c r="Q1541" s="42"/>
      <c r="R1541" s="41"/>
      <c r="S1541" s="42"/>
      <c r="T1541" s="41"/>
    </row>
    <row r="1542" customFormat="false" ht="13.5" hidden="false" customHeight="true" outlineLevel="0" collapsed="false">
      <c r="A1542" s="37" t="n">
        <v>1539</v>
      </c>
      <c r="B1542" s="37" t="n">
        <v>3931</v>
      </c>
      <c r="C1542" s="38" t="s">
        <v>7046</v>
      </c>
      <c r="D1542" s="37" t="s">
        <v>100</v>
      </c>
      <c r="E1542" s="39" t="n">
        <v>29994</v>
      </c>
      <c r="F1542" s="37" t="n">
        <f aca="true">IFERROR(DATEDIF(E1542,TODAY(),"Y"),"")</f>
        <v>44</v>
      </c>
      <c r="G1542" s="40" t="s">
        <v>7047</v>
      </c>
      <c r="H1542" s="40"/>
      <c r="I1542" s="38" t="s">
        <v>7048</v>
      </c>
      <c r="J1542" s="38" t="s">
        <v>16</v>
      </c>
      <c r="K1542" s="38" t="s">
        <v>7049</v>
      </c>
      <c r="L1542" s="38" t="s">
        <v>51</v>
      </c>
      <c r="M1542" s="37"/>
      <c r="N1542" s="39" t="n">
        <v>44101</v>
      </c>
      <c r="O1542" s="41" t="s">
        <v>23</v>
      </c>
      <c r="P1542" s="41" t="s">
        <v>105</v>
      </c>
      <c r="Q1542" s="42"/>
      <c r="R1542" s="41"/>
      <c r="S1542" s="42"/>
      <c r="T1542" s="41"/>
    </row>
    <row r="1543" customFormat="false" ht="13.5" hidden="false" customHeight="true" outlineLevel="0" collapsed="false">
      <c r="A1543" s="37" t="n">
        <v>1540</v>
      </c>
      <c r="B1543" s="37" t="n">
        <v>3932</v>
      </c>
      <c r="C1543" s="38" t="s">
        <v>7050</v>
      </c>
      <c r="D1543" s="37" t="s">
        <v>100</v>
      </c>
      <c r="E1543" s="39" t="n">
        <v>30324</v>
      </c>
      <c r="F1543" s="37" t="n">
        <f aca="true">IFERROR(DATEDIF(E1543,TODAY(),"Y"),"")</f>
        <v>43</v>
      </c>
      <c r="G1543" s="40" t="s">
        <v>7051</v>
      </c>
      <c r="H1543" s="40" t="s">
        <v>7052</v>
      </c>
      <c r="I1543" s="38" t="s">
        <v>7053</v>
      </c>
      <c r="J1543" s="38" t="s">
        <v>15</v>
      </c>
      <c r="K1543" s="38" t="s">
        <v>7054</v>
      </c>
      <c r="L1543" s="38" t="s">
        <v>43</v>
      </c>
      <c r="M1543" s="37" t="s">
        <v>177</v>
      </c>
      <c r="N1543" s="39" t="n">
        <v>44101</v>
      </c>
      <c r="O1543" s="41" t="s">
        <v>23</v>
      </c>
      <c r="P1543" s="41" t="s">
        <v>105</v>
      </c>
      <c r="Q1543" s="42"/>
      <c r="R1543" s="41"/>
      <c r="S1543" s="42"/>
      <c r="T1543" s="41"/>
    </row>
    <row r="1544" customFormat="false" ht="13.5" hidden="false" customHeight="true" outlineLevel="0" collapsed="false">
      <c r="A1544" s="37" t="n">
        <v>1541</v>
      </c>
      <c r="B1544" s="37" t="n">
        <v>3933</v>
      </c>
      <c r="C1544" s="38" t="s">
        <v>7055</v>
      </c>
      <c r="D1544" s="37" t="s">
        <v>100</v>
      </c>
      <c r="E1544" s="39" t="n">
        <v>26083</v>
      </c>
      <c r="F1544" s="37" t="n">
        <f aca="true">IFERROR(DATEDIF(E1544,TODAY(),"Y"),"")</f>
        <v>55</v>
      </c>
      <c r="G1544" s="40" t="s">
        <v>7056</v>
      </c>
      <c r="H1544" s="40" t="s">
        <v>7057</v>
      </c>
      <c r="I1544" s="38" t="s">
        <v>7058</v>
      </c>
      <c r="J1544" s="38" t="s">
        <v>15</v>
      </c>
      <c r="K1544" s="38" t="s">
        <v>7059</v>
      </c>
      <c r="L1544" s="38" t="s">
        <v>50</v>
      </c>
      <c r="M1544" s="37" t="s">
        <v>104</v>
      </c>
      <c r="N1544" s="39" t="n">
        <v>44103</v>
      </c>
      <c r="O1544" s="41" t="s">
        <v>23</v>
      </c>
      <c r="P1544" s="41" t="s">
        <v>105</v>
      </c>
      <c r="Q1544" s="42"/>
      <c r="R1544" s="41"/>
      <c r="S1544" s="42"/>
      <c r="T1544" s="41"/>
    </row>
    <row r="1545" customFormat="false" ht="13.5" hidden="false" customHeight="true" outlineLevel="0" collapsed="false">
      <c r="A1545" s="37" t="n">
        <v>1542</v>
      </c>
      <c r="B1545" s="37" t="n">
        <v>3934</v>
      </c>
      <c r="C1545" s="38" t="s">
        <v>7060</v>
      </c>
      <c r="D1545" s="37" t="s">
        <v>100</v>
      </c>
      <c r="E1545" s="39" t="n">
        <v>28265</v>
      </c>
      <c r="F1545" s="37" t="n">
        <f aca="true">IFERROR(DATEDIF(E1545,TODAY(),"Y"),"")</f>
        <v>49</v>
      </c>
      <c r="G1545" s="40" t="s">
        <v>7061</v>
      </c>
      <c r="H1545" s="40" t="s">
        <v>7062</v>
      </c>
      <c r="I1545" s="38" t="s">
        <v>7063</v>
      </c>
      <c r="J1545" s="38" t="s">
        <v>16</v>
      </c>
      <c r="K1545" s="38" t="s">
        <v>7064</v>
      </c>
      <c r="L1545" s="38" t="s">
        <v>55</v>
      </c>
      <c r="M1545" s="37" t="s">
        <v>177</v>
      </c>
      <c r="N1545" s="39" t="n">
        <v>44107</v>
      </c>
      <c r="O1545" s="41" t="s">
        <v>23</v>
      </c>
      <c r="P1545" s="41" t="s">
        <v>105</v>
      </c>
      <c r="Q1545" s="42"/>
      <c r="R1545" s="41"/>
      <c r="S1545" s="42"/>
      <c r="T1545" s="41"/>
    </row>
    <row r="1546" customFormat="false" ht="13.5" hidden="false" customHeight="true" outlineLevel="0" collapsed="false">
      <c r="A1546" s="37" t="n">
        <v>1543</v>
      </c>
      <c r="B1546" s="37" t="n">
        <v>3935</v>
      </c>
      <c r="C1546" s="38" t="s">
        <v>7065</v>
      </c>
      <c r="D1546" s="37" t="s">
        <v>100</v>
      </c>
      <c r="E1546" s="39" t="n">
        <v>29674</v>
      </c>
      <c r="F1546" s="37" t="n">
        <f aca="true">IFERROR(DATEDIF(E1546,TODAY(),"Y"),"")</f>
        <v>45</v>
      </c>
      <c r="G1546" s="40" t="s">
        <v>7066</v>
      </c>
      <c r="H1546" s="40" t="s">
        <v>7067</v>
      </c>
      <c r="I1546" s="38" t="s">
        <v>7068</v>
      </c>
      <c r="J1546" s="38" t="s">
        <v>16</v>
      </c>
      <c r="K1546" s="38" t="s">
        <v>7069</v>
      </c>
      <c r="L1546" s="38" t="s">
        <v>46</v>
      </c>
      <c r="M1546" s="37" t="s">
        <v>104</v>
      </c>
      <c r="N1546" s="39" t="n">
        <v>44108</v>
      </c>
      <c r="O1546" s="41" t="s">
        <v>23</v>
      </c>
      <c r="P1546" s="41" t="s">
        <v>105</v>
      </c>
      <c r="Q1546" s="42"/>
      <c r="R1546" s="41"/>
      <c r="S1546" s="42"/>
      <c r="T1546" s="41"/>
    </row>
    <row r="1547" customFormat="false" ht="13.5" hidden="false" customHeight="true" outlineLevel="0" collapsed="false">
      <c r="A1547" s="37" t="n">
        <v>1544</v>
      </c>
      <c r="B1547" s="37" t="n">
        <v>3936</v>
      </c>
      <c r="C1547" s="38" t="s">
        <v>7070</v>
      </c>
      <c r="D1547" s="37" t="s">
        <v>100</v>
      </c>
      <c r="E1547" s="39" t="n">
        <v>27867</v>
      </c>
      <c r="F1547" s="37" t="n">
        <f aca="true">IFERROR(DATEDIF(E1547,TODAY(),"Y"),"")</f>
        <v>50</v>
      </c>
      <c r="G1547" s="40" t="s">
        <v>7071</v>
      </c>
      <c r="H1547" s="40" t="s">
        <v>7072</v>
      </c>
      <c r="I1547" s="38" t="s">
        <v>7073</v>
      </c>
      <c r="J1547" s="38" t="s">
        <v>16</v>
      </c>
      <c r="K1547" s="38" t="s">
        <v>7074</v>
      </c>
      <c r="L1547" s="38" t="s">
        <v>43</v>
      </c>
      <c r="M1547" s="37" t="s">
        <v>120</v>
      </c>
      <c r="N1547" s="39" t="n">
        <v>44114</v>
      </c>
      <c r="O1547" s="41" t="s">
        <v>23</v>
      </c>
      <c r="P1547" s="41" t="s">
        <v>105</v>
      </c>
      <c r="Q1547" s="42"/>
      <c r="R1547" s="41"/>
      <c r="S1547" s="42"/>
      <c r="T1547" s="41"/>
    </row>
    <row r="1548" customFormat="false" ht="13.5" hidden="false" customHeight="true" outlineLevel="0" collapsed="false">
      <c r="A1548" s="37" t="n">
        <v>1545</v>
      </c>
      <c r="B1548" s="37" t="n">
        <v>3937</v>
      </c>
      <c r="C1548" s="38" t="s">
        <v>7075</v>
      </c>
      <c r="D1548" s="37" t="s">
        <v>100</v>
      </c>
      <c r="E1548" s="39" t="n">
        <v>30355</v>
      </c>
      <c r="F1548" s="37" t="n">
        <f aca="true">IFERROR(DATEDIF(E1548,TODAY(),"Y"),"")</f>
        <v>43</v>
      </c>
      <c r="G1548" s="40" t="s">
        <v>7076</v>
      </c>
      <c r="H1548" s="40" t="s">
        <v>7077</v>
      </c>
      <c r="I1548" s="38" t="s">
        <v>7078</v>
      </c>
      <c r="J1548" s="38" t="s">
        <v>16</v>
      </c>
      <c r="K1548" s="38" t="s">
        <v>7079</v>
      </c>
      <c r="L1548" s="38" t="s">
        <v>55</v>
      </c>
      <c r="M1548" s="37"/>
      <c r="N1548" s="39" t="n">
        <v>44115</v>
      </c>
      <c r="O1548" s="41" t="s">
        <v>23</v>
      </c>
      <c r="P1548" s="41" t="s">
        <v>105</v>
      </c>
      <c r="Q1548" s="42"/>
      <c r="R1548" s="41"/>
      <c r="S1548" s="42"/>
      <c r="T1548" s="41"/>
    </row>
    <row r="1549" customFormat="false" ht="13.5" hidden="false" customHeight="true" outlineLevel="0" collapsed="false">
      <c r="A1549" s="37" t="n">
        <v>1546</v>
      </c>
      <c r="B1549" s="37" t="n">
        <v>3938</v>
      </c>
      <c r="C1549" s="38" t="s">
        <v>7080</v>
      </c>
      <c r="D1549" s="37" t="s">
        <v>100</v>
      </c>
      <c r="E1549" s="39" t="n">
        <v>28246</v>
      </c>
      <c r="F1549" s="37" t="n">
        <f aca="true">IFERROR(DATEDIF(E1549,TODAY(),"Y"),"")</f>
        <v>49</v>
      </c>
      <c r="G1549" s="40" t="s">
        <v>7081</v>
      </c>
      <c r="H1549" s="40"/>
      <c r="I1549" s="38" t="s">
        <v>7082</v>
      </c>
      <c r="J1549" s="38" t="s">
        <v>15</v>
      </c>
      <c r="K1549" s="38" t="s">
        <v>7083</v>
      </c>
      <c r="L1549" s="38" t="s">
        <v>47</v>
      </c>
      <c r="M1549" s="37" t="s">
        <v>788</v>
      </c>
      <c r="N1549" s="39" t="n">
        <v>44122</v>
      </c>
      <c r="O1549" s="41" t="s">
        <v>23</v>
      </c>
      <c r="P1549" s="41" t="s">
        <v>105</v>
      </c>
      <c r="Q1549" s="42"/>
      <c r="R1549" s="41"/>
      <c r="S1549" s="42"/>
      <c r="T1549" s="41"/>
    </row>
    <row r="1550" customFormat="false" ht="13.5" hidden="false" customHeight="true" outlineLevel="0" collapsed="false">
      <c r="A1550" s="37" t="n">
        <v>1547</v>
      </c>
      <c r="B1550" s="37" t="n">
        <v>3939</v>
      </c>
      <c r="C1550" s="38" t="s">
        <v>7084</v>
      </c>
      <c r="D1550" s="37" t="s">
        <v>100</v>
      </c>
      <c r="E1550" s="39" t="n">
        <v>21684</v>
      </c>
      <c r="F1550" s="37" t="n">
        <f aca="true">IFERROR(DATEDIF(E1550,TODAY(),"Y"),"")</f>
        <v>67</v>
      </c>
      <c r="G1550" s="40" t="s">
        <v>7085</v>
      </c>
      <c r="H1550" s="40"/>
      <c r="I1550" s="38" t="s">
        <v>7086</v>
      </c>
      <c r="J1550" s="38" t="s">
        <v>15</v>
      </c>
      <c r="K1550" s="38" t="s">
        <v>7087</v>
      </c>
      <c r="L1550" s="38" t="s">
        <v>46</v>
      </c>
      <c r="M1550" s="37" t="s">
        <v>120</v>
      </c>
      <c r="N1550" s="39" t="n">
        <v>44125</v>
      </c>
      <c r="O1550" s="41" t="s">
        <v>23</v>
      </c>
      <c r="P1550" s="41" t="s">
        <v>105</v>
      </c>
      <c r="Q1550" s="42"/>
      <c r="R1550" s="41"/>
      <c r="S1550" s="42"/>
      <c r="T1550" s="41"/>
    </row>
    <row r="1551" customFormat="false" ht="13.5" hidden="false" customHeight="true" outlineLevel="0" collapsed="false">
      <c r="A1551" s="37" t="n">
        <v>1548</v>
      </c>
      <c r="B1551" s="37" t="n">
        <v>3940</v>
      </c>
      <c r="C1551" s="38" t="s">
        <v>7088</v>
      </c>
      <c r="D1551" s="37" t="s">
        <v>100</v>
      </c>
      <c r="E1551" s="39" t="n">
        <v>29369</v>
      </c>
      <c r="F1551" s="37" t="n">
        <f aca="true">IFERROR(DATEDIF(E1551,TODAY(),"Y"),"")</f>
        <v>46</v>
      </c>
      <c r="G1551" s="40" t="s">
        <v>7089</v>
      </c>
      <c r="H1551" s="40" t="s">
        <v>7090</v>
      </c>
      <c r="I1551" s="38" t="s">
        <v>7091</v>
      </c>
      <c r="J1551" s="38" t="s">
        <v>15</v>
      </c>
      <c r="K1551" s="38" t="s">
        <v>7092</v>
      </c>
      <c r="L1551" s="38" t="s">
        <v>52</v>
      </c>
      <c r="M1551" s="37" t="s">
        <v>177</v>
      </c>
      <c r="N1551" s="39" t="n">
        <v>44126</v>
      </c>
      <c r="O1551" s="41" t="s">
        <v>23</v>
      </c>
      <c r="P1551" s="41" t="s">
        <v>105</v>
      </c>
      <c r="Q1551" s="42"/>
      <c r="R1551" s="41"/>
      <c r="S1551" s="42"/>
      <c r="T1551" s="41"/>
    </row>
    <row r="1552" customFormat="false" ht="13.5" hidden="false" customHeight="true" outlineLevel="0" collapsed="false">
      <c r="A1552" s="37" t="n">
        <v>1549</v>
      </c>
      <c r="B1552" s="37" t="n">
        <v>3941</v>
      </c>
      <c r="C1552" s="38" t="s">
        <v>7093</v>
      </c>
      <c r="D1552" s="37" t="s">
        <v>100</v>
      </c>
      <c r="E1552" s="39" t="n">
        <v>28238</v>
      </c>
      <c r="F1552" s="37" t="n">
        <f aca="true">IFERROR(DATEDIF(E1552,TODAY(),"Y"),"")</f>
        <v>49</v>
      </c>
      <c r="G1552" s="40" t="s">
        <v>7094</v>
      </c>
      <c r="H1552" s="40" t="s">
        <v>7095</v>
      </c>
      <c r="I1552" s="38" t="s">
        <v>7096</v>
      </c>
      <c r="J1552" s="38" t="s">
        <v>15</v>
      </c>
      <c r="K1552" s="38" t="s">
        <v>7097</v>
      </c>
      <c r="L1552" s="38" t="s">
        <v>55</v>
      </c>
      <c r="M1552" s="37" t="s">
        <v>120</v>
      </c>
      <c r="N1552" s="39" t="n">
        <v>44138</v>
      </c>
      <c r="O1552" s="41" t="s">
        <v>23</v>
      </c>
      <c r="P1552" s="41" t="s">
        <v>105</v>
      </c>
      <c r="Q1552" s="42"/>
      <c r="R1552" s="41"/>
      <c r="S1552" s="42"/>
      <c r="T1552" s="41"/>
    </row>
    <row r="1553" customFormat="false" ht="13.5" hidden="false" customHeight="true" outlineLevel="0" collapsed="false">
      <c r="A1553" s="37" t="n">
        <v>1550</v>
      </c>
      <c r="B1553" s="37" t="n">
        <v>3942</v>
      </c>
      <c r="C1553" s="38" t="s">
        <v>7098</v>
      </c>
      <c r="D1553" s="37" t="s">
        <v>100</v>
      </c>
      <c r="E1553" s="39" t="n">
        <v>25716</v>
      </c>
      <c r="F1553" s="37" t="n">
        <f aca="true">IFERROR(DATEDIF(E1553,TODAY(),"Y"),"")</f>
        <v>56</v>
      </c>
      <c r="G1553" s="40" t="s">
        <v>7099</v>
      </c>
      <c r="H1553" s="40" t="s">
        <v>7100</v>
      </c>
      <c r="I1553" s="38" t="s">
        <v>7101</v>
      </c>
      <c r="J1553" s="38" t="s">
        <v>18</v>
      </c>
      <c r="K1553" s="38" t="s">
        <v>7102</v>
      </c>
      <c r="L1553" s="38" t="s">
        <v>48</v>
      </c>
      <c r="M1553" s="37" t="s">
        <v>104</v>
      </c>
      <c r="N1553" s="39" t="n">
        <v>44139</v>
      </c>
      <c r="O1553" s="41" t="s">
        <v>23</v>
      </c>
      <c r="P1553" s="41" t="s">
        <v>105</v>
      </c>
      <c r="Q1553" s="42"/>
      <c r="R1553" s="41"/>
      <c r="S1553" s="42"/>
      <c r="T1553" s="41"/>
    </row>
    <row r="1554" customFormat="false" ht="13.5" hidden="false" customHeight="true" outlineLevel="0" collapsed="false">
      <c r="A1554" s="37" t="n">
        <v>1551</v>
      </c>
      <c r="B1554" s="37" t="n">
        <v>3943</v>
      </c>
      <c r="C1554" s="38" t="s">
        <v>7103</v>
      </c>
      <c r="D1554" s="37" t="s">
        <v>100</v>
      </c>
      <c r="E1554" s="39" t="n">
        <v>27463</v>
      </c>
      <c r="F1554" s="37" t="n">
        <f aca="true">IFERROR(DATEDIF(E1554,TODAY(),"Y"),"")</f>
        <v>51</v>
      </c>
      <c r="G1554" s="40" t="s">
        <v>7104</v>
      </c>
      <c r="H1554" s="40"/>
      <c r="I1554" s="38" t="s">
        <v>7105</v>
      </c>
      <c r="J1554" s="38" t="s">
        <v>15</v>
      </c>
      <c r="K1554" s="38" t="s">
        <v>7106</v>
      </c>
      <c r="L1554" s="38" t="s">
        <v>54</v>
      </c>
      <c r="M1554" s="37" t="s">
        <v>120</v>
      </c>
      <c r="N1554" s="39" t="n">
        <v>44139</v>
      </c>
      <c r="O1554" s="41" t="s">
        <v>23</v>
      </c>
      <c r="P1554" s="41" t="s">
        <v>105</v>
      </c>
      <c r="Q1554" s="42"/>
      <c r="R1554" s="41"/>
      <c r="S1554" s="42"/>
      <c r="T1554" s="41"/>
    </row>
    <row r="1555" customFormat="false" ht="13.5" hidden="false" customHeight="true" outlineLevel="0" collapsed="false">
      <c r="A1555" s="37" t="n">
        <v>1552</v>
      </c>
      <c r="B1555" s="37" t="n">
        <v>3944</v>
      </c>
      <c r="C1555" s="38" t="s">
        <v>7107</v>
      </c>
      <c r="D1555" s="37" t="s">
        <v>100</v>
      </c>
      <c r="E1555" s="39" t="n">
        <v>32880</v>
      </c>
      <c r="F1555" s="37" t="n">
        <f aca="true">IFERROR(DATEDIF(E1555,TODAY(),"Y"),"")</f>
        <v>36</v>
      </c>
      <c r="G1555" s="40" t="s">
        <v>7108</v>
      </c>
      <c r="H1555" s="40" t="s">
        <v>7109</v>
      </c>
      <c r="I1555" s="38" t="s">
        <v>7110</v>
      </c>
      <c r="J1555" s="38" t="s">
        <v>15</v>
      </c>
      <c r="K1555" s="38" t="s">
        <v>7111</v>
      </c>
      <c r="L1555" s="38" t="s">
        <v>55</v>
      </c>
      <c r="M1555" s="37" t="s">
        <v>104</v>
      </c>
      <c r="N1555" s="39" t="n">
        <v>44139</v>
      </c>
      <c r="O1555" s="41" t="s">
        <v>23</v>
      </c>
      <c r="P1555" s="41" t="s">
        <v>105</v>
      </c>
      <c r="Q1555" s="42"/>
      <c r="R1555" s="41"/>
      <c r="S1555" s="42"/>
      <c r="T1555" s="41"/>
    </row>
    <row r="1556" customFormat="false" ht="13.5" hidden="false" customHeight="true" outlineLevel="0" collapsed="false">
      <c r="A1556" s="37" t="n">
        <v>1553</v>
      </c>
      <c r="B1556" s="37" t="n">
        <v>3945</v>
      </c>
      <c r="C1556" s="38" t="s">
        <v>7112</v>
      </c>
      <c r="D1556" s="37" t="s">
        <v>100</v>
      </c>
      <c r="E1556" s="39" t="n">
        <v>29363</v>
      </c>
      <c r="F1556" s="37" t="n">
        <f aca="true">IFERROR(DATEDIF(E1556,TODAY(),"Y"),"")</f>
        <v>46</v>
      </c>
      <c r="G1556" s="40" t="s">
        <v>7113</v>
      </c>
      <c r="H1556" s="40" t="s">
        <v>7114</v>
      </c>
      <c r="I1556" s="38" t="s">
        <v>7115</v>
      </c>
      <c r="J1556" s="38" t="s">
        <v>15</v>
      </c>
      <c r="K1556" s="38" t="s">
        <v>7116</v>
      </c>
      <c r="L1556" s="38" t="s">
        <v>49</v>
      </c>
      <c r="M1556" s="37" t="s">
        <v>104</v>
      </c>
      <c r="N1556" s="39" t="n">
        <v>44150</v>
      </c>
      <c r="O1556" s="41" t="s">
        <v>23</v>
      </c>
      <c r="P1556" s="41" t="s">
        <v>105</v>
      </c>
      <c r="Q1556" s="42"/>
      <c r="R1556" s="41"/>
      <c r="S1556" s="42"/>
      <c r="T1556" s="41"/>
    </row>
    <row r="1557" customFormat="false" ht="13.5" hidden="false" customHeight="true" outlineLevel="0" collapsed="false">
      <c r="A1557" s="37" t="n">
        <v>1554</v>
      </c>
      <c r="B1557" s="37" t="n">
        <v>3946</v>
      </c>
      <c r="C1557" s="38" t="s">
        <v>7117</v>
      </c>
      <c r="D1557" s="37" t="s">
        <v>100</v>
      </c>
      <c r="E1557" s="39" t="n">
        <v>33709</v>
      </c>
      <c r="F1557" s="37" t="n">
        <f aca="true">IFERROR(DATEDIF(E1557,TODAY(),"Y"),"")</f>
        <v>34</v>
      </c>
      <c r="G1557" s="40" t="s">
        <v>7118</v>
      </c>
      <c r="H1557" s="40" t="s">
        <v>7119</v>
      </c>
      <c r="I1557" s="38" t="s">
        <v>7120</v>
      </c>
      <c r="J1557" s="38" t="s">
        <v>16</v>
      </c>
      <c r="K1557" s="38" t="s">
        <v>7121</v>
      </c>
      <c r="L1557" s="38" t="s">
        <v>53</v>
      </c>
      <c r="M1557" s="37" t="s">
        <v>731</v>
      </c>
      <c r="N1557" s="39" t="n">
        <v>44156</v>
      </c>
      <c r="O1557" s="41" t="s">
        <v>23</v>
      </c>
      <c r="P1557" s="41" t="s">
        <v>105</v>
      </c>
      <c r="Q1557" s="42"/>
      <c r="R1557" s="41"/>
      <c r="S1557" s="42"/>
      <c r="T1557" s="41"/>
    </row>
    <row r="1558" customFormat="false" ht="13.5" hidden="false" customHeight="true" outlineLevel="0" collapsed="false">
      <c r="A1558" s="37" t="n">
        <v>1555</v>
      </c>
      <c r="B1558" s="37" t="n">
        <v>3947</v>
      </c>
      <c r="C1558" s="38" t="s">
        <v>7122</v>
      </c>
      <c r="D1558" s="37" t="s">
        <v>100</v>
      </c>
      <c r="E1558" s="39" t="n">
        <v>33296</v>
      </c>
      <c r="F1558" s="37" t="n">
        <f aca="true">IFERROR(DATEDIF(E1558,TODAY(),"Y"),"")</f>
        <v>35</v>
      </c>
      <c r="G1558" s="40" t="s">
        <v>7123</v>
      </c>
      <c r="H1558" s="40"/>
      <c r="I1558" s="38" t="s">
        <v>7124</v>
      </c>
      <c r="J1558" s="38" t="s">
        <v>16</v>
      </c>
      <c r="K1558" s="38" t="s">
        <v>7125</v>
      </c>
      <c r="L1558" s="38" t="s">
        <v>47</v>
      </c>
      <c r="M1558" s="37" t="s">
        <v>241</v>
      </c>
      <c r="N1558" s="39" t="n">
        <v>44158</v>
      </c>
      <c r="O1558" s="41" t="s">
        <v>23</v>
      </c>
      <c r="P1558" s="41" t="s">
        <v>105</v>
      </c>
      <c r="Q1558" s="42"/>
      <c r="R1558" s="41"/>
      <c r="S1558" s="42"/>
      <c r="T1558" s="41"/>
    </row>
    <row r="1559" customFormat="false" ht="13.5" hidden="false" customHeight="true" outlineLevel="0" collapsed="false">
      <c r="A1559" s="37" t="n">
        <v>1556</v>
      </c>
      <c r="B1559" s="37" t="n">
        <v>3948</v>
      </c>
      <c r="C1559" s="38" t="s">
        <v>7126</v>
      </c>
      <c r="D1559" s="37" t="s">
        <v>100</v>
      </c>
      <c r="E1559" s="39" t="n">
        <v>28632</v>
      </c>
      <c r="F1559" s="37" t="n">
        <f aca="true">IFERROR(DATEDIF(E1559,TODAY(),"Y"),"")</f>
        <v>48</v>
      </c>
      <c r="G1559" s="40" t="s">
        <v>7127</v>
      </c>
      <c r="H1559" s="40"/>
      <c r="I1559" s="38" t="s">
        <v>7128</v>
      </c>
      <c r="J1559" s="38" t="s">
        <v>18</v>
      </c>
      <c r="K1559" s="38" t="s">
        <v>7129</v>
      </c>
      <c r="L1559" s="38" t="s">
        <v>52</v>
      </c>
      <c r="M1559" s="37" t="s">
        <v>120</v>
      </c>
      <c r="N1559" s="39" t="n">
        <v>44177</v>
      </c>
      <c r="O1559" s="41" t="s">
        <v>23</v>
      </c>
      <c r="P1559" s="41" t="s">
        <v>105</v>
      </c>
      <c r="Q1559" s="42"/>
      <c r="R1559" s="41"/>
      <c r="S1559" s="42"/>
      <c r="T1559" s="41"/>
    </row>
    <row r="1560" customFormat="false" ht="13.5" hidden="false" customHeight="true" outlineLevel="0" collapsed="false">
      <c r="A1560" s="37" t="n">
        <v>1557</v>
      </c>
      <c r="B1560" s="37" t="n">
        <v>3949</v>
      </c>
      <c r="C1560" s="38" t="s">
        <v>7130</v>
      </c>
      <c r="D1560" s="37" t="s">
        <v>100</v>
      </c>
      <c r="E1560" s="39" t="n">
        <v>26404</v>
      </c>
      <c r="F1560" s="37" t="n">
        <f aca="true">IFERROR(DATEDIF(E1560,TODAY(),"Y"),"")</f>
        <v>54</v>
      </c>
      <c r="G1560" s="40" t="s">
        <v>7131</v>
      </c>
      <c r="H1560" s="40"/>
      <c r="I1560" s="38" t="s">
        <v>7132</v>
      </c>
      <c r="J1560" s="38" t="s">
        <v>15</v>
      </c>
      <c r="K1560" s="38" t="s">
        <v>7133</v>
      </c>
      <c r="L1560" s="38" t="s">
        <v>43</v>
      </c>
      <c r="M1560" s="37" t="s">
        <v>177</v>
      </c>
      <c r="N1560" s="39" t="n">
        <v>44177</v>
      </c>
      <c r="O1560" s="41" t="s">
        <v>23</v>
      </c>
      <c r="P1560" s="41" t="s">
        <v>105</v>
      </c>
      <c r="Q1560" s="42"/>
      <c r="R1560" s="41"/>
      <c r="S1560" s="42"/>
      <c r="T1560" s="41"/>
    </row>
    <row r="1561" customFormat="false" ht="13.5" hidden="false" customHeight="true" outlineLevel="0" collapsed="false">
      <c r="A1561" s="37" t="n">
        <v>1558</v>
      </c>
      <c r="B1561" s="37" t="n">
        <v>3950</v>
      </c>
      <c r="C1561" s="38" t="s">
        <v>7134</v>
      </c>
      <c r="D1561" s="37" t="s">
        <v>100</v>
      </c>
      <c r="E1561" s="39" t="n">
        <v>28998</v>
      </c>
      <c r="F1561" s="37" t="n">
        <f aca="true">IFERROR(DATEDIF(E1561,TODAY(),"Y"),"")</f>
        <v>47</v>
      </c>
      <c r="G1561" s="40" t="s">
        <v>7135</v>
      </c>
      <c r="H1561" s="40" t="s">
        <v>7136</v>
      </c>
      <c r="I1561" s="38" t="s">
        <v>7137</v>
      </c>
      <c r="J1561" s="38" t="s">
        <v>15</v>
      </c>
      <c r="K1561" s="38" t="s">
        <v>7138</v>
      </c>
      <c r="L1561" s="38" t="s">
        <v>51</v>
      </c>
      <c r="M1561" s="37" t="s">
        <v>177</v>
      </c>
      <c r="N1561" s="39" t="n">
        <v>44182</v>
      </c>
      <c r="O1561" s="41" t="s">
        <v>23</v>
      </c>
      <c r="P1561" s="41" t="s">
        <v>105</v>
      </c>
      <c r="Q1561" s="42"/>
      <c r="R1561" s="41"/>
      <c r="S1561" s="42"/>
      <c r="T1561" s="41"/>
    </row>
    <row r="1562" customFormat="false" ht="13.5" hidden="false" customHeight="true" outlineLevel="0" collapsed="false">
      <c r="A1562" s="37" t="n">
        <v>1559</v>
      </c>
      <c r="B1562" s="37" t="n">
        <v>3951</v>
      </c>
      <c r="C1562" s="38" t="s">
        <v>7139</v>
      </c>
      <c r="D1562" s="37" t="s">
        <v>100</v>
      </c>
      <c r="E1562" s="39" t="n">
        <v>34397</v>
      </c>
      <c r="F1562" s="37" t="n">
        <f aca="true">IFERROR(DATEDIF(E1562,TODAY(),"Y"),"")</f>
        <v>32</v>
      </c>
      <c r="G1562" s="40" t="s">
        <v>7140</v>
      </c>
      <c r="H1562" s="40"/>
      <c r="I1562" s="38" t="s">
        <v>7141</v>
      </c>
      <c r="J1562" s="38" t="s">
        <v>16</v>
      </c>
      <c r="K1562" s="38" t="s">
        <v>7142</v>
      </c>
      <c r="L1562" s="38" t="s">
        <v>54</v>
      </c>
      <c r="M1562" s="37"/>
      <c r="N1562" s="39" t="n">
        <v>44182</v>
      </c>
      <c r="O1562" s="41" t="s">
        <v>23</v>
      </c>
      <c r="P1562" s="41" t="s">
        <v>105</v>
      </c>
      <c r="Q1562" s="42"/>
      <c r="R1562" s="41"/>
      <c r="S1562" s="42"/>
      <c r="T1562" s="41"/>
    </row>
    <row r="1563" customFormat="false" ht="13.5" hidden="false" customHeight="true" outlineLevel="0" collapsed="false">
      <c r="A1563" s="37" t="n">
        <v>1560</v>
      </c>
      <c r="B1563" s="37" t="n">
        <v>3952</v>
      </c>
      <c r="C1563" s="38" t="s">
        <v>7143</v>
      </c>
      <c r="D1563" s="37" t="s">
        <v>100</v>
      </c>
      <c r="E1563" s="39" t="n">
        <v>26055</v>
      </c>
      <c r="F1563" s="37" t="n">
        <f aca="true">IFERROR(DATEDIF(E1563,TODAY(),"Y"),"")</f>
        <v>55</v>
      </c>
      <c r="G1563" s="40" t="s">
        <v>7144</v>
      </c>
      <c r="H1563" s="40" t="s">
        <v>7145</v>
      </c>
      <c r="I1563" s="38" t="s">
        <v>7146</v>
      </c>
      <c r="J1563" s="38" t="s">
        <v>15</v>
      </c>
      <c r="K1563" s="38" t="s">
        <v>7147</v>
      </c>
      <c r="L1563" s="38" t="s">
        <v>55</v>
      </c>
      <c r="M1563" s="37" t="s">
        <v>231</v>
      </c>
      <c r="N1563" s="39" t="n">
        <v>44184</v>
      </c>
      <c r="O1563" s="41" t="s">
        <v>23</v>
      </c>
      <c r="P1563" s="41" t="s">
        <v>105</v>
      </c>
      <c r="Q1563" s="42"/>
      <c r="R1563" s="41"/>
      <c r="S1563" s="42"/>
      <c r="T1563" s="41"/>
    </row>
    <row r="1564" customFormat="false" ht="13.5" hidden="false" customHeight="true" outlineLevel="0" collapsed="false">
      <c r="A1564" s="37" t="n">
        <v>1561</v>
      </c>
      <c r="B1564" s="37" t="n">
        <v>3953</v>
      </c>
      <c r="C1564" s="38" t="s">
        <v>7148</v>
      </c>
      <c r="D1564" s="37" t="s">
        <v>100</v>
      </c>
      <c r="E1564" s="39" t="n">
        <v>23401</v>
      </c>
      <c r="F1564" s="37" t="n">
        <f aca="true">IFERROR(DATEDIF(E1564,TODAY(),"Y"),"")</f>
        <v>62</v>
      </c>
      <c r="G1564" s="40" t="s">
        <v>7149</v>
      </c>
      <c r="H1564" s="40" t="s">
        <v>7150</v>
      </c>
      <c r="I1564" s="38" t="s">
        <v>7151</v>
      </c>
      <c r="J1564" s="38" t="s">
        <v>15</v>
      </c>
      <c r="K1564" s="38" t="s">
        <v>7152</v>
      </c>
      <c r="L1564" s="38" t="s">
        <v>47</v>
      </c>
      <c r="M1564" s="37"/>
      <c r="N1564" s="39" t="n">
        <v>44185</v>
      </c>
      <c r="O1564" s="41" t="s">
        <v>23</v>
      </c>
      <c r="P1564" s="41" t="s">
        <v>105</v>
      </c>
      <c r="Q1564" s="42"/>
      <c r="R1564" s="41"/>
      <c r="S1564" s="42"/>
      <c r="T1564" s="41"/>
    </row>
    <row r="1565" customFormat="false" ht="13.5" hidden="false" customHeight="true" outlineLevel="0" collapsed="false">
      <c r="A1565" s="37" t="n">
        <v>1562</v>
      </c>
      <c r="B1565" s="37" t="n">
        <v>3954</v>
      </c>
      <c r="C1565" s="38" t="s">
        <v>7153</v>
      </c>
      <c r="D1565" s="37" t="s">
        <v>100</v>
      </c>
      <c r="E1565" s="39" t="n">
        <v>23487</v>
      </c>
      <c r="F1565" s="37" t="n">
        <f aca="true">IFERROR(DATEDIF(E1565,TODAY(),"Y"),"")</f>
        <v>62</v>
      </c>
      <c r="G1565" s="40" t="s">
        <v>7154</v>
      </c>
      <c r="H1565" s="40" t="s">
        <v>7155</v>
      </c>
      <c r="I1565" s="38" t="s">
        <v>7156</v>
      </c>
      <c r="J1565" s="38" t="s">
        <v>15</v>
      </c>
      <c r="K1565" s="38" t="s">
        <v>7157</v>
      </c>
      <c r="L1565" s="38" t="s">
        <v>47</v>
      </c>
      <c r="M1565" s="37" t="s">
        <v>120</v>
      </c>
      <c r="N1565" s="39" t="n">
        <v>44195</v>
      </c>
      <c r="O1565" s="41" t="s">
        <v>23</v>
      </c>
      <c r="P1565" s="41" t="s">
        <v>105</v>
      </c>
      <c r="Q1565" s="42"/>
      <c r="R1565" s="41"/>
      <c r="S1565" s="42"/>
      <c r="T1565" s="41"/>
    </row>
    <row r="1566" customFormat="false" ht="13.5" hidden="false" customHeight="true" outlineLevel="0" collapsed="false">
      <c r="A1566" s="37" t="n">
        <v>1563</v>
      </c>
      <c r="B1566" s="37" t="n">
        <v>3955</v>
      </c>
      <c r="C1566" s="38" t="s">
        <v>7158</v>
      </c>
      <c r="D1566" s="37" t="s">
        <v>100</v>
      </c>
      <c r="E1566" s="39" t="n">
        <v>35734</v>
      </c>
      <c r="F1566" s="37" t="n">
        <f aca="true">IFERROR(DATEDIF(E1566,TODAY(),"Y"),"")</f>
        <v>28</v>
      </c>
      <c r="G1566" s="40" t="s">
        <v>7159</v>
      </c>
      <c r="H1566" s="40" t="s">
        <v>7160</v>
      </c>
      <c r="I1566" s="38" t="s">
        <v>7161</v>
      </c>
      <c r="J1566" s="38" t="s">
        <v>16</v>
      </c>
      <c r="K1566" s="38" t="s">
        <v>7162</v>
      </c>
      <c r="L1566" s="38" t="s">
        <v>48</v>
      </c>
      <c r="M1566" s="37" t="s">
        <v>104</v>
      </c>
      <c r="N1566" s="39" t="n">
        <v>44198</v>
      </c>
      <c r="O1566" s="41" t="s">
        <v>23</v>
      </c>
      <c r="P1566" s="41" t="s">
        <v>105</v>
      </c>
      <c r="Q1566" s="42"/>
      <c r="R1566" s="41"/>
      <c r="S1566" s="42"/>
      <c r="T1566" s="41"/>
    </row>
    <row r="1567" customFormat="false" ht="13.5" hidden="false" customHeight="true" outlineLevel="0" collapsed="false">
      <c r="A1567" s="37" t="n">
        <v>1564</v>
      </c>
      <c r="B1567" s="37" t="n">
        <v>3956</v>
      </c>
      <c r="C1567" s="38" t="s">
        <v>7163</v>
      </c>
      <c r="D1567" s="37" t="s">
        <v>100</v>
      </c>
      <c r="E1567" s="39" t="n">
        <v>28118</v>
      </c>
      <c r="F1567" s="37" t="n">
        <f aca="true">IFERROR(DATEDIF(E1567,TODAY(),"Y"),"")</f>
        <v>49</v>
      </c>
      <c r="G1567" s="40" t="s">
        <v>7164</v>
      </c>
      <c r="H1567" s="40" t="s">
        <v>7165</v>
      </c>
      <c r="I1567" s="38" t="s">
        <v>7166</v>
      </c>
      <c r="J1567" s="38" t="s">
        <v>18</v>
      </c>
      <c r="K1567" s="38" t="s">
        <v>7167</v>
      </c>
      <c r="L1567" s="38" t="s">
        <v>47</v>
      </c>
      <c r="M1567" s="37" t="s">
        <v>177</v>
      </c>
      <c r="N1567" s="39" t="n">
        <v>44203</v>
      </c>
      <c r="O1567" s="41" t="s">
        <v>23</v>
      </c>
      <c r="P1567" s="41" t="s">
        <v>105</v>
      </c>
      <c r="Q1567" s="42"/>
      <c r="R1567" s="41"/>
      <c r="S1567" s="42"/>
      <c r="T1567" s="41"/>
    </row>
    <row r="1568" customFormat="false" ht="13.5" hidden="false" customHeight="true" outlineLevel="0" collapsed="false">
      <c r="A1568" s="37" t="n">
        <v>1565</v>
      </c>
      <c r="B1568" s="37" t="n">
        <v>3957</v>
      </c>
      <c r="C1568" s="38" t="s">
        <v>7168</v>
      </c>
      <c r="D1568" s="37" t="s">
        <v>100</v>
      </c>
      <c r="E1568" s="39" t="n">
        <v>30245</v>
      </c>
      <c r="F1568" s="37" t="n">
        <f aca="true">IFERROR(DATEDIF(E1568,TODAY(),"Y"),"")</f>
        <v>43</v>
      </c>
      <c r="G1568" s="40" t="s">
        <v>7169</v>
      </c>
      <c r="H1568" s="40" t="s">
        <v>7170</v>
      </c>
      <c r="I1568" s="38" t="s">
        <v>7171</v>
      </c>
      <c r="J1568" s="38" t="s">
        <v>18</v>
      </c>
      <c r="K1568" s="38" t="s">
        <v>7172</v>
      </c>
      <c r="L1568" s="38" t="s">
        <v>47</v>
      </c>
      <c r="M1568" s="37" t="s">
        <v>177</v>
      </c>
      <c r="N1568" s="39" t="n">
        <v>44203</v>
      </c>
      <c r="O1568" s="41" t="s">
        <v>23</v>
      </c>
      <c r="P1568" s="41" t="s">
        <v>105</v>
      </c>
      <c r="Q1568" s="42"/>
      <c r="R1568" s="41"/>
      <c r="S1568" s="42"/>
      <c r="T1568" s="41"/>
    </row>
    <row r="1569" customFormat="false" ht="13.5" hidden="false" customHeight="true" outlineLevel="0" collapsed="false">
      <c r="A1569" s="37" t="n">
        <v>1566</v>
      </c>
      <c r="B1569" s="37" t="n">
        <v>3958</v>
      </c>
      <c r="C1569" s="38" t="s">
        <v>7173</v>
      </c>
      <c r="D1569" s="37" t="s">
        <v>100</v>
      </c>
      <c r="E1569" s="39" t="n">
        <v>28852</v>
      </c>
      <c r="F1569" s="37" t="n">
        <f aca="true">IFERROR(DATEDIF(E1569,TODAY(),"Y"),"")</f>
        <v>47</v>
      </c>
      <c r="G1569" s="40" t="s">
        <v>7174</v>
      </c>
      <c r="H1569" s="40"/>
      <c r="I1569" s="38" t="s">
        <v>7175</v>
      </c>
      <c r="J1569" s="38" t="s">
        <v>16</v>
      </c>
      <c r="K1569" s="38" t="s">
        <v>7176</v>
      </c>
      <c r="L1569" s="38" t="s">
        <v>56</v>
      </c>
      <c r="M1569" s="37" t="s">
        <v>120</v>
      </c>
      <c r="N1569" s="39" t="n">
        <v>44227</v>
      </c>
      <c r="O1569" s="41" t="s">
        <v>23</v>
      </c>
      <c r="P1569" s="41" t="s">
        <v>105</v>
      </c>
      <c r="Q1569" s="42"/>
      <c r="R1569" s="41"/>
      <c r="S1569" s="42"/>
      <c r="T1569" s="41"/>
    </row>
    <row r="1570" customFormat="false" ht="13.5" hidden="false" customHeight="true" outlineLevel="0" collapsed="false">
      <c r="A1570" s="37" t="n">
        <v>1567</v>
      </c>
      <c r="B1570" s="37" t="n">
        <v>3959</v>
      </c>
      <c r="C1570" s="38" t="s">
        <v>7177</v>
      </c>
      <c r="D1570" s="37" t="s">
        <v>100</v>
      </c>
      <c r="E1570" s="39" t="n">
        <v>23855</v>
      </c>
      <c r="F1570" s="37" t="n">
        <f aca="true">IFERROR(DATEDIF(E1570,TODAY(),"Y"),"")</f>
        <v>61</v>
      </c>
      <c r="G1570" s="40" t="s">
        <v>7178</v>
      </c>
      <c r="H1570" s="40"/>
      <c r="I1570" s="38" t="s">
        <v>7179</v>
      </c>
      <c r="J1570" s="38" t="s">
        <v>18</v>
      </c>
      <c r="K1570" s="38" t="s">
        <v>7180</v>
      </c>
      <c r="L1570" s="38" t="s">
        <v>47</v>
      </c>
      <c r="M1570" s="37" t="s">
        <v>104</v>
      </c>
      <c r="N1570" s="39" t="n">
        <v>44228</v>
      </c>
      <c r="O1570" s="41" t="s">
        <v>23</v>
      </c>
      <c r="P1570" s="41" t="s">
        <v>105</v>
      </c>
      <c r="Q1570" s="42"/>
      <c r="R1570" s="41"/>
      <c r="S1570" s="42"/>
      <c r="T1570" s="41"/>
    </row>
    <row r="1571" customFormat="false" ht="13.5" hidden="false" customHeight="true" outlineLevel="0" collapsed="false">
      <c r="A1571" s="37" t="n">
        <v>1568</v>
      </c>
      <c r="B1571" s="37" t="n">
        <v>3960</v>
      </c>
      <c r="C1571" s="38" t="s">
        <v>7181</v>
      </c>
      <c r="D1571" s="37" t="s">
        <v>100</v>
      </c>
      <c r="E1571" s="39" t="n">
        <v>27887</v>
      </c>
      <c r="F1571" s="37" t="n">
        <f aca="true">IFERROR(DATEDIF(E1571,TODAY(),"Y"),"")</f>
        <v>50</v>
      </c>
      <c r="G1571" s="40" t="s">
        <v>7182</v>
      </c>
      <c r="H1571" s="40" t="s">
        <v>7183</v>
      </c>
      <c r="I1571" s="38" t="s">
        <v>7184</v>
      </c>
      <c r="J1571" s="38" t="s">
        <v>15</v>
      </c>
      <c r="K1571" s="38" t="s">
        <v>7185</v>
      </c>
      <c r="L1571" s="38" t="s">
        <v>54</v>
      </c>
      <c r="M1571" s="37" t="s">
        <v>120</v>
      </c>
      <c r="N1571" s="39" t="n">
        <v>44230</v>
      </c>
      <c r="O1571" s="41" t="s">
        <v>23</v>
      </c>
      <c r="P1571" s="41" t="s">
        <v>105</v>
      </c>
      <c r="Q1571" s="42"/>
      <c r="R1571" s="41"/>
      <c r="S1571" s="42"/>
      <c r="T1571" s="41"/>
    </row>
    <row r="1572" customFormat="false" ht="13.5" hidden="false" customHeight="true" outlineLevel="0" collapsed="false">
      <c r="A1572" s="37" t="n">
        <v>1569</v>
      </c>
      <c r="B1572" s="37" t="n">
        <v>3961</v>
      </c>
      <c r="C1572" s="38" t="s">
        <v>7186</v>
      </c>
      <c r="D1572" s="37" t="s">
        <v>100</v>
      </c>
      <c r="E1572" s="39" t="n">
        <v>25354</v>
      </c>
      <c r="F1572" s="37" t="n">
        <f aca="true">IFERROR(DATEDIF(E1572,TODAY(),"Y"),"")</f>
        <v>57</v>
      </c>
      <c r="G1572" s="40" t="s">
        <v>7187</v>
      </c>
      <c r="H1572" s="40" t="s">
        <v>7188</v>
      </c>
      <c r="I1572" s="38" t="s">
        <v>7189</v>
      </c>
      <c r="J1572" s="38" t="s">
        <v>16</v>
      </c>
      <c r="K1572" s="38" t="s">
        <v>7190</v>
      </c>
      <c r="L1572" s="38" t="s">
        <v>54</v>
      </c>
      <c r="M1572" s="37" t="s">
        <v>120</v>
      </c>
      <c r="N1572" s="39" t="n">
        <v>44231</v>
      </c>
      <c r="O1572" s="41" t="s">
        <v>23</v>
      </c>
      <c r="P1572" s="41" t="s">
        <v>105</v>
      </c>
      <c r="Q1572" s="42"/>
      <c r="R1572" s="41"/>
      <c r="S1572" s="42"/>
      <c r="T1572" s="41"/>
    </row>
    <row r="1573" customFormat="false" ht="13.5" hidden="false" customHeight="true" outlineLevel="0" collapsed="false">
      <c r="A1573" s="37" t="n">
        <v>1570</v>
      </c>
      <c r="B1573" s="37" t="n">
        <v>3962</v>
      </c>
      <c r="C1573" s="38" t="s">
        <v>7191</v>
      </c>
      <c r="D1573" s="37" t="s">
        <v>100</v>
      </c>
      <c r="E1573" s="39" t="n">
        <v>27895</v>
      </c>
      <c r="F1573" s="37" t="n">
        <f aca="true">IFERROR(DATEDIF(E1573,TODAY(),"Y"),"")</f>
        <v>50</v>
      </c>
      <c r="G1573" s="40" t="s">
        <v>7192</v>
      </c>
      <c r="H1573" s="40"/>
      <c r="I1573" s="38" t="s">
        <v>7193</v>
      </c>
      <c r="J1573" s="38" t="s">
        <v>16</v>
      </c>
      <c r="K1573" s="38" t="s">
        <v>7194</v>
      </c>
      <c r="L1573" s="38" t="s">
        <v>48</v>
      </c>
      <c r="M1573" s="37" t="s">
        <v>231</v>
      </c>
      <c r="N1573" s="39" t="n">
        <v>44231</v>
      </c>
      <c r="O1573" s="41" t="s">
        <v>23</v>
      </c>
      <c r="P1573" s="41" t="s">
        <v>105</v>
      </c>
      <c r="Q1573" s="42"/>
      <c r="R1573" s="41"/>
      <c r="S1573" s="42"/>
      <c r="T1573" s="41"/>
    </row>
    <row r="1574" customFormat="false" ht="13.5" hidden="false" customHeight="true" outlineLevel="0" collapsed="false">
      <c r="A1574" s="37" t="n">
        <v>1571</v>
      </c>
      <c r="B1574" s="37" t="n">
        <v>3963</v>
      </c>
      <c r="C1574" s="38" t="s">
        <v>7195</v>
      </c>
      <c r="D1574" s="37" t="s">
        <v>100</v>
      </c>
      <c r="E1574" s="39" t="n">
        <v>20048</v>
      </c>
      <c r="F1574" s="37" t="n">
        <f aca="true">IFERROR(DATEDIF(E1574,TODAY(),"Y"),"")</f>
        <v>71</v>
      </c>
      <c r="G1574" s="40" t="s">
        <v>7196</v>
      </c>
      <c r="H1574" s="40" t="s">
        <v>7197</v>
      </c>
      <c r="I1574" s="38" t="s">
        <v>7198</v>
      </c>
      <c r="J1574" s="38" t="s">
        <v>15</v>
      </c>
      <c r="K1574" s="38" t="s">
        <v>7199</v>
      </c>
      <c r="L1574" s="38" t="s">
        <v>53</v>
      </c>
      <c r="M1574" s="37"/>
      <c r="N1574" s="39" t="n">
        <v>44233</v>
      </c>
      <c r="O1574" s="41" t="s">
        <v>23</v>
      </c>
      <c r="P1574" s="41" t="s">
        <v>105</v>
      </c>
      <c r="Q1574" s="42"/>
      <c r="R1574" s="41"/>
      <c r="S1574" s="42"/>
      <c r="T1574" s="41"/>
    </row>
    <row r="1575" customFormat="false" ht="13.5" hidden="false" customHeight="true" outlineLevel="0" collapsed="false">
      <c r="A1575" s="37" t="n">
        <v>1572</v>
      </c>
      <c r="B1575" s="37" t="n">
        <v>3964</v>
      </c>
      <c r="C1575" s="38" t="s">
        <v>7200</v>
      </c>
      <c r="D1575" s="37" t="s">
        <v>100</v>
      </c>
      <c r="E1575" s="39" t="n">
        <v>35357</v>
      </c>
      <c r="F1575" s="37" t="n">
        <f aca="true">IFERROR(DATEDIF(E1575,TODAY(),"Y"),"")</f>
        <v>29</v>
      </c>
      <c r="G1575" s="40" t="s">
        <v>7201</v>
      </c>
      <c r="H1575" s="40" t="s">
        <v>7202</v>
      </c>
      <c r="I1575" s="38" t="s">
        <v>7203</v>
      </c>
      <c r="J1575" s="38" t="s">
        <v>15</v>
      </c>
      <c r="K1575" s="38" t="s">
        <v>7204</v>
      </c>
      <c r="L1575" s="38" t="s">
        <v>53</v>
      </c>
      <c r="M1575" s="37" t="s">
        <v>177</v>
      </c>
      <c r="N1575" s="39" t="n">
        <v>44240</v>
      </c>
      <c r="O1575" s="41" t="s">
        <v>23</v>
      </c>
      <c r="P1575" s="41" t="s">
        <v>105</v>
      </c>
      <c r="Q1575" s="42"/>
      <c r="R1575" s="41"/>
      <c r="S1575" s="42"/>
      <c r="T1575" s="41"/>
    </row>
    <row r="1576" customFormat="false" ht="13.5" hidden="false" customHeight="true" outlineLevel="0" collapsed="false">
      <c r="A1576" s="37" t="n">
        <v>1573</v>
      </c>
      <c r="B1576" s="37" t="n">
        <v>3965</v>
      </c>
      <c r="C1576" s="38" t="s">
        <v>7205</v>
      </c>
      <c r="D1576" s="37" t="s">
        <v>100</v>
      </c>
      <c r="E1576" s="39" t="n">
        <v>26748</v>
      </c>
      <c r="F1576" s="37" t="n">
        <f aca="true">IFERROR(DATEDIF(E1576,TODAY(),"Y"),"")</f>
        <v>53</v>
      </c>
      <c r="G1576" s="40" t="s">
        <v>7206</v>
      </c>
      <c r="H1576" s="40" t="s">
        <v>7207</v>
      </c>
      <c r="I1576" s="38" t="s">
        <v>7208</v>
      </c>
      <c r="J1576" s="38" t="s">
        <v>16</v>
      </c>
      <c r="K1576" s="38" t="s">
        <v>7209</v>
      </c>
      <c r="L1576" s="38" t="s">
        <v>51</v>
      </c>
      <c r="M1576" s="37" t="s">
        <v>177</v>
      </c>
      <c r="N1576" s="39" t="n">
        <v>44247</v>
      </c>
      <c r="O1576" s="41" t="s">
        <v>23</v>
      </c>
      <c r="P1576" s="41" t="s">
        <v>105</v>
      </c>
      <c r="Q1576" s="42"/>
      <c r="R1576" s="41"/>
      <c r="S1576" s="42"/>
      <c r="T1576" s="41"/>
    </row>
    <row r="1577" customFormat="false" ht="13.5" hidden="false" customHeight="true" outlineLevel="0" collapsed="false">
      <c r="A1577" s="37" t="n">
        <v>1574</v>
      </c>
      <c r="B1577" s="37" t="n">
        <v>3966</v>
      </c>
      <c r="C1577" s="38" t="s">
        <v>7210</v>
      </c>
      <c r="D1577" s="37" t="s">
        <v>100</v>
      </c>
      <c r="E1577" s="39" t="n">
        <v>31944</v>
      </c>
      <c r="F1577" s="37" t="n">
        <f aca="true">IFERROR(DATEDIF(E1577,TODAY(),"Y"),"")</f>
        <v>39</v>
      </c>
      <c r="G1577" s="40" t="s">
        <v>7211</v>
      </c>
      <c r="H1577" s="40" t="s">
        <v>7212</v>
      </c>
      <c r="I1577" s="38" t="s">
        <v>7213</v>
      </c>
      <c r="J1577" s="38"/>
      <c r="K1577" s="38" t="s">
        <v>7214</v>
      </c>
      <c r="L1577" s="38" t="s">
        <v>50</v>
      </c>
      <c r="M1577" s="37" t="s">
        <v>120</v>
      </c>
      <c r="N1577" s="39" t="n">
        <v>44259</v>
      </c>
      <c r="O1577" s="41" t="s">
        <v>23</v>
      </c>
      <c r="P1577" s="41" t="s">
        <v>105</v>
      </c>
      <c r="Q1577" s="42"/>
      <c r="R1577" s="41"/>
      <c r="S1577" s="42"/>
      <c r="T1577" s="41"/>
    </row>
    <row r="1578" customFormat="false" ht="13.5" hidden="false" customHeight="true" outlineLevel="0" collapsed="false">
      <c r="A1578" s="37" t="n">
        <v>1575</v>
      </c>
      <c r="B1578" s="37" t="n">
        <v>3967</v>
      </c>
      <c r="C1578" s="38" t="s">
        <v>7215</v>
      </c>
      <c r="D1578" s="37" t="s">
        <v>100</v>
      </c>
      <c r="E1578" s="39" t="n">
        <v>29644</v>
      </c>
      <c r="F1578" s="37" t="n">
        <f aca="true">IFERROR(DATEDIF(E1578,TODAY(),"Y"),"")</f>
        <v>45</v>
      </c>
      <c r="G1578" s="40" t="s">
        <v>7216</v>
      </c>
      <c r="H1578" s="40" t="s">
        <v>7217</v>
      </c>
      <c r="I1578" s="38" t="s">
        <v>7218</v>
      </c>
      <c r="J1578" s="38" t="s">
        <v>16</v>
      </c>
      <c r="K1578" s="38" t="s">
        <v>7219</v>
      </c>
      <c r="L1578" s="38" t="s">
        <v>53</v>
      </c>
      <c r="M1578" s="37" t="s">
        <v>177</v>
      </c>
      <c r="N1578" s="39" t="n">
        <v>44263</v>
      </c>
      <c r="O1578" s="41" t="s">
        <v>23</v>
      </c>
      <c r="P1578" s="41" t="s">
        <v>105</v>
      </c>
      <c r="Q1578" s="42"/>
      <c r="R1578" s="41"/>
      <c r="S1578" s="42"/>
      <c r="T1578" s="41"/>
    </row>
    <row r="1579" customFormat="false" ht="13.5" hidden="false" customHeight="true" outlineLevel="0" collapsed="false">
      <c r="A1579" s="37" t="n">
        <v>1576</v>
      </c>
      <c r="B1579" s="37" t="n">
        <v>3968</v>
      </c>
      <c r="C1579" s="38" t="s">
        <v>7220</v>
      </c>
      <c r="D1579" s="37" t="s">
        <v>100</v>
      </c>
      <c r="E1579" s="39" t="n">
        <v>28636</v>
      </c>
      <c r="F1579" s="37" t="n">
        <f aca="true">IFERROR(DATEDIF(E1579,TODAY(),"Y"),"")</f>
        <v>48</v>
      </c>
      <c r="G1579" s="40" t="s">
        <v>7221</v>
      </c>
      <c r="H1579" s="40"/>
      <c r="I1579" s="38" t="s">
        <v>7222</v>
      </c>
      <c r="J1579" s="38" t="s">
        <v>15</v>
      </c>
      <c r="K1579" s="38" t="s">
        <v>7223</v>
      </c>
      <c r="L1579" s="38" t="s">
        <v>43</v>
      </c>
      <c r="M1579" s="37" t="s">
        <v>177</v>
      </c>
      <c r="N1579" s="39" t="n">
        <v>44266</v>
      </c>
      <c r="O1579" s="41" t="s">
        <v>23</v>
      </c>
      <c r="P1579" s="41" t="s">
        <v>105</v>
      </c>
      <c r="Q1579" s="42"/>
      <c r="R1579" s="41"/>
      <c r="S1579" s="42"/>
      <c r="T1579" s="41"/>
    </row>
    <row r="1580" customFormat="false" ht="13.5" hidden="false" customHeight="true" outlineLevel="0" collapsed="false">
      <c r="A1580" s="37" t="n">
        <v>1577</v>
      </c>
      <c r="B1580" s="37" t="n">
        <v>3969</v>
      </c>
      <c r="C1580" s="38" t="s">
        <v>7224</v>
      </c>
      <c r="D1580" s="37" t="s">
        <v>100</v>
      </c>
      <c r="E1580" s="39" t="n">
        <v>25348</v>
      </c>
      <c r="F1580" s="37" t="n">
        <f aca="true">IFERROR(DATEDIF(E1580,TODAY(),"Y"),"")</f>
        <v>57</v>
      </c>
      <c r="G1580" s="40" t="s">
        <v>7225</v>
      </c>
      <c r="H1580" s="40"/>
      <c r="I1580" s="38" t="s">
        <v>7226</v>
      </c>
      <c r="J1580" s="38" t="s">
        <v>15</v>
      </c>
      <c r="K1580" s="38" t="s">
        <v>7227</v>
      </c>
      <c r="L1580" s="38" t="s">
        <v>50</v>
      </c>
      <c r="M1580" s="37"/>
      <c r="N1580" s="39" t="n">
        <v>44270</v>
      </c>
      <c r="O1580" s="41" t="s">
        <v>23</v>
      </c>
      <c r="P1580" s="41" t="s">
        <v>105</v>
      </c>
      <c r="Q1580" s="42"/>
      <c r="R1580" s="41"/>
      <c r="S1580" s="42"/>
      <c r="T1580" s="41"/>
    </row>
    <row r="1581" customFormat="false" ht="13.5" hidden="false" customHeight="true" outlineLevel="0" collapsed="false">
      <c r="A1581" s="37" t="n">
        <v>1578</v>
      </c>
      <c r="B1581" s="37" t="n">
        <v>3970</v>
      </c>
      <c r="C1581" s="38" t="s">
        <v>7228</v>
      </c>
      <c r="D1581" s="37" t="s">
        <v>100</v>
      </c>
      <c r="E1581" s="39" t="n">
        <v>30665</v>
      </c>
      <c r="F1581" s="37" t="n">
        <f aca="true">IFERROR(DATEDIF(E1581,TODAY(),"Y"),"")</f>
        <v>42</v>
      </c>
      <c r="G1581" s="40" t="s">
        <v>7229</v>
      </c>
      <c r="H1581" s="40" t="s">
        <v>7230</v>
      </c>
      <c r="I1581" s="38" t="s">
        <v>7231</v>
      </c>
      <c r="J1581" s="38" t="s">
        <v>15</v>
      </c>
      <c r="K1581" s="38" t="s">
        <v>7232</v>
      </c>
      <c r="L1581" s="38" t="s">
        <v>54</v>
      </c>
      <c r="M1581" s="37" t="s">
        <v>104</v>
      </c>
      <c r="N1581" s="39" t="n">
        <v>44275</v>
      </c>
      <c r="O1581" s="41" t="s">
        <v>23</v>
      </c>
      <c r="P1581" s="41" t="s">
        <v>105</v>
      </c>
      <c r="Q1581" s="42"/>
      <c r="R1581" s="41"/>
      <c r="S1581" s="42"/>
      <c r="T1581" s="41"/>
    </row>
    <row r="1582" customFormat="false" ht="13.5" hidden="false" customHeight="true" outlineLevel="0" collapsed="false">
      <c r="A1582" s="37" t="n">
        <v>1579</v>
      </c>
      <c r="B1582" s="37" t="n">
        <v>3971</v>
      </c>
      <c r="C1582" s="38" t="s">
        <v>7233</v>
      </c>
      <c r="D1582" s="37" t="s">
        <v>100</v>
      </c>
      <c r="E1582" s="39" t="n">
        <v>28311</v>
      </c>
      <c r="F1582" s="37" t="n">
        <f aca="true">IFERROR(DATEDIF(E1582,TODAY(),"Y"),"")</f>
        <v>49</v>
      </c>
      <c r="G1582" s="40" t="s">
        <v>7234</v>
      </c>
      <c r="H1582" s="40"/>
      <c r="I1582" s="38" t="s">
        <v>7235</v>
      </c>
      <c r="J1582" s="38" t="s">
        <v>16</v>
      </c>
      <c r="K1582" s="38" t="s">
        <v>7236</v>
      </c>
      <c r="L1582" s="38" t="s">
        <v>43</v>
      </c>
      <c r="M1582" s="37" t="s">
        <v>104</v>
      </c>
      <c r="N1582" s="39" t="n">
        <v>44275</v>
      </c>
      <c r="O1582" s="41" t="s">
        <v>23</v>
      </c>
      <c r="P1582" s="41" t="s">
        <v>105</v>
      </c>
      <c r="Q1582" s="42"/>
      <c r="R1582" s="41"/>
      <c r="S1582" s="42"/>
      <c r="T1582" s="41"/>
    </row>
    <row r="1583" customFormat="false" ht="13.5" hidden="false" customHeight="true" outlineLevel="0" collapsed="false">
      <c r="A1583" s="37" t="n">
        <v>1580</v>
      </c>
      <c r="B1583" s="37" t="n">
        <v>3972</v>
      </c>
      <c r="C1583" s="38" t="s">
        <v>7237</v>
      </c>
      <c r="D1583" s="37" t="s">
        <v>100</v>
      </c>
      <c r="E1583" s="39" t="n">
        <v>26257</v>
      </c>
      <c r="F1583" s="37" t="n">
        <f aca="true">IFERROR(DATEDIF(E1583,TODAY(),"Y"),"")</f>
        <v>54</v>
      </c>
      <c r="G1583" s="40" t="s">
        <v>7238</v>
      </c>
      <c r="H1583" s="40" t="s">
        <v>7239</v>
      </c>
      <c r="I1583" s="38" t="s">
        <v>7240</v>
      </c>
      <c r="J1583" s="38" t="s">
        <v>16</v>
      </c>
      <c r="K1583" s="38" t="s">
        <v>7241</v>
      </c>
      <c r="L1583" s="38" t="s">
        <v>55</v>
      </c>
      <c r="M1583" s="37" t="s">
        <v>177</v>
      </c>
      <c r="N1583" s="39" t="n">
        <v>44277</v>
      </c>
      <c r="O1583" s="41" t="s">
        <v>23</v>
      </c>
      <c r="P1583" s="41" t="s">
        <v>105</v>
      </c>
      <c r="Q1583" s="42"/>
      <c r="R1583" s="41"/>
      <c r="S1583" s="42"/>
      <c r="T1583" s="41"/>
    </row>
    <row r="1584" customFormat="false" ht="13.5" hidden="false" customHeight="true" outlineLevel="0" collapsed="false">
      <c r="A1584" s="37" t="n">
        <v>1581</v>
      </c>
      <c r="B1584" s="37" t="n">
        <v>3973</v>
      </c>
      <c r="C1584" s="38" t="s">
        <v>7242</v>
      </c>
      <c r="D1584" s="37" t="s">
        <v>100</v>
      </c>
      <c r="E1584" s="39" t="n">
        <v>30476</v>
      </c>
      <c r="F1584" s="37" t="n">
        <f aca="true">IFERROR(DATEDIF(E1584,TODAY(),"Y"),"")</f>
        <v>43</v>
      </c>
      <c r="G1584" s="40" t="s">
        <v>7243</v>
      </c>
      <c r="H1584" s="40"/>
      <c r="I1584" s="38" t="s">
        <v>7244</v>
      </c>
      <c r="J1584" s="38" t="s">
        <v>16</v>
      </c>
      <c r="K1584" s="38" t="s">
        <v>7245</v>
      </c>
      <c r="L1584" s="43" t="s">
        <v>58</v>
      </c>
      <c r="M1584" s="37"/>
      <c r="N1584" s="39" t="n">
        <v>44282</v>
      </c>
      <c r="O1584" s="41" t="s">
        <v>23</v>
      </c>
      <c r="P1584" s="41" t="s">
        <v>105</v>
      </c>
      <c r="Q1584" s="42"/>
      <c r="R1584" s="41"/>
      <c r="S1584" s="42"/>
      <c r="T1584" s="41"/>
    </row>
    <row r="1585" customFormat="false" ht="13.5" hidden="false" customHeight="true" outlineLevel="0" collapsed="false">
      <c r="A1585" s="37" t="n">
        <v>1582</v>
      </c>
      <c r="B1585" s="37" t="n">
        <v>3974</v>
      </c>
      <c r="C1585" s="38" t="s">
        <v>7246</v>
      </c>
      <c r="D1585" s="37" t="s">
        <v>100</v>
      </c>
      <c r="E1585" s="39" t="n">
        <v>26379</v>
      </c>
      <c r="F1585" s="37" t="n">
        <f aca="true">IFERROR(DATEDIF(E1585,TODAY(),"Y"),"")</f>
        <v>54</v>
      </c>
      <c r="G1585" s="40" t="s">
        <v>7247</v>
      </c>
      <c r="H1585" s="40" t="s">
        <v>7248</v>
      </c>
      <c r="I1585" s="38" t="s">
        <v>7249</v>
      </c>
      <c r="J1585" s="38" t="s">
        <v>16</v>
      </c>
      <c r="K1585" s="38" t="s">
        <v>7250</v>
      </c>
      <c r="L1585" s="38" t="s">
        <v>55</v>
      </c>
      <c r="M1585" s="37" t="s">
        <v>120</v>
      </c>
      <c r="N1585" s="39" t="n">
        <v>44282</v>
      </c>
      <c r="O1585" s="41" t="s">
        <v>23</v>
      </c>
      <c r="P1585" s="41" t="s">
        <v>105</v>
      </c>
      <c r="Q1585" s="42"/>
      <c r="R1585" s="41"/>
      <c r="S1585" s="42"/>
      <c r="T1585" s="41"/>
    </row>
    <row r="1586" customFormat="false" ht="13.5" hidden="false" customHeight="true" outlineLevel="0" collapsed="false">
      <c r="A1586" s="37" t="n">
        <v>1583</v>
      </c>
      <c r="B1586" s="37" t="n">
        <v>3975</v>
      </c>
      <c r="C1586" s="38" t="s">
        <v>7251</v>
      </c>
      <c r="D1586" s="37" t="s">
        <v>100</v>
      </c>
      <c r="E1586" s="39" t="n">
        <v>29346</v>
      </c>
      <c r="F1586" s="37" t="n">
        <f aca="true">IFERROR(DATEDIF(E1586,TODAY(),"Y"),"")</f>
        <v>46</v>
      </c>
      <c r="G1586" s="40" t="s">
        <v>7252</v>
      </c>
      <c r="H1586" s="40" t="s">
        <v>7253</v>
      </c>
      <c r="I1586" s="38" t="s">
        <v>7254</v>
      </c>
      <c r="J1586" s="38" t="s">
        <v>16</v>
      </c>
      <c r="K1586" s="38" t="s">
        <v>7255</v>
      </c>
      <c r="L1586" s="38" t="s">
        <v>44</v>
      </c>
      <c r="M1586" s="37" t="s">
        <v>231</v>
      </c>
      <c r="N1586" s="39" t="n">
        <v>44283</v>
      </c>
      <c r="O1586" s="41" t="s">
        <v>23</v>
      </c>
      <c r="P1586" s="41" t="s">
        <v>105</v>
      </c>
      <c r="Q1586" s="42"/>
      <c r="R1586" s="41"/>
      <c r="S1586" s="42"/>
      <c r="T1586" s="41"/>
    </row>
    <row r="1587" customFormat="false" ht="13.5" hidden="false" customHeight="true" outlineLevel="0" collapsed="false">
      <c r="A1587" s="37" t="n">
        <v>1584</v>
      </c>
      <c r="B1587" s="37" t="n">
        <v>3976</v>
      </c>
      <c r="C1587" s="38" t="s">
        <v>7256</v>
      </c>
      <c r="D1587" s="37" t="s">
        <v>100</v>
      </c>
      <c r="E1587" s="39" t="n">
        <v>31482</v>
      </c>
      <c r="F1587" s="37" t="n">
        <f aca="true">IFERROR(DATEDIF(E1587,TODAY(),"Y"),"")</f>
        <v>40</v>
      </c>
      <c r="G1587" s="40" t="s">
        <v>7257</v>
      </c>
      <c r="H1587" s="40"/>
      <c r="I1587" s="38" t="s">
        <v>7258</v>
      </c>
      <c r="J1587" s="38" t="s">
        <v>16</v>
      </c>
      <c r="K1587" s="38" t="s">
        <v>7259</v>
      </c>
      <c r="L1587" s="38" t="s">
        <v>55</v>
      </c>
      <c r="M1587" s="37" t="s">
        <v>104</v>
      </c>
      <c r="N1587" s="39" t="n">
        <v>44287</v>
      </c>
      <c r="O1587" s="41" t="s">
        <v>23</v>
      </c>
      <c r="P1587" s="41" t="s">
        <v>105</v>
      </c>
      <c r="Q1587" s="42"/>
      <c r="R1587" s="41"/>
      <c r="S1587" s="42"/>
      <c r="T1587" s="41"/>
    </row>
    <row r="1588" customFormat="false" ht="13.5" hidden="false" customHeight="true" outlineLevel="0" collapsed="false">
      <c r="A1588" s="37" t="n">
        <v>1585</v>
      </c>
      <c r="B1588" s="37" t="n">
        <v>3977</v>
      </c>
      <c r="C1588" s="38" t="s">
        <v>7260</v>
      </c>
      <c r="D1588" s="37" t="s">
        <v>100</v>
      </c>
      <c r="E1588" s="39" t="n">
        <v>27910</v>
      </c>
      <c r="F1588" s="37" t="n">
        <f aca="true">IFERROR(DATEDIF(E1588,TODAY(),"Y"),"")</f>
        <v>50</v>
      </c>
      <c r="G1588" s="40" t="s">
        <v>7261</v>
      </c>
      <c r="H1588" s="40" t="s">
        <v>7262</v>
      </c>
      <c r="I1588" s="38" t="s">
        <v>7263</v>
      </c>
      <c r="J1588" s="38" t="s">
        <v>15</v>
      </c>
      <c r="K1588" s="38" t="s">
        <v>7264</v>
      </c>
      <c r="L1588" s="38" t="s">
        <v>46</v>
      </c>
      <c r="M1588" s="37" t="s">
        <v>120</v>
      </c>
      <c r="N1588" s="39" t="n">
        <v>44287</v>
      </c>
      <c r="O1588" s="41" t="s">
        <v>23</v>
      </c>
      <c r="P1588" s="41" t="s">
        <v>105</v>
      </c>
      <c r="Q1588" s="42"/>
      <c r="R1588" s="41"/>
      <c r="S1588" s="42"/>
      <c r="T1588" s="41"/>
    </row>
    <row r="1589" customFormat="false" ht="13.5" hidden="false" customHeight="true" outlineLevel="0" collapsed="false">
      <c r="A1589" s="37" t="n">
        <v>1586</v>
      </c>
      <c r="B1589" s="37" t="n">
        <v>3978</v>
      </c>
      <c r="C1589" s="38" t="s">
        <v>7265</v>
      </c>
      <c r="D1589" s="37" t="s">
        <v>100</v>
      </c>
      <c r="E1589" s="39" t="n">
        <v>26084</v>
      </c>
      <c r="F1589" s="37" t="n">
        <f aca="true">IFERROR(DATEDIF(E1589,TODAY(),"Y"),"")</f>
        <v>55</v>
      </c>
      <c r="G1589" s="40" t="s">
        <v>7266</v>
      </c>
      <c r="H1589" s="40"/>
      <c r="I1589" s="38" t="s">
        <v>7267</v>
      </c>
      <c r="J1589" s="38" t="s">
        <v>15</v>
      </c>
      <c r="K1589" s="38" t="s">
        <v>7268</v>
      </c>
      <c r="L1589" s="38" t="s">
        <v>55</v>
      </c>
      <c r="M1589" s="37" t="s">
        <v>177</v>
      </c>
      <c r="N1589" s="39" t="n">
        <v>44291</v>
      </c>
      <c r="O1589" s="41" t="s">
        <v>23</v>
      </c>
      <c r="P1589" s="41" t="s">
        <v>105</v>
      </c>
      <c r="Q1589" s="42"/>
      <c r="R1589" s="41"/>
      <c r="S1589" s="42"/>
      <c r="T1589" s="41"/>
    </row>
    <row r="1590" customFormat="false" ht="13.5" hidden="false" customHeight="true" outlineLevel="0" collapsed="false">
      <c r="A1590" s="37" t="n">
        <v>1587</v>
      </c>
      <c r="B1590" s="37" t="n">
        <v>3979</v>
      </c>
      <c r="C1590" s="38" t="s">
        <v>7269</v>
      </c>
      <c r="D1590" s="37" t="s">
        <v>100</v>
      </c>
      <c r="E1590" s="39" t="n">
        <v>29371</v>
      </c>
      <c r="F1590" s="37" t="n">
        <f aca="true">IFERROR(DATEDIF(E1590,TODAY(),"Y"),"")</f>
        <v>46</v>
      </c>
      <c r="G1590" s="40" t="s">
        <v>7270</v>
      </c>
      <c r="H1590" s="40" t="s">
        <v>7271</v>
      </c>
      <c r="I1590" s="38" t="s">
        <v>5013</v>
      </c>
      <c r="J1590" s="38" t="s">
        <v>16</v>
      </c>
      <c r="K1590" s="38" t="s">
        <v>7272</v>
      </c>
      <c r="L1590" s="38" t="s">
        <v>51</v>
      </c>
      <c r="M1590" s="37" t="s">
        <v>120</v>
      </c>
      <c r="N1590" s="39" t="n">
        <v>44315</v>
      </c>
      <c r="O1590" s="41" t="s">
        <v>23</v>
      </c>
      <c r="P1590" s="41" t="s">
        <v>105</v>
      </c>
      <c r="Q1590" s="42"/>
      <c r="R1590" s="41"/>
      <c r="S1590" s="42"/>
      <c r="T1590" s="41"/>
    </row>
    <row r="1591" customFormat="false" ht="13.5" hidden="false" customHeight="true" outlineLevel="0" collapsed="false">
      <c r="A1591" s="37" t="n">
        <v>1588</v>
      </c>
      <c r="B1591" s="37" t="n">
        <v>3980</v>
      </c>
      <c r="C1591" s="38" t="s">
        <v>7273</v>
      </c>
      <c r="D1591" s="37" t="s">
        <v>100</v>
      </c>
      <c r="E1591" s="39" t="n">
        <v>31187</v>
      </c>
      <c r="F1591" s="37" t="n">
        <f aca="true">IFERROR(DATEDIF(E1591,TODAY(),"Y"),"")</f>
        <v>41</v>
      </c>
      <c r="G1591" s="40" t="s">
        <v>7274</v>
      </c>
      <c r="H1591" s="40" t="s">
        <v>7275</v>
      </c>
      <c r="I1591" s="38" t="s">
        <v>7276</v>
      </c>
      <c r="J1591" s="38" t="s">
        <v>16</v>
      </c>
      <c r="K1591" s="38" t="s">
        <v>7277</v>
      </c>
      <c r="L1591" s="38" t="s">
        <v>43</v>
      </c>
      <c r="M1591" s="37" t="s">
        <v>104</v>
      </c>
      <c r="N1591" s="39" t="n">
        <v>44314</v>
      </c>
      <c r="O1591" s="41" t="s">
        <v>23</v>
      </c>
      <c r="P1591" s="41" t="s">
        <v>105</v>
      </c>
      <c r="Q1591" s="42"/>
      <c r="R1591" s="41"/>
      <c r="S1591" s="42"/>
      <c r="T1591" s="41"/>
    </row>
    <row r="1592" customFormat="false" ht="13.5" hidden="false" customHeight="true" outlineLevel="0" collapsed="false">
      <c r="A1592" s="37" t="n">
        <v>1589</v>
      </c>
      <c r="B1592" s="37" t="n">
        <v>3982</v>
      </c>
      <c r="C1592" s="38" t="s">
        <v>7278</v>
      </c>
      <c r="D1592" s="37" t="s">
        <v>100</v>
      </c>
      <c r="E1592" s="39" t="n">
        <v>30885</v>
      </c>
      <c r="F1592" s="37" t="n">
        <f aca="true">IFERROR(DATEDIF(E1592,TODAY(),"Y"),"")</f>
        <v>42</v>
      </c>
      <c r="G1592" s="40" t="s">
        <v>7279</v>
      </c>
      <c r="H1592" s="40" t="s">
        <v>7280</v>
      </c>
      <c r="I1592" s="38" t="s">
        <v>7281</v>
      </c>
      <c r="J1592" s="38" t="s">
        <v>16</v>
      </c>
      <c r="K1592" s="38" t="s">
        <v>7282</v>
      </c>
      <c r="L1592" s="38" t="s">
        <v>55</v>
      </c>
      <c r="M1592" s="37" t="s">
        <v>104</v>
      </c>
      <c r="N1592" s="39" t="n">
        <v>44318</v>
      </c>
      <c r="O1592" s="41" t="s">
        <v>23</v>
      </c>
      <c r="P1592" s="41" t="s">
        <v>105</v>
      </c>
      <c r="Q1592" s="42"/>
      <c r="R1592" s="41"/>
      <c r="S1592" s="42"/>
      <c r="T1592" s="41"/>
    </row>
    <row r="1593" customFormat="false" ht="13.5" hidden="false" customHeight="true" outlineLevel="0" collapsed="false">
      <c r="A1593" s="37" t="n">
        <v>1590</v>
      </c>
      <c r="B1593" s="37" t="n">
        <v>3983</v>
      </c>
      <c r="C1593" s="38" t="s">
        <v>7283</v>
      </c>
      <c r="D1593" s="37" t="s">
        <v>100</v>
      </c>
      <c r="E1593" s="39" t="n">
        <v>25345</v>
      </c>
      <c r="F1593" s="37" t="n">
        <f aca="true">IFERROR(DATEDIF(E1593,TODAY(),"Y"),"")</f>
        <v>57</v>
      </c>
      <c r="G1593" s="40" t="s">
        <v>7284</v>
      </c>
      <c r="H1593" s="40" t="s">
        <v>7285</v>
      </c>
      <c r="I1593" s="38" t="s">
        <v>7286</v>
      </c>
      <c r="J1593" s="38" t="s">
        <v>15</v>
      </c>
      <c r="K1593" s="38" t="s">
        <v>7287</v>
      </c>
      <c r="L1593" s="38" t="s">
        <v>50</v>
      </c>
      <c r="M1593" s="37"/>
      <c r="N1593" s="39" t="n">
        <v>44319</v>
      </c>
      <c r="O1593" s="41" t="s">
        <v>23</v>
      </c>
      <c r="P1593" s="41" t="s">
        <v>105</v>
      </c>
      <c r="Q1593" s="42"/>
      <c r="R1593" s="41"/>
      <c r="S1593" s="42"/>
      <c r="T1593" s="41"/>
    </row>
    <row r="1594" customFormat="false" ht="13.5" hidden="false" customHeight="true" outlineLevel="0" collapsed="false">
      <c r="A1594" s="37" t="n">
        <v>1591</v>
      </c>
      <c r="B1594" s="37" t="n">
        <v>3984</v>
      </c>
      <c r="C1594" s="38" t="s">
        <v>7288</v>
      </c>
      <c r="D1594" s="37" t="s">
        <v>100</v>
      </c>
      <c r="E1594" s="39" t="n">
        <v>27709</v>
      </c>
      <c r="F1594" s="37" t="n">
        <f aca="true">IFERROR(DATEDIF(E1594,TODAY(),"Y"),"")</f>
        <v>50</v>
      </c>
      <c r="G1594" s="40" t="s">
        <v>7289</v>
      </c>
      <c r="H1594" s="40" t="s">
        <v>7290</v>
      </c>
      <c r="I1594" s="38" t="s">
        <v>7291</v>
      </c>
      <c r="J1594" s="38" t="s">
        <v>15</v>
      </c>
      <c r="K1594" s="38" t="s">
        <v>7292</v>
      </c>
      <c r="L1594" s="38" t="s">
        <v>54</v>
      </c>
      <c r="M1594" s="37"/>
      <c r="N1594" s="39" t="n">
        <v>44320</v>
      </c>
      <c r="O1594" s="41" t="s">
        <v>23</v>
      </c>
      <c r="P1594" s="41" t="s">
        <v>105</v>
      </c>
      <c r="Q1594" s="42"/>
      <c r="R1594" s="41"/>
      <c r="S1594" s="42"/>
      <c r="T1594" s="41"/>
    </row>
    <row r="1595" customFormat="false" ht="13.5" hidden="false" customHeight="true" outlineLevel="0" collapsed="false">
      <c r="A1595" s="37" t="n">
        <v>1592</v>
      </c>
      <c r="B1595" s="37" t="n">
        <v>3985</v>
      </c>
      <c r="C1595" s="38" t="s">
        <v>7293</v>
      </c>
      <c r="D1595" s="37" t="s">
        <v>100</v>
      </c>
      <c r="E1595" s="39" t="n">
        <v>31409</v>
      </c>
      <c r="F1595" s="37" t="n">
        <f aca="true">IFERROR(DATEDIF(E1595,TODAY(),"Y"),"")</f>
        <v>40</v>
      </c>
      <c r="G1595" s="40" t="s">
        <v>7294</v>
      </c>
      <c r="H1595" s="40" t="s">
        <v>7295</v>
      </c>
      <c r="I1595" s="38" t="s">
        <v>7296</v>
      </c>
      <c r="J1595" s="38" t="s">
        <v>15</v>
      </c>
      <c r="K1595" s="38" t="s">
        <v>7297</v>
      </c>
      <c r="L1595" s="38" t="s">
        <v>55</v>
      </c>
      <c r="M1595" s="37"/>
      <c r="N1595" s="39" t="n">
        <v>44333</v>
      </c>
      <c r="O1595" s="41" t="s">
        <v>23</v>
      </c>
      <c r="P1595" s="41" t="s">
        <v>105</v>
      </c>
      <c r="Q1595" s="42"/>
      <c r="R1595" s="41"/>
      <c r="S1595" s="42"/>
      <c r="T1595" s="41"/>
    </row>
    <row r="1596" customFormat="false" ht="13.5" hidden="false" customHeight="true" outlineLevel="0" collapsed="false">
      <c r="A1596" s="37" t="n">
        <v>1593</v>
      </c>
      <c r="B1596" s="37" t="n">
        <v>3986</v>
      </c>
      <c r="C1596" s="38" t="s">
        <v>7298</v>
      </c>
      <c r="D1596" s="37" t="s">
        <v>100</v>
      </c>
      <c r="E1596" s="39" t="n">
        <v>29331</v>
      </c>
      <c r="F1596" s="37" t="n">
        <f aca="true">IFERROR(DATEDIF(E1596,TODAY(),"Y"),"")</f>
        <v>46</v>
      </c>
      <c r="G1596" s="40" t="s">
        <v>7299</v>
      </c>
      <c r="H1596" s="40" t="s">
        <v>7300</v>
      </c>
      <c r="I1596" s="38" t="s">
        <v>7301</v>
      </c>
      <c r="J1596" s="38"/>
      <c r="K1596" s="38" t="s">
        <v>7302</v>
      </c>
      <c r="L1596" s="38" t="s">
        <v>55</v>
      </c>
      <c r="M1596" s="37" t="s">
        <v>120</v>
      </c>
      <c r="N1596" s="39" t="n">
        <v>44345</v>
      </c>
      <c r="O1596" s="41" t="s">
        <v>23</v>
      </c>
      <c r="P1596" s="41" t="s">
        <v>105</v>
      </c>
      <c r="Q1596" s="42"/>
      <c r="R1596" s="41"/>
      <c r="S1596" s="42"/>
      <c r="T1596" s="41"/>
    </row>
    <row r="1597" customFormat="false" ht="13.5" hidden="false" customHeight="true" outlineLevel="0" collapsed="false">
      <c r="A1597" s="37" t="n">
        <v>1594</v>
      </c>
      <c r="B1597" s="37" t="n">
        <v>3987</v>
      </c>
      <c r="C1597" s="38" t="s">
        <v>7303</v>
      </c>
      <c r="D1597" s="37" t="s">
        <v>100</v>
      </c>
      <c r="E1597" s="39" t="n">
        <v>28255</v>
      </c>
      <c r="F1597" s="37" t="n">
        <f aca="true">IFERROR(DATEDIF(E1597,TODAY(),"Y"),"")</f>
        <v>49</v>
      </c>
      <c r="G1597" s="40" t="s">
        <v>7304</v>
      </c>
      <c r="H1597" s="40"/>
      <c r="I1597" s="38" t="s">
        <v>7305</v>
      </c>
      <c r="J1597" s="38" t="s">
        <v>15</v>
      </c>
      <c r="K1597" s="38" t="s">
        <v>7306</v>
      </c>
      <c r="L1597" s="38" t="s">
        <v>47</v>
      </c>
      <c r="M1597" s="37" t="s">
        <v>120</v>
      </c>
      <c r="N1597" s="39" t="n">
        <v>44364</v>
      </c>
      <c r="O1597" s="41" t="s">
        <v>23</v>
      </c>
      <c r="P1597" s="41" t="s">
        <v>105</v>
      </c>
      <c r="Q1597" s="42"/>
      <c r="R1597" s="41"/>
      <c r="S1597" s="42"/>
      <c r="T1597" s="41"/>
    </row>
    <row r="1598" customFormat="false" ht="13.5" hidden="false" customHeight="true" outlineLevel="0" collapsed="false">
      <c r="A1598" s="37" t="n">
        <v>1595</v>
      </c>
      <c r="B1598" s="37" t="n">
        <v>3988</v>
      </c>
      <c r="C1598" s="38" t="s">
        <v>7307</v>
      </c>
      <c r="D1598" s="37" t="s">
        <v>100</v>
      </c>
      <c r="E1598" s="39" t="n">
        <v>27858</v>
      </c>
      <c r="F1598" s="37" t="n">
        <f aca="true">IFERROR(DATEDIF(E1598,TODAY(),"Y"),"")</f>
        <v>50</v>
      </c>
      <c r="G1598" s="40" t="s">
        <v>7308</v>
      </c>
      <c r="H1598" s="40"/>
      <c r="I1598" s="38" t="s">
        <v>7309</v>
      </c>
      <c r="J1598" s="38" t="s">
        <v>16</v>
      </c>
      <c r="K1598" s="38" t="s">
        <v>7310</v>
      </c>
      <c r="L1598" s="38" t="s">
        <v>46</v>
      </c>
      <c r="M1598" s="37" t="s">
        <v>120</v>
      </c>
      <c r="N1598" s="39" t="n">
        <v>44378</v>
      </c>
      <c r="O1598" s="41" t="s">
        <v>23</v>
      </c>
      <c r="P1598" s="41" t="s">
        <v>105</v>
      </c>
      <c r="Q1598" s="42"/>
      <c r="R1598" s="41"/>
      <c r="S1598" s="42"/>
      <c r="T1598" s="41"/>
    </row>
    <row r="1599" customFormat="false" ht="13.5" hidden="false" customHeight="true" outlineLevel="0" collapsed="false">
      <c r="A1599" s="37" t="n">
        <v>1596</v>
      </c>
      <c r="B1599" s="37" t="n">
        <v>3989</v>
      </c>
      <c r="C1599" s="38" t="s">
        <v>7311</v>
      </c>
      <c r="D1599" s="37" t="s">
        <v>100</v>
      </c>
      <c r="E1599" s="39" t="n">
        <v>25877</v>
      </c>
      <c r="F1599" s="37" t="n">
        <f aca="true">IFERROR(DATEDIF(E1599,TODAY(),"Y"),"")</f>
        <v>55</v>
      </c>
      <c r="G1599" s="40" t="s">
        <v>7312</v>
      </c>
      <c r="H1599" s="40"/>
      <c r="I1599" s="38" t="s">
        <v>7313</v>
      </c>
      <c r="J1599" s="38" t="s">
        <v>15</v>
      </c>
      <c r="K1599" s="38" t="s">
        <v>7314</v>
      </c>
      <c r="L1599" s="38" t="s">
        <v>54</v>
      </c>
      <c r="M1599" s="37" t="s">
        <v>120</v>
      </c>
      <c r="N1599" s="39" t="n">
        <v>44385</v>
      </c>
      <c r="O1599" s="41" t="s">
        <v>23</v>
      </c>
      <c r="P1599" s="41" t="s">
        <v>105</v>
      </c>
      <c r="Q1599" s="42"/>
      <c r="R1599" s="41"/>
      <c r="S1599" s="42"/>
      <c r="T1599" s="41"/>
    </row>
    <row r="1600" customFormat="false" ht="13.5" hidden="false" customHeight="true" outlineLevel="0" collapsed="false">
      <c r="A1600" s="37" t="n">
        <v>1597</v>
      </c>
      <c r="B1600" s="37" t="n">
        <v>3990</v>
      </c>
      <c r="C1600" s="38" t="s">
        <v>7315</v>
      </c>
      <c r="D1600" s="37" t="s">
        <v>100</v>
      </c>
      <c r="E1600" s="39" t="n">
        <v>32917</v>
      </c>
      <c r="F1600" s="37" t="n">
        <f aca="true">IFERROR(DATEDIF(E1600,TODAY(),"Y"),"")</f>
        <v>36</v>
      </c>
      <c r="G1600" s="40" t="s">
        <v>7316</v>
      </c>
      <c r="H1600" s="40" t="s">
        <v>7317</v>
      </c>
      <c r="I1600" s="38" t="s">
        <v>7318</v>
      </c>
      <c r="J1600" s="38" t="s">
        <v>15</v>
      </c>
      <c r="K1600" s="38" t="s">
        <v>7319</v>
      </c>
      <c r="L1600" s="38" t="s">
        <v>55</v>
      </c>
      <c r="M1600" s="37" t="s">
        <v>120</v>
      </c>
      <c r="N1600" s="39" t="n">
        <v>44394</v>
      </c>
      <c r="O1600" s="41" t="s">
        <v>23</v>
      </c>
      <c r="P1600" s="41" t="s">
        <v>105</v>
      </c>
      <c r="Q1600" s="42"/>
      <c r="R1600" s="41"/>
      <c r="S1600" s="42"/>
      <c r="T1600" s="41"/>
    </row>
    <row r="1601" customFormat="false" ht="13.5" hidden="false" customHeight="true" outlineLevel="0" collapsed="false">
      <c r="A1601" s="37" t="n">
        <v>1598</v>
      </c>
      <c r="B1601" s="37" t="n">
        <v>3991</v>
      </c>
      <c r="C1601" s="38" t="s">
        <v>7320</v>
      </c>
      <c r="D1601" s="37" t="s">
        <v>100</v>
      </c>
      <c r="E1601" s="39" t="n">
        <v>30808</v>
      </c>
      <c r="F1601" s="37" t="n">
        <f aca="true">IFERROR(DATEDIF(E1601,TODAY(),"Y"),"")</f>
        <v>42</v>
      </c>
      <c r="G1601" s="40" t="s">
        <v>7321</v>
      </c>
      <c r="H1601" s="40" t="s">
        <v>7322</v>
      </c>
      <c r="I1601" s="38" t="s">
        <v>7323</v>
      </c>
      <c r="J1601" s="38" t="s">
        <v>15</v>
      </c>
      <c r="K1601" s="38" t="s">
        <v>7324</v>
      </c>
      <c r="L1601" s="38" t="s">
        <v>55</v>
      </c>
      <c r="M1601" s="37" t="s">
        <v>120</v>
      </c>
      <c r="N1601" s="39" t="n">
        <v>44408</v>
      </c>
      <c r="O1601" s="41" t="s">
        <v>23</v>
      </c>
      <c r="P1601" s="41" t="s">
        <v>105</v>
      </c>
      <c r="Q1601" s="42"/>
      <c r="R1601" s="41"/>
      <c r="S1601" s="42"/>
      <c r="T1601" s="41"/>
    </row>
    <row r="1602" customFormat="false" ht="13.5" hidden="false" customHeight="true" outlineLevel="0" collapsed="false">
      <c r="A1602" s="37" t="n">
        <v>1599</v>
      </c>
      <c r="B1602" s="37" t="n">
        <v>3992</v>
      </c>
      <c r="C1602" s="38" t="s">
        <v>7325</v>
      </c>
      <c r="D1602" s="37" t="s">
        <v>100</v>
      </c>
      <c r="E1602" s="39" t="n">
        <v>23517</v>
      </c>
      <c r="F1602" s="37" t="n">
        <f aca="true">IFERROR(DATEDIF(E1602,TODAY(),"Y"),"")</f>
        <v>62</v>
      </c>
      <c r="G1602" s="40" t="s">
        <v>7326</v>
      </c>
      <c r="H1602" s="40" t="s">
        <v>7327</v>
      </c>
      <c r="I1602" s="38" t="s">
        <v>7328</v>
      </c>
      <c r="J1602" s="38" t="s">
        <v>15</v>
      </c>
      <c r="K1602" s="38" t="s">
        <v>7329</v>
      </c>
      <c r="L1602" s="38" t="s">
        <v>53</v>
      </c>
      <c r="M1602" s="37" t="s">
        <v>120</v>
      </c>
      <c r="N1602" s="39" t="n">
        <v>44437</v>
      </c>
      <c r="O1602" s="41" t="s">
        <v>23</v>
      </c>
      <c r="P1602" s="41" t="s">
        <v>105</v>
      </c>
      <c r="Q1602" s="42"/>
      <c r="R1602" s="41"/>
      <c r="S1602" s="42"/>
      <c r="T1602" s="41"/>
    </row>
    <row r="1603" customFormat="false" ht="13.5" hidden="false" customHeight="true" outlineLevel="0" collapsed="false">
      <c r="A1603" s="37" t="n">
        <v>1600</v>
      </c>
      <c r="B1603" s="37" t="n">
        <v>3993</v>
      </c>
      <c r="C1603" s="38" t="s">
        <v>7330</v>
      </c>
      <c r="D1603" s="37" t="s">
        <v>100</v>
      </c>
      <c r="E1603" s="39" t="n">
        <v>32388</v>
      </c>
      <c r="F1603" s="37" t="n">
        <f aca="true">IFERROR(DATEDIF(E1603,TODAY(),"Y"),"")</f>
        <v>37</v>
      </c>
      <c r="G1603" s="40" t="s">
        <v>7331</v>
      </c>
      <c r="H1603" s="40" t="s">
        <v>7332</v>
      </c>
      <c r="I1603" s="38" t="s">
        <v>7333</v>
      </c>
      <c r="J1603" s="38" t="s">
        <v>15</v>
      </c>
      <c r="K1603" s="38" t="s">
        <v>7334</v>
      </c>
      <c r="L1603" s="38" t="s">
        <v>46</v>
      </c>
      <c r="M1603" s="37"/>
      <c r="N1603" s="39" t="n">
        <v>44437</v>
      </c>
      <c r="O1603" s="41" t="s">
        <v>23</v>
      </c>
      <c r="P1603" s="41" t="s">
        <v>105</v>
      </c>
      <c r="Q1603" s="42"/>
      <c r="R1603" s="41"/>
      <c r="S1603" s="42"/>
      <c r="T1603" s="41"/>
    </row>
    <row r="1604" customFormat="false" ht="13.5" hidden="false" customHeight="true" outlineLevel="0" collapsed="false">
      <c r="A1604" s="37" t="n">
        <v>1601</v>
      </c>
      <c r="B1604" s="37" t="n">
        <v>3994</v>
      </c>
      <c r="C1604" s="38" t="s">
        <v>7335</v>
      </c>
      <c r="D1604" s="37" t="s">
        <v>100</v>
      </c>
      <c r="E1604" s="39" t="n">
        <v>28371</v>
      </c>
      <c r="F1604" s="37" t="n">
        <f aca="true">IFERROR(DATEDIF(E1604,TODAY(),"Y"),"")</f>
        <v>48</v>
      </c>
      <c r="G1604" s="40" t="s">
        <v>7336</v>
      </c>
      <c r="H1604" s="40" t="s">
        <v>7337</v>
      </c>
      <c r="I1604" s="38" t="s">
        <v>7338</v>
      </c>
      <c r="J1604" s="38" t="s">
        <v>15</v>
      </c>
      <c r="K1604" s="38" t="s">
        <v>7339</v>
      </c>
      <c r="L1604" s="38" t="s">
        <v>54</v>
      </c>
      <c r="M1604" s="37" t="s">
        <v>104</v>
      </c>
      <c r="N1604" s="39" t="n">
        <v>44439</v>
      </c>
      <c r="O1604" s="41" t="s">
        <v>23</v>
      </c>
      <c r="P1604" s="41" t="s">
        <v>105</v>
      </c>
      <c r="Q1604" s="42"/>
      <c r="R1604" s="41"/>
      <c r="S1604" s="42"/>
      <c r="T1604" s="41"/>
    </row>
    <row r="1605" customFormat="false" ht="13.5" hidden="false" customHeight="true" outlineLevel="0" collapsed="false">
      <c r="A1605" s="37" t="n">
        <v>1602</v>
      </c>
      <c r="B1605" s="37" t="n">
        <v>3995</v>
      </c>
      <c r="C1605" s="38" t="s">
        <v>7340</v>
      </c>
      <c r="D1605" s="37" t="s">
        <v>100</v>
      </c>
      <c r="E1605" s="39" t="n">
        <v>31178</v>
      </c>
      <c r="F1605" s="37" t="n">
        <f aca="true">IFERROR(DATEDIF(E1605,TODAY(),"Y"),"")</f>
        <v>41</v>
      </c>
      <c r="G1605" s="40" t="s">
        <v>7341</v>
      </c>
      <c r="H1605" s="40" t="s">
        <v>7342</v>
      </c>
      <c r="I1605" s="38" t="s">
        <v>7343</v>
      </c>
      <c r="J1605" s="38" t="s">
        <v>16</v>
      </c>
      <c r="K1605" s="38" t="s">
        <v>7344</v>
      </c>
      <c r="L1605" s="38" t="s">
        <v>53</v>
      </c>
      <c r="M1605" s="37" t="s">
        <v>177</v>
      </c>
      <c r="N1605" s="39" t="n">
        <v>44459</v>
      </c>
      <c r="O1605" s="41" t="s">
        <v>23</v>
      </c>
      <c r="P1605" s="41" t="s">
        <v>105</v>
      </c>
      <c r="Q1605" s="42"/>
      <c r="R1605" s="41"/>
      <c r="S1605" s="42"/>
      <c r="T1605" s="41"/>
    </row>
    <row r="1606" customFormat="false" ht="13.5" hidden="false" customHeight="true" outlineLevel="0" collapsed="false">
      <c r="A1606" s="37" t="n">
        <v>1603</v>
      </c>
      <c r="B1606" s="37" t="n">
        <v>3996</v>
      </c>
      <c r="C1606" s="38" t="s">
        <v>7345</v>
      </c>
      <c r="D1606" s="37" t="s">
        <v>100</v>
      </c>
      <c r="E1606" s="39" t="n">
        <v>32043</v>
      </c>
      <c r="F1606" s="37" t="n">
        <f aca="true">IFERROR(DATEDIF(E1606,TODAY(),"Y"),"")</f>
        <v>38</v>
      </c>
      <c r="G1606" s="40" t="s">
        <v>7346</v>
      </c>
      <c r="H1606" s="40"/>
      <c r="I1606" s="38" t="s">
        <v>7347</v>
      </c>
      <c r="J1606" s="38"/>
      <c r="K1606" s="38" t="s">
        <v>7348</v>
      </c>
      <c r="L1606" s="38" t="s">
        <v>53</v>
      </c>
      <c r="M1606" s="37" t="s">
        <v>120</v>
      </c>
      <c r="N1606" s="39" t="n">
        <v>44476</v>
      </c>
      <c r="O1606" s="41" t="s">
        <v>23</v>
      </c>
      <c r="P1606" s="41" t="s">
        <v>105</v>
      </c>
      <c r="Q1606" s="42"/>
      <c r="R1606" s="41"/>
      <c r="S1606" s="42"/>
      <c r="T1606" s="41"/>
    </row>
    <row r="1607" customFormat="false" ht="13.5" hidden="false" customHeight="true" outlineLevel="0" collapsed="false">
      <c r="A1607" s="37" t="n">
        <v>1604</v>
      </c>
      <c r="B1607" s="37" t="n">
        <v>3997</v>
      </c>
      <c r="C1607" s="38" t="s">
        <v>7349</v>
      </c>
      <c r="D1607" s="37" t="s">
        <v>100</v>
      </c>
      <c r="E1607" s="39" t="n">
        <v>35736</v>
      </c>
      <c r="F1607" s="37" t="n">
        <f aca="true">IFERROR(DATEDIF(E1607,TODAY(),"Y"),"")</f>
        <v>28</v>
      </c>
      <c r="G1607" s="40" t="s">
        <v>7350</v>
      </c>
      <c r="H1607" s="40"/>
      <c r="I1607" s="38" t="s">
        <v>7351</v>
      </c>
      <c r="J1607" s="38" t="s">
        <v>15</v>
      </c>
      <c r="K1607" s="38" t="s">
        <v>7352</v>
      </c>
      <c r="L1607" s="38" t="s">
        <v>47</v>
      </c>
      <c r="M1607" s="37" t="s">
        <v>104</v>
      </c>
      <c r="N1607" s="39" t="n">
        <v>44485</v>
      </c>
      <c r="O1607" s="41" t="s">
        <v>23</v>
      </c>
      <c r="P1607" s="41" t="s">
        <v>105</v>
      </c>
      <c r="Q1607" s="42"/>
      <c r="R1607" s="41"/>
      <c r="S1607" s="42"/>
      <c r="T1607" s="41"/>
    </row>
    <row r="1608" customFormat="false" ht="13.5" hidden="false" customHeight="true" outlineLevel="0" collapsed="false">
      <c r="A1608" s="37" t="n">
        <v>1605</v>
      </c>
      <c r="B1608" s="37" t="n">
        <v>3999</v>
      </c>
      <c r="C1608" s="38" t="s">
        <v>7353</v>
      </c>
      <c r="D1608" s="37" t="s">
        <v>100</v>
      </c>
      <c r="E1608" s="39" t="n">
        <v>25718</v>
      </c>
      <c r="F1608" s="37" t="n">
        <f aca="true">IFERROR(DATEDIF(E1608,TODAY(),"Y"),"")</f>
        <v>56</v>
      </c>
      <c r="G1608" s="40" t="s">
        <v>7354</v>
      </c>
      <c r="H1608" s="40"/>
      <c r="I1608" s="38" t="s">
        <v>7355</v>
      </c>
      <c r="J1608" s="38" t="s">
        <v>16</v>
      </c>
      <c r="K1608" s="38" t="s">
        <v>7356</v>
      </c>
      <c r="L1608" s="38" t="s">
        <v>47</v>
      </c>
      <c r="M1608" s="37" t="s">
        <v>104</v>
      </c>
      <c r="N1608" s="39" t="n">
        <v>44497</v>
      </c>
      <c r="O1608" s="41" t="s">
        <v>23</v>
      </c>
      <c r="P1608" s="41" t="s">
        <v>105</v>
      </c>
      <c r="Q1608" s="42"/>
      <c r="R1608" s="41"/>
      <c r="S1608" s="42"/>
      <c r="T1608" s="41"/>
    </row>
    <row r="1609" customFormat="false" ht="13.5" hidden="false" customHeight="true" outlineLevel="0" collapsed="false">
      <c r="A1609" s="37" t="n">
        <v>1606</v>
      </c>
      <c r="B1609" s="37" t="n">
        <v>4000</v>
      </c>
      <c r="C1609" s="38" t="s">
        <v>7357</v>
      </c>
      <c r="D1609" s="37" t="s">
        <v>100</v>
      </c>
      <c r="E1609" s="39" t="n">
        <v>29714</v>
      </c>
      <c r="F1609" s="37" t="n">
        <f aca="true">IFERROR(DATEDIF(E1609,TODAY(),"Y"),"")</f>
        <v>45</v>
      </c>
      <c r="G1609" s="40" t="s">
        <v>7358</v>
      </c>
      <c r="H1609" s="40" t="s">
        <v>7359</v>
      </c>
      <c r="I1609" s="38" t="s">
        <v>7360</v>
      </c>
      <c r="J1609" s="38"/>
      <c r="K1609" s="38" t="s">
        <v>7361</v>
      </c>
      <c r="L1609" s="38" t="s">
        <v>54</v>
      </c>
      <c r="M1609" s="37" t="s">
        <v>120</v>
      </c>
      <c r="N1609" s="39" t="n">
        <v>44497</v>
      </c>
      <c r="O1609" s="41" t="s">
        <v>23</v>
      </c>
      <c r="P1609" s="41" t="s">
        <v>105</v>
      </c>
      <c r="Q1609" s="42"/>
      <c r="R1609" s="41"/>
      <c r="S1609" s="42"/>
      <c r="T1609" s="41"/>
    </row>
    <row r="1610" customFormat="false" ht="13.5" hidden="false" customHeight="true" outlineLevel="0" collapsed="false">
      <c r="A1610" s="37" t="n">
        <v>1607</v>
      </c>
      <c r="B1610" s="37" t="n">
        <v>4001</v>
      </c>
      <c r="C1610" s="38" t="s">
        <v>7362</v>
      </c>
      <c r="D1610" s="37" t="s">
        <v>100</v>
      </c>
      <c r="E1610" s="39" t="n">
        <v>28246</v>
      </c>
      <c r="F1610" s="37" t="n">
        <f aca="true">IFERROR(DATEDIF(E1610,TODAY(),"Y"),"")</f>
        <v>49</v>
      </c>
      <c r="G1610" s="40" t="s">
        <v>7363</v>
      </c>
      <c r="H1610" s="40" t="s">
        <v>7364</v>
      </c>
      <c r="I1610" s="38" t="s">
        <v>7365</v>
      </c>
      <c r="J1610" s="38" t="s">
        <v>16</v>
      </c>
      <c r="K1610" s="38" t="s">
        <v>7366</v>
      </c>
      <c r="L1610" s="38" t="s">
        <v>55</v>
      </c>
      <c r="M1610" s="37" t="s">
        <v>120</v>
      </c>
      <c r="N1610" s="39" t="n">
        <v>44502</v>
      </c>
      <c r="O1610" s="41" t="s">
        <v>23</v>
      </c>
      <c r="P1610" s="41" t="s">
        <v>105</v>
      </c>
      <c r="Q1610" s="42"/>
      <c r="R1610" s="41"/>
      <c r="S1610" s="42"/>
      <c r="T1610" s="41"/>
    </row>
    <row r="1611" customFormat="false" ht="13.5" hidden="false" customHeight="true" outlineLevel="0" collapsed="false">
      <c r="A1611" s="37" t="n">
        <v>1608</v>
      </c>
      <c r="B1611" s="37" t="n">
        <v>4002</v>
      </c>
      <c r="C1611" s="38" t="s">
        <v>7367</v>
      </c>
      <c r="D1611" s="37" t="s">
        <v>100</v>
      </c>
      <c r="E1611" s="39" t="n">
        <v>29994</v>
      </c>
      <c r="F1611" s="37" t="n">
        <f aca="true">IFERROR(DATEDIF(E1611,TODAY(),"Y"),"")</f>
        <v>44</v>
      </c>
      <c r="G1611" s="40" t="s">
        <v>7368</v>
      </c>
      <c r="H1611" s="40" t="s">
        <v>7369</v>
      </c>
      <c r="I1611" s="38" t="s">
        <v>7370</v>
      </c>
      <c r="J1611" s="38" t="s">
        <v>15</v>
      </c>
      <c r="K1611" s="38" t="s">
        <v>7371</v>
      </c>
      <c r="L1611" s="43" t="s">
        <v>58</v>
      </c>
      <c r="M1611" s="37" t="s">
        <v>120</v>
      </c>
      <c r="N1611" s="39" t="n">
        <v>44506</v>
      </c>
      <c r="O1611" s="41" t="s">
        <v>23</v>
      </c>
      <c r="P1611" s="41" t="s">
        <v>105</v>
      </c>
      <c r="Q1611" s="42"/>
      <c r="R1611" s="41"/>
      <c r="S1611" s="42"/>
      <c r="T1611" s="41"/>
    </row>
    <row r="1612" customFormat="false" ht="13.5" hidden="false" customHeight="true" outlineLevel="0" collapsed="false">
      <c r="A1612" s="37" t="n">
        <v>1609</v>
      </c>
      <c r="B1612" s="37" t="n">
        <v>4003</v>
      </c>
      <c r="C1612" s="38" t="s">
        <v>7372</v>
      </c>
      <c r="D1612" s="37" t="s">
        <v>100</v>
      </c>
      <c r="E1612" s="39" t="n">
        <v>26436</v>
      </c>
      <c r="F1612" s="37" t="n">
        <f aca="true">IFERROR(DATEDIF(E1612,TODAY(),"Y"),"")</f>
        <v>54</v>
      </c>
      <c r="G1612" s="40" t="s">
        <v>7373</v>
      </c>
      <c r="H1612" s="40"/>
      <c r="I1612" s="38" t="s">
        <v>7374</v>
      </c>
      <c r="J1612" s="38" t="s">
        <v>16</v>
      </c>
      <c r="K1612" s="38" t="s">
        <v>7375</v>
      </c>
      <c r="L1612" s="38" t="s">
        <v>44</v>
      </c>
      <c r="M1612" s="37" t="s">
        <v>177</v>
      </c>
      <c r="N1612" s="39" t="n">
        <v>44513</v>
      </c>
      <c r="O1612" s="41" t="s">
        <v>23</v>
      </c>
      <c r="P1612" s="41" t="s">
        <v>105</v>
      </c>
      <c r="Q1612" s="42"/>
      <c r="R1612" s="41"/>
      <c r="S1612" s="42"/>
      <c r="T1612" s="41"/>
    </row>
    <row r="1613" customFormat="false" ht="13.5" hidden="false" customHeight="true" outlineLevel="0" collapsed="false">
      <c r="A1613" s="37" t="n">
        <v>1610</v>
      </c>
      <c r="B1613" s="37" t="n">
        <v>4004</v>
      </c>
      <c r="C1613" s="38" t="s">
        <v>7376</v>
      </c>
      <c r="D1613" s="37" t="s">
        <v>100</v>
      </c>
      <c r="E1613" s="39" t="n">
        <v>30680</v>
      </c>
      <c r="F1613" s="37" t="n">
        <f aca="true">IFERROR(DATEDIF(E1613,TODAY(),"Y"),"")</f>
        <v>42</v>
      </c>
      <c r="G1613" s="40" t="s">
        <v>7377</v>
      </c>
      <c r="H1613" s="40" t="s">
        <v>7378</v>
      </c>
      <c r="I1613" s="38" t="s">
        <v>7379</v>
      </c>
      <c r="J1613" s="38" t="s">
        <v>16</v>
      </c>
      <c r="K1613" s="38" t="s">
        <v>7380</v>
      </c>
      <c r="L1613" s="38" t="s">
        <v>46</v>
      </c>
      <c r="M1613" s="37" t="s">
        <v>120</v>
      </c>
      <c r="N1613" s="39" t="n">
        <v>44514</v>
      </c>
      <c r="O1613" s="41" t="s">
        <v>23</v>
      </c>
      <c r="P1613" s="41" t="s">
        <v>105</v>
      </c>
      <c r="Q1613" s="42"/>
      <c r="R1613" s="41"/>
      <c r="S1613" s="42"/>
      <c r="T1613" s="41"/>
    </row>
    <row r="1614" customFormat="false" ht="13.5" hidden="false" customHeight="true" outlineLevel="0" collapsed="false">
      <c r="A1614" s="37" t="n">
        <v>1611</v>
      </c>
      <c r="B1614" s="37" t="n">
        <v>4005</v>
      </c>
      <c r="C1614" s="38" t="s">
        <v>7381</v>
      </c>
      <c r="D1614" s="37" t="s">
        <v>100</v>
      </c>
      <c r="E1614" s="39" t="n">
        <v>24499</v>
      </c>
      <c r="F1614" s="37" t="n">
        <f aca="true">IFERROR(DATEDIF(E1614,TODAY(),"Y"),"")</f>
        <v>59</v>
      </c>
      <c r="G1614" s="40" t="s">
        <v>7382</v>
      </c>
      <c r="H1614" s="40" t="s">
        <v>7383</v>
      </c>
      <c r="I1614" s="38" t="s">
        <v>7384</v>
      </c>
      <c r="J1614" s="38" t="s">
        <v>15</v>
      </c>
      <c r="K1614" s="38" t="s">
        <v>7385</v>
      </c>
      <c r="L1614" s="38" t="s">
        <v>52</v>
      </c>
      <c r="M1614" s="37" t="s">
        <v>120</v>
      </c>
      <c r="N1614" s="39" t="n">
        <v>44517</v>
      </c>
      <c r="O1614" s="41" t="s">
        <v>23</v>
      </c>
      <c r="P1614" s="41" t="s">
        <v>105</v>
      </c>
      <c r="Q1614" s="42"/>
      <c r="R1614" s="41"/>
      <c r="S1614" s="42"/>
      <c r="T1614" s="41"/>
    </row>
    <row r="1615" customFormat="false" ht="13.5" hidden="false" customHeight="true" outlineLevel="0" collapsed="false">
      <c r="A1615" s="37" t="n">
        <v>1612</v>
      </c>
      <c r="B1615" s="37" t="n">
        <v>4006</v>
      </c>
      <c r="C1615" s="38" t="s">
        <v>7386</v>
      </c>
      <c r="D1615" s="37" t="s">
        <v>100</v>
      </c>
      <c r="E1615" s="39" t="n">
        <v>29904</v>
      </c>
      <c r="F1615" s="37" t="n">
        <f aca="true">IFERROR(DATEDIF(E1615,TODAY(),"Y"),"")</f>
        <v>44</v>
      </c>
      <c r="G1615" s="40" t="s">
        <v>7387</v>
      </c>
      <c r="H1615" s="40" t="s">
        <v>7388</v>
      </c>
      <c r="I1615" s="38" t="s">
        <v>7389</v>
      </c>
      <c r="J1615" s="38" t="s">
        <v>15</v>
      </c>
      <c r="K1615" s="38" t="s">
        <v>7390</v>
      </c>
      <c r="L1615" s="38" t="s">
        <v>57</v>
      </c>
      <c r="M1615" s="37" t="s">
        <v>120</v>
      </c>
      <c r="N1615" s="39" t="n">
        <v>44539</v>
      </c>
      <c r="O1615" s="41" t="s">
        <v>23</v>
      </c>
      <c r="P1615" s="41" t="s">
        <v>105</v>
      </c>
      <c r="Q1615" s="42"/>
      <c r="R1615" s="41"/>
      <c r="S1615" s="42"/>
      <c r="T1615" s="41"/>
    </row>
    <row r="1616" customFormat="false" ht="13.5" hidden="false" customHeight="true" outlineLevel="0" collapsed="false">
      <c r="A1616" s="37" t="n">
        <v>1613</v>
      </c>
      <c r="B1616" s="37" t="n">
        <v>4007</v>
      </c>
      <c r="C1616" s="38" t="s">
        <v>7391</v>
      </c>
      <c r="D1616" s="37" t="s">
        <v>100</v>
      </c>
      <c r="E1616" s="39" t="n">
        <v>36690</v>
      </c>
      <c r="F1616" s="37" t="n">
        <f aca="true">IFERROR(DATEDIF(E1616,TODAY(),"Y"),"")</f>
        <v>26</v>
      </c>
      <c r="G1616" s="40" t="s">
        <v>7392</v>
      </c>
      <c r="H1616" s="40"/>
      <c r="I1616" s="38" t="s">
        <v>7393</v>
      </c>
      <c r="J1616" s="38" t="s">
        <v>15</v>
      </c>
      <c r="K1616" s="38" t="s">
        <v>7394</v>
      </c>
      <c r="L1616" s="38" t="s">
        <v>54</v>
      </c>
      <c r="M1616" s="37" t="s">
        <v>104</v>
      </c>
      <c r="N1616" s="39" t="n">
        <v>44539</v>
      </c>
      <c r="O1616" s="41" t="s">
        <v>23</v>
      </c>
      <c r="P1616" s="41" t="s">
        <v>105</v>
      </c>
      <c r="Q1616" s="42"/>
      <c r="R1616" s="41"/>
      <c r="S1616" s="42"/>
      <c r="T1616" s="41"/>
    </row>
    <row r="1617" customFormat="false" ht="13.5" hidden="false" customHeight="true" outlineLevel="0" collapsed="false">
      <c r="A1617" s="37" t="n">
        <v>1614</v>
      </c>
      <c r="B1617" s="37" t="n">
        <v>4008</v>
      </c>
      <c r="C1617" s="38" t="s">
        <v>7395</v>
      </c>
      <c r="D1617" s="37" t="s">
        <v>100</v>
      </c>
      <c r="E1617" s="39" t="n">
        <v>26814</v>
      </c>
      <c r="F1617" s="37" t="n">
        <f aca="true">IFERROR(DATEDIF(E1617,TODAY(),"Y"),"")</f>
        <v>53</v>
      </c>
      <c r="G1617" s="40" t="s">
        <v>7396</v>
      </c>
      <c r="H1617" s="40"/>
      <c r="I1617" s="38" t="s">
        <v>7397</v>
      </c>
      <c r="J1617" s="38" t="s">
        <v>15</v>
      </c>
      <c r="K1617" s="38" t="s">
        <v>7398</v>
      </c>
      <c r="L1617" s="38" t="s">
        <v>55</v>
      </c>
      <c r="M1617" s="37" t="s">
        <v>120</v>
      </c>
      <c r="N1617" s="39" t="n">
        <v>44539</v>
      </c>
      <c r="O1617" s="41" t="s">
        <v>23</v>
      </c>
      <c r="P1617" s="41" t="s">
        <v>105</v>
      </c>
      <c r="Q1617" s="42"/>
      <c r="R1617" s="41"/>
      <c r="S1617" s="42"/>
      <c r="T1617" s="41"/>
    </row>
    <row r="1618" customFormat="false" ht="13.5" hidden="false" customHeight="true" outlineLevel="0" collapsed="false">
      <c r="A1618" s="37" t="n">
        <v>1615</v>
      </c>
      <c r="B1618" s="37" t="n">
        <v>4009</v>
      </c>
      <c r="C1618" s="38" t="s">
        <v>7399</v>
      </c>
      <c r="D1618" s="37" t="s">
        <v>100</v>
      </c>
      <c r="E1618" s="39" t="n">
        <v>31614</v>
      </c>
      <c r="F1618" s="37" t="n">
        <f aca="true">IFERROR(DATEDIF(E1618,TODAY(),"Y"),"")</f>
        <v>40</v>
      </c>
      <c r="G1618" s="40" t="s">
        <v>7400</v>
      </c>
      <c r="H1618" s="40"/>
      <c r="I1618" s="38" t="s">
        <v>7401</v>
      </c>
      <c r="J1618" s="38" t="s">
        <v>15</v>
      </c>
      <c r="K1618" s="38" t="s">
        <v>7402</v>
      </c>
      <c r="L1618" s="38" t="s">
        <v>47</v>
      </c>
      <c r="M1618" s="37" t="s">
        <v>120</v>
      </c>
      <c r="N1618" s="39" t="n">
        <v>44539</v>
      </c>
      <c r="O1618" s="41" t="s">
        <v>23</v>
      </c>
      <c r="P1618" s="41" t="s">
        <v>105</v>
      </c>
      <c r="Q1618" s="42"/>
      <c r="R1618" s="41"/>
      <c r="S1618" s="42"/>
      <c r="T1618" s="41"/>
    </row>
    <row r="1619" customFormat="false" ht="13.5" hidden="false" customHeight="true" outlineLevel="0" collapsed="false">
      <c r="A1619" s="37" t="n">
        <v>1616</v>
      </c>
      <c r="B1619" s="37" t="n">
        <v>4010</v>
      </c>
      <c r="C1619" s="38" t="s">
        <v>7403</v>
      </c>
      <c r="D1619" s="37" t="s">
        <v>100</v>
      </c>
      <c r="E1619" s="39" t="n">
        <v>32244</v>
      </c>
      <c r="F1619" s="37" t="n">
        <f aca="true">IFERROR(DATEDIF(E1619,TODAY(),"Y"),"")</f>
        <v>38</v>
      </c>
      <c r="G1619" s="40" t="s">
        <v>7404</v>
      </c>
      <c r="H1619" s="40"/>
      <c r="I1619" s="38" t="s">
        <v>7405</v>
      </c>
      <c r="J1619" s="38" t="s">
        <v>18</v>
      </c>
      <c r="K1619" s="38" t="s">
        <v>7406</v>
      </c>
      <c r="L1619" s="38" t="s">
        <v>55</v>
      </c>
      <c r="M1619" s="37" t="s">
        <v>177</v>
      </c>
      <c r="N1619" s="39" t="n">
        <v>44545</v>
      </c>
      <c r="O1619" s="41" t="s">
        <v>23</v>
      </c>
      <c r="P1619" s="41" t="s">
        <v>105</v>
      </c>
      <c r="Q1619" s="42"/>
      <c r="R1619" s="41"/>
      <c r="S1619" s="42"/>
      <c r="T1619" s="41"/>
    </row>
    <row r="1620" customFormat="false" ht="13.5" hidden="false" customHeight="true" outlineLevel="0" collapsed="false">
      <c r="A1620" s="37" t="n">
        <v>1617</v>
      </c>
      <c r="B1620" s="37" t="n">
        <v>4011</v>
      </c>
      <c r="C1620" s="38" t="s">
        <v>7407</v>
      </c>
      <c r="D1620" s="37" t="s">
        <v>100</v>
      </c>
      <c r="E1620" s="39" t="n">
        <v>26442</v>
      </c>
      <c r="F1620" s="37" t="n">
        <f aca="true">IFERROR(DATEDIF(E1620,TODAY(),"Y"),"")</f>
        <v>54</v>
      </c>
      <c r="G1620" s="40" t="s">
        <v>7408</v>
      </c>
      <c r="H1620" s="40" t="s">
        <v>7409</v>
      </c>
      <c r="I1620" s="38" t="s">
        <v>7410</v>
      </c>
      <c r="J1620" s="38" t="s">
        <v>16</v>
      </c>
      <c r="K1620" s="38" t="s">
        <v>7411</v>
      </c>
      <c r="L1620" s="38" t="s">
        <v>46</v>
      </c>
      <c r="M1620" s="37" t="s">
        <v>177</v>
      </c>
      <c r="N1620" s="39" t="n">
        <v>44545</v>
      </c>
      <c r="O1620" s="41" t="s">
        <v>23</v>
      </c>
      <c r="P1620" s="41" t="s">
        <v>105</v>
      </c>
      <c r="Q1620" s="42"/>
      <c r="R1620" s="41"/>
      <c r="S1620" s="42"/>
      <c r="T1620" s="41"/>
    </row>
    <row r="1621" customFormat="false" ht="13.5" hidden="false" customHeight="true" outlineLevel="0" collapsed="false">
      <c r="A1621" s="37" t="n">
        <v>1618</v>
      </c>
      <c r="B1621" s="37" t="n">
        <v>4012</v>
      </c>
      <c r="C1621" s="38" t="s">
        <v>7412</v>
      </c>
      <c r="D1621" s="37" t="s">
        <v>100</v>
      </c>
      <c r="E1621" s="39" t="n">
        <v>26155</v>
      </c>
      <c r="F1621" s="37" t="n">
        <f aca="true">IFERROR(DATEDIF(E1621,TODAY(),"Y"),"")</f>
        <v>55</v>
      </c>
      <c r="G1621" s="40" t="s">
        <v>7413</v>
      </c>
      <c r="H1621" s="40" t="s">
        <v>7414</v>
      </c>
      <c r="I1621" s="38" t="s">
        <v>7415</v>
      </c>
      <c r="J1621" s="38" t="s">
        <v>16</v>
      </c>
      <c r="K1621" s="38" t="s">
        <v>7416</v>
      </c>
      <c r="L1621" s="38" t="s">
        <v>55</v>
      </c>
      <c r="M1621" s="37" t="s">
        <v>120</v>
      </c>
      <c r="N1621" s="39" t="n">
        <v>44559</v>
      </c>
      <c r="O1621" s="41" t="s">
        <v>23</v>
      </c>
      <c r="P1621" s="41" t="s">
        <v>105</v>
      </c>
      <c r="Q1621" s="42"/>
      <c r="R1621" s="41"/>
      <c r="S1621" s="42"/>
      <c r="T1621" s="41"/>
    </row>
    <row r="1622" customFormat="false" ht="13.5" hidden="false" customHeight="true" outlineLevel="0" collapsed="false">
      <c r="A1622" s="37" t="n">
        <v>1619</v>
      </c>
      <c r="B1622" s="37" t="n">
        <v>4013</v>
      </c>
      <c r="C1622" s="38" t="s">
        <v>7417</v>
      </c>
      <c r="D1622" s="37" t="s">
        <v>100</v>
      </c>
      <c r="E1622" s="39" t="n">
        <v>29348</v>
      </c>
      <c r="F1622" s="37" t="n">
        <f aca="true">IFERROR(DATEDIF(E1622,TODAY(),"Y"),"")</f>
        <v>46</v>
      </c>
      <c r="G1622" s="40" t="s">
        <v>7418</v>
      </c>
      <c r="H1622" s="40" t="s">
        <v>7419</v>
      </c>
      <c r="I1622" s="38" t="s">
        <v>7420</v>
      </c>
      <c r="J1622" s="38" t="s">
        <v>15</v>
      </c>
      <c r="K1622" s="38" t="s">
        <v>7421</v>
      </c>
      <c r="L1622" s="38" t="s">
        <v>51</v>
      </c>
      <c r="M1622" s="37" t="s">
        <v>177</v>
      </c>
      <c r="N1622" s="39" t="n">
        <v>44566</v>
      </c>
      <c r="O1622" s="41" t="s">
        <v>23</v>
      </c>
      <c r="P1622" s="41" t="s">
        <v>105</v>
      </c>
      <c r="Q1622" s="42"/>
      <c r="R1622" s="41"/>
      <c r="S1622" s="42"/>
      <c r="T1622" s="41"/>
    </row>
    <row r="1623" customFormat="false" ht="13.5" hidden="false" customHeight="true" outlineLevel="0" collapsed="false">
      <c r="A1623" s="37" t="n">
        <v>1620</v>
      </c>
      <c r="B1623" s="37" t="n">
        <v>4014</v>
      </c>
      <c r="C1623" s="38" t="s">
        <v>7422</v>
      </c>
      <c r="D1623" s="37" t="s">
        <v>100</v>
      </c>
      <c r="E1623" s="39" t="n">
        <v>25354</v>
      </c>
      <c r="F1623" s="37" t="n">
        <f aca="true">IFERROR(DATEDIF(E1623,TODAY(),"Y"),"")</f>
        <v>57</v>
      </c>
      <c r="G1623" s="40" t="s">
        <v>7423</v>
      </c>
      <c r="H1623" s="40"/>
      <c r="I1623" s="38" t="s">
        <v>7424</v>
      </c>
      <c r="J1623" s="38" t="s">
        <v>15</v>
      </c>
      <c r="K1623" s="38" t="s">
        <v>7425</v>
      </c>
      <c r="L1623" s="38" t="s">
        <v>43</v>
      </c>
      <c r="M1623" s="37" t="s">
        <v>177</v>
      </c>
      <c r="N1623" s="39" t="n">
        <v>44566</v>
      </c>
      <c r="O1623" s="41" t="s">
        <v>23</v>
      </c>
      <c r="P1623" s="41" t="s">
        <v>105</v>
      </c>
      <c r="Q1623" s="42"/>
      <c r="R1623" s="41"/>
      <c r="S1623" s="42"/>
      <c r="T1623" s="41"/>
    </row>
    <row r="1624" customFormat="false" ht="13.5" hidden="false" customHeight="true" outlineLevel="0" collapsed="false">
      <c r="A1624" s="37" t="n">
        <v>1621</v>
      </c>
      <c r="B1624" s="37" t="n">
        <v>4015</v>
      </c>
      <c r="C1624" s="38" t="s">
        <v>7426</v>
      </c>
      <c r="D1624" s="37" t="s">
        <v>100</v>
      </c>
      <c r="E1624" s="39" t="n">
        <v>24889</v>
      </c>
      <c r="F1624" s="37" t="n">
        <f aca="true">IFERROR(DATEDIF(E1624,TODAY(),"Y"),"")</f>
        <v>58</v>
      </c>
      <c r="G1624" s="40" t="s">
        <v>7427</v>
      </c>
      <c r="H1624" s="40" t="s">
        <v>7428</v>
      </c>
      <c r="I1624" s="38" t="s">
        <v>7429</v>
      </c>
      <c r="J1624" s="38" t="s">
        <v>16</v>
      </c>
      <c r="K1624" s="38" t="s">
        <v>7430</v>
      </c>
      <c r="L1624" s="38" t="s">
        <v>45</v>
      </c>
      <c r="M1624" s="37" t="s">
        <v>120</v>
      </c>
      <c r="N1624" s="39" t="n">
        <v>44574</v>
      </c>
      <c r="O1624" s="41" t="s">
        <v>23</v>
      </c>
      <c r="P1624" s="41" t="s">
        <v>105</v>
      </c>
      <c r="Q1624" s="42"/>
      <c r="R1624" s="41"/>
      <c r="S1624" s="42"/>
      <c r="T1624" s="41"/>
    </row>
    <row r="1625" customFormat="false" ht="13.5" hidden="false" customHeight="true" outlineLevel="0" collapsed="false">
      <c r="A1625" s="37" t="n">
        <v>1622</v>
      </c>
      <c r="B1625" s="37" t="n">
        <v>4016</v>
      </c>
      <c r="C1625" s="38" t="s">
        <v>7431</v>
      </c>
      <c r="D1625" s="37" t="s">
        <v>100</v>
      </c>
      <c r="E1625" s="39" t="n">
        <v>30380</v>
      </c>
      <c r="F1625" s="37" t="n">
        <f aca="true">IFERROR(DATEDIF(E1625,TODAY(),"Y"),"")</f>
        <v>43</v>
      </c>
      <c r="G1625" s="40" t="s">
        <v>7432</v>
      </c>
      <c r="H1625" s="40" t="s">
        <v>7433</v>
      </c>
      <c r="I1625" s="38" t="s">
        <v>7434</v>
      </c>
      <c r="J1625" s="38" t="s">
        <v>16</v>
      </c>
      <c r="K1625" s="38" t="s">
        <v>7435</v>
      </c>
      <c r="L1625" s="38" t="s">
        <v>47</v>
      </c>
      <c r="M1625" s="37" t="s">
        <v>120</v>
      </c>
      <c r="N1625" s="39" t="n">
        <v>44574</v>
      </c>
      <c r="O1625" s="41" t="s">
        <v>23</v>
      </c>
      <c r="P1625" s="41" t="s">
        <v>105</v>
      </c>
      <c r="Q1625" s="42"/>
      <c r="R1625" s="41"/>
      <c r="S1625" s="42"/>
      <c r="T1625" s="41"/>
    </row>
    <row r="1626" customFormat="false" ht="13.5" hidden="false" customHeight="true" outlineLevel="0" collapsed="false">
      <c r="A1626" s="37" t="n">
        <v>1623</v>
      </c>
      <c r="B1626" s="37" t="n">
        <v>4017</v>
      </c>
      <c r="C1626" s="38" t="s">
        <v>7436</v>
      </c>
      <c r="D1626" s="37" t="s">
        <v>100</v>
      </c>
      <c r="E1626" s="39" t="n">
        <v>27159</v>
      </c>
      <c r="F1626" s="37" t="n">
        <f aca="true">IFERROR(DATEDIF(E1626,TODAY(),"Y"),"")</f>
        <v>52</v>
      </c>
      <c r="G1626" s="40" t="s">
        <v>7437</v>
      </c>
      <c r="H1626" s="40" t="s">
        <v>7438</v>
      </c>
      <c r="I1626" s="38" t="s">
        <v>7439</v>
      </c>
      <c r="J1626" s="38" t="s">
        <v>16</v>
      </c>
      <c r="K1626" s="38" t="s">
        <v>7440</v>
      </c>
      <c r="L1626" s="38" t="s">
        <v>47</v>
      </c>
      <c r="M1626" s="37" t="s">
        <v>177</v>
      </c>
      <c r="N1626" s="39" t="n">
        <v>44582</v>
      </c>
      <c r="O1626" s="41" t="s">
        <v>23</v>
      </c>
      <c r="P1626" s="41" t="s">
        <v>105</v>
      </c>
      <c r="Q1626" s="42"/>
      <c r="R1626" s="41"/>
      <c r="S1626" s="42"/>
      <c r="T1626" s="41"/>
    </row>
    <row r="1627" customFormat="false" ht="13.5" hidden="false" customHeight="true" outlineLevel="0" collapsed="false">
      <c r="A1627" s="37" t="n">
        <v>1624</v>
      </c>
      <c r="B1627" s="37" t="n">
        <v>4018</v>
      </c>
      <c r="C1627" s="38" t="s">
        <v>7441</v>
      </c>
      <c r="D1627" s="37" t="s">
        <v>100</v>
      </c>
      <c r="E1627" s="39" t="n">
        <v>32449</v>
      </c>
      <c r="F1627" s="37" t="n">
        <f aca="true">IFERROR(DATEDIF(E1627,TODAY(),"Y"),"")</f>
        <v>37</v>
      </c>
      <c r="G1627" s="40" t="s">
        <v>7442</v>
      </c>
      <c r="H1627" s="40"/>
      <c r="I1627" s="38" t="s">
        <v>7443</v>
      </c>
      <c r="J1627" s="38" t="s">
        <v>15</v>
      </c>
      <c r="K1627" s="38" t="s">
        <v>7444</v>
      </c>
      <c r="L1627" s="38" t="s">
        <v>55</v>
      </c>
      <c r="M1627" s="37" t="s">
        <v>231</v>
      </c>
      <c r="N1627" s="39" t="n">
        <v>44585</v>
      </c>
      <c r="O1627" s="41" t="s">
        <v>23</v>
      </c>
      <c r="P1627" s="41" t="s">
        <v>105</v>
      </c>
      <c r="Q1627" s="42"/>
      <c r="R1627" s="41"/>
      <c r="S1627" s="42"/>
      <c r="T1627" s="41"/>
    </row>
    <row r="1628" customFormat="false" ht="13.5" hidden="false" customHeight="true" outlineLevel="0" collapsed="false">
      <c r="A1628" s="37" t="n">
        <v>1625</v>
      </c>
      <c r="B1628" s="37" t="n">
        <v>4019</v>
      </c>
      <c r="C1628" s="38" t="s">
        <v>7445</v>
      </c>
      <c r="D1628" s="37" t="s">
        <v>100</v>
      </c>
      <c r="E1628" s="39" t="n">
        <v>26339</v>
      </c>
      <c r="F1628" s="37" t="n">
        <f aca="true">IFERROR(DATEDIF(E1628,TODAY(),"Y"),"")</f>
        <v>54</v>
      </c>
      <c r="G1628" s="40" t="s">
        <v>7446</v>
      </c>
      <c r="H1628" s="40"/>
      <c r="I1628" s="38" t="s">
        <v>7447</v>
      </c>
      <c r="J1628" s="38" t="s">
        <v>16</v>
      </c>
      <c r="K1628" s="38" t="s">
        <v>7448</v>
      </c>
      <c r="L1628" s="38" t="s">
        <v>52</v>
      </c>
      <c r="M1628" s="37" t="s">
        <v>120</v>
      </c>
      <c r="N1628" s="39" t="n">
        <v>44588</v>
      </c>
      <c r="O1628" s="41" t="s">
        <v>23</v>
      </c>
      <c r="P1628" s="41" t="s">
        <v>105</v>
      </c>
      <c r="Q1628" s="42"/>
      <c r="R1628" s="41"/>
      <c r="S1628" s="42"/>
      <c r="T1628" s="41"/>
    </row>
    <row r="1629" customFormat="false" ht="13.5" hidden="false" customHeight="true" outlineLevel="0" collapsed="false">
      <c r="A1629" s="37" t="n">
        <v>1626</v>
      </c>
      <c r="B1629" s="37" t="n">
        <v>4020</v>
      </c>
      <c r="C1629" s="38" t="s">
        <v>7449</v>
      </c>
      <c r="D1629" s="37" t="s">
        <v>100</v>
      </c>
      <c r="E1629" s="39" t="n">
        <v>26439</v>
      </c>
      <c r="F1629" s="37" t="n">
        <f aca="true">IFERROR(DATEDIF(E1629,TODAY(),"Y"),"")</f>
        <v>54</v>
      </c>
      <c r="G1629" s="40" t="s">
        <v>7450</v>
      </c>
      <c r="H1629" s="40" t="s">
        <v>7451</v>
      </c>
      <c r="I1629" s="38" t="s">
        <v>7452</v>
      </c>
      <c r="J1629" s="38" t="s">
        <v>16</v>
      </c>
      <c r="K1629" s="38" t="s">
        <v>7453</v>
      </c>
      <c r="L1629" s="38" t="s">
        <v>43</v>
      </c>
      <c r="M1629" s="37" t="s">
        <v>120</v>
      </c>
      <c r="N1629" s="39" t="n">
        <v>44588</v>
      </c>
      <c r="O1629" s="41" t="s">
        <v>23</v>
      </c>
      <c r="P1629" s="41" t="s">
        <v>105</v>
      </c>
      <c r="Q1629" s="42"/>
      <c r="R1629" s="41"/>
      <c r="S1629" s="42"/>
      <c r="T1629" s="41"/>
    </row>
    <row r="1630" customFormat="false" ht="13.5" hidden="false" customHeight="true" outlineLevel="0" collapsed="false">
      <c r="A1630" s="37" t="n">
        <v>1627</v>
      </c>
      <c r="B1630" s="37" t="n">
        <v>4021</v>
      </c>
      <c r="C1630" s="38" t="s">
        <v>7454</v>
      </c>
      <c r="D1630" s="37" t="s">
        <v>100</v>
      </c>
      <c r="E1630" s="39" t="n">
        <v>26065</v>
      </c>
      <c r="F1630" s="37" t="n">
        <f aca="true">IFERROR(DATEDIF(E1630,TODAY(),"Y"),"")</f>
        <v>55</v>
      </c>
      <c r="G1630" s="40" t="s">
        <v>7455</v>
      </c>
      <c r="H1630" s="40"/>
      <c r="I1630" s="38" t="s">
        <v>7456</v>
      </c>
      <c r="J1630" s="38" t="s">
        <v>15</v>
      </c>
      <c r="K1630" s="38" t="s">
        <v>7457</v>
      </c>
      <c r="L1630" s="38" t="s">
        <v>54</v>
      </c>
      <c r="M1630" s="37" t="s">
        <v>120</v>
      </c>
      <c r="N1630" s="39" t="n">
        <v>44588</v>
      </c>
      <c r="O1630" s="41" t="s">
        <v>23</v>
      </c>
      <c r="P1630" s="41" t="s">
        <v>105</v>
      </c>
      <c r="Q1630" s="42"/>
      <c r="R1630" s="41"/>
      <c r="S1630" s="42"/>
      <c r="T1630" s="41"/>
    </row>
    <row r="1631" customFormat="false" ht="13.5" hidden="false" customHeight="true" outlineLevel="0" collapsed="false">
      <c r="A1631" s="37" t="n">
        <v>1628</v>
      </c>
      <c r="B1631" s="37" t="n">
        <v>4022</v>
      </c>
      <c r="C1631" s="38" t="s">
        <v>7458</v>
      </c>
      <c r="D1631" s="37" t="s">
        <v>100</v>
      </c>
      <c r="E1631" s="39" t="n">
        <v>28637</v>
      </c>
      <c r="F1631" s="37" t="n">
        <f aca="true">IFERROR(DATEDIF(E1631,TODAY(),"Y"),"")</f>
        <v>48</v>
      </c>
      <c r="G1631" s="40" t="s">
        <v>7459</v>
      </c>
      <c r="H1631" s="40" t="s">
        <v>7460</v>
      </c>
      <c r="I1631" s="38" t="s">
        <v>7461</v>
      </c>
      <c r="J1631" s="38" t="s">
        <v>15</v>
      </c>
      <c r="K1631" s="38" t="s">
        <v>7462</v>
      </c>
      <c r="L1631" s="38" t="s">
        <v>47</v>
      </c>
      <c r="M1631" s="37" t="s">
        <v>104</v>
      </c>
      <c r="N1631" s="39" t="n">
        <v>44597</v>
      </c>
      <c r="O1631" s="41" t="s">
        <v>23</v>
      </c>
      <c r="P1631" s="41" t="s">
        <v>105</v>
      </c>
      <c r="Q1631" s="42"/>
      <c r="R1631" s="41"/>
      <c r="S1631" s="42"/>
      <c r="T1631" s="41"/>
    </row>
    <row r="1632" customFormat="false" ht="13.5" hidden="false" customHeight="true" outlineLevel="0" collapsed="false">
      <c r="A1632" s="37" t="n">
        <v>1629</v>
      </c>
      <c r="B1632" s="37" t="n">
        <v>4023</v>
      </c>
      <c r="C1632" s="38" t="s">
        <v>7463</v>
      </c>
      <c r="D1632" s="37" t="s">
        <v>100</v>
      </c>
      <c r="E1632" s="39" t="n">
        <v>28403</v>
      </c>
      <c r="F1632" s="37" t="n">
        <f aca="true">IFERROR(DATEDIF(E1632,TODAY(),"Y"),"")</f>
        <v>48</v>
      </c>
      <c r="G1632" s="40" t="s">
        <v>7464</v>
      </c>
      <c r="H1632" s="40"/>
      <c r="I1632" s="38" t="s">
        <v>7465</v>
      </c>
      <c r="J1632" s="38" t="s">
        <v>16</v>
      </c>
      <c r="K1632" s="38" t="s">
        <v>7466</v>
      </c>
      <c r="L1632" s="38" t="s">
        <v>50</v>
      </c>
      <c r="M1632" s="37"/>
      <c r="N1632" s="39" t="n">
        <v>44599</v>
      </c>
      <c r="O1632" s="41" t="s">
        <v>23</v>
      </c>
      <c r="P1632" s="41" t="s">
        <v>105</v>
      </c>
      <c r="Q1632" s="42"/>
      <c r="R1632" s="41"/>
      <c r="S1632" s="42"/>
      <c r="T1632" s="41"/>
    </row>
    <row r="1633" customFormat="false" ht="13.5" hidden="false" customHeight="true" outlineLevel="0" collapsed="false">
      <c r="A1633" s="37" t="n">
        <v>1630</v>
      </c>
      <c r="B1633" s="37" t="n">
        <v>4024</v>
      </c>
      <c r="C1633" s="38" t="s">
        <v>7467</v>
      </c>
      <c r="D1633" s="37" t="s">
        <v>100</v>
      </c>
      <c r="E1633" s="39" t="n">
        <v>25668</v>
      </c>
      <c r="F1633" s="37" t="n">
        <f aca="true">IFERROR(DATEDIF(E1633,TODAY(),"Y"),"")</f>
        <v>56</v>
      </c>
      <c r="G1633" s="40" t="s">
        <v>7468</v>
      </c>
      <c r="H1633" s="40" t="s">
        <v>7469</v>
      </c>
      <c r="I1633" s="38" t="s">
        <v>7470</v>
      </c>
      <c r="J1633" s="38" t="s">
        <v>15</v>
      </c>
      <c r="K1633" s="38" t="s">
        <v>7471</v>
      </c>
      <c r="L1633" s="38" t="s">
        <v>55</v>
      </c>
      <c r="M1633" s="37" t="s">
        <v>104</v>
      </c>
      <c r="N1633" s="39" t="n">
        <v>44600</v>
      </c>
      <c r="O1633" s="41" t="s">
        <v>23</v>
      </c>
      <c r="P1633" s="41" t="s">
        <v>105</v>
      </c>
      <c r="Q1633" s="42"/>
      <c r="R1633" s="41"/>
      <c r="S1633" s="42"/>
      <c r="T1633" s="41"/>
    </row>
    <row r="1634" customFormat="false" ht="13.5" hidden="false" customHeight="true" outlineLevel="0" collapsed="false">
      <c r="A1634" s="37" t="n">
        <v>1631</v>
      </c>
      <c r="B1634" s="37" t="n">
        <v>4025</v>
      </c>
      <c r="C1634" s="38" t="s">
        <v>7472</v>
      </c>
      <c r="D1634" s="37" t="s">
        <v>100</v>
      </c>
      <c r="E1634" s="39" t="n">
        <v>32624</v>
      </c>
      <c r="F1634" s="37" t="n">
        <f aca="true">IFERROR(DATEDIF(E1634,TODAY(),"Y"),"")</f>
        <v>37</v>
      </c>
      <c r="G1634" s="40" t="s">
        <v>7473</v>
      </c>
      <c r="H1634" s="40" t="s">
        <v>7474</v>
      </c>
      <c r="I1634" s="38" t="s">
        <v>7475</v>
      </c>
      <c r="J1634" s="38"/>
      <c r="K1634" s="38" t="s">
        <v>7476</v>
      </c>
      <c r="L1634" s="38" t="s">
        <v>55</v>
      </c>
      <c r="M1634" s="37" t="s">
        <v>104</v>
      </c>
      <c r="N1634" s="39" t="n">
        <v>44603</v>
      </c>
      <c r="O1634" s="41" t="s">
        <v>23</v>
      </c>
      <c r="P1634" s="41" t="s">
        <v>105</v>
      </c>
      <c r="Q1634" s="42"/>
      <c r="R1634" s="41"/>
      <c r="S1634" s="42"/>
      <c r="T1634" s="41"/>
    </row>
    <row r="1635" customFormat="false" ht="13.5" hidden="false" customHeight="true" outlineLevel="0" collapsed="false">
      <c r="A1635" s="37" t="n">
        <v>1632</v>
      </c>
      <c r="B1635" s="37" t="n">
        <v>4026</v>
      </c>
      <c r="C1635" s="38" t="s">
        <v>7477</v>
      </c>
      <c r="D1635" s="37" t="s">
        <v>100</v>
      </c>
      <c r="E1635" s="39" t="n">
        <v>20455</v>
      </c>
      <c r="F1635" s="37" t="n">
        <f aca="true">IFERROR(DATEDIF(E1635,TODAY(),"Y"),"")</f>
        <v>70</v>
      </c>
      <c r="G1635" s="40" t="s">
        <v>7478</v>
      </c>
      <c r="H1635" s="40"/>
      <c r="I1635" s="38" t="s">
        <v>7479</v>
      </c>
      <c r="J1635" s="38"/>
      <c r="K1635" s="38" t="s">
        <v>7480</v>
      </c>
      <c r="L1635" s="38" t="s">
        <v>49</v>
      </c>
      <c r="M1635" s="37"/>
      <c r="N1635" s="39" t="n">
        <v>44608</v>
      </c>
      <c r="O1635" s="41" t="s">
        <v>23</v>
      </c>
      <c r="P1635" s="41" t="s">
        <v>105</v>
      </c>
      <c r="Q1635" s="42"/>
      <c r="R1635" s="41"/>
      <c r="S1635" s="42"/>
      <c r="T1635" s="41"/>
    </row>
    <row r="1636" customFormat="false" ht="13.5" hidden="false" customHeight="true" outlineLevel="0" collapsed="false">
      <c r="A1636" s="37" t="n">
        <v>1633</v>
      </c>
      <c r="B1636" s="37" t="n">
        <v>4027</v>
      </c>
      <c r="C1636" s="38" t="s">
        <v>7481</v>
      </c>
      <c r="D1636" s="37" t="s">
        <v>100</v>
      </c>
      <c r="E1636" s="39" t="n">
        <v>26253</v>
      </c>
      <c r="F1636" s="37" t="n">
        <f aca="true">IFERROR(DATEDIF(E1636,TODAY(),"Y"),"")</f>
        <v>54</v>
      </c>
      <c r="G1636" s="40" t="s">
        <v>7482</v>
      </c>
      <c r="H1636" s="40" t="s">
        <v>7483</v>
      </c>
      <c r="I1636" s="38" t="s">
        <v>7484</v>
      </c>
      <c r="J1636" s="38" t="s">
        <v>16</v>
      </c>
      <c r="K1636" s="38" t="s">
        <v>7485</v>
      </c>
      <c r="L1636" s="38" t="s">
        <v>51</v>
      </c>
      <c r="M1636" s="37" t="s">
        <v>120</v>
      </c>
      <c r="N1636" s="39" t="n">
        <v>44610</v>
      </c>
      <c r="O1636" s="41" t="s">
        <v>23</v>
      </c>
      <c r="P1636" s="41" t="s">
        <v>105</v>
      </c>
      <c r="Q1636" s="42"/>
      <c r="R1636" s="41"/>
      <c r="S1636" s="42"/>
      <c r="T1636" s="41"/>
    </row>
    <row r="1637" customFormat="false" ht="13.5" hidden="false" customHeight="true" outlineLevel="0" collapsed="false">
      <c r="A1637" s="37" t="n">
        <v>1634</v>
      </c>
      <c r="B1637" s="37" t="n">
        <v>4028</v>
      </c>
      <c r="C1637" s="38" t="s">
        <v>7486</v>
      </c>
      <c r="D1637" s="37" t="s">
        <v>100</v>
      </c>
      <c r="E1637" s="39" t="n">
        <v>35430</v>
      </c>
      <c r="F1637" s="37" t="n">
        <f aca="true">IFERROR(DATEDIF(E1637,TODAY(),"Y"),"")</f>
        <v>29</v>
      </c>
      <c r="G1637" s="40" t="s">
        <v>7487</v>
      </c>
      <c r="H1637" s="40"/>
      <c r="I1637" s="38" t="s">
        <v>7488</v>
      </c>
      <c r="J1637" s="38" t="s">
        <v>15</v>
      </c>
      <c r="K1637" s="38" t="s">
        <v>7489</v>
      </c>
      <c r="L1637" s="38" t="s">
        <v>54</v>
      </c>
      <c r="M1637" s="37" t="s">
        <v>120</v>
      </c>
      <c r="N1637" s="39" t="n">
        <v>44610</v>
      </c>
      <c r="O1637" s="41" t="s">
        <v>23</v>
      </c>
      <c r="P1637" s="41" t="s">
        <v>105</v>
      </c>
      <c r="Q1637" s="42"/>
      <c r="R1637" s="41"/>
      <c r="S1637" s="42"/>
      <c r="T1637" s="41"/>
    </row>
    <row r="1638" customFormat="false" ht="13.5" hidden="false" customHeight="true" outlineLevel="0" collapsed="false">
      <c r="A1638" s="37" t="n">
        <v>1635</v>
      </c>
      <c r="B1638" s="37" t="n">
        <v>4029</v>
      </c>
      <c r="C1638" s="38" t="s">
        <v>7490</v>
      </c>
      <c r="D1638" s="37" t="s">
        <v>100</v>
      </c>
      <c r="E1638" s="39" t="n">
        <v>26366</v>
      </c>
      <c r="F1638" s="37" t="n">
        <f aca="true">IFERROR(DATEDIF(E1638,TODAY(),"Y"),"")</f>
        <v>54</v>
      </c>
      <c r="G1638" s="40" t="s">
        <v>7491</v>
      </c>
      <c r="H1638" s="40"/>
      <c r="I1638" s="38" t="s">
        <v>7492</v>
      </c>
      <c r="J1638" s="38" t="s">
        <v>16</v>
      </c>
      <c r="K1638" s="38" t="s">
        <v>7493</v>
      </c>
      <c r="L1638" s="38" t="s">
        <v>55</v>
      </c>
      <c r="M1638" s="37" t="s">
        <v>104</v>
      </c>
      <c r="N1638" s="39" t="n">
        <v>44618</v>
      </c>
      <c r="O1638" s="41" t="s">
        <v>23</v>
      </c>
      <c r="P1638" s="41" t="s">
        <v>105</v>
      </c>
      <c r="Q1638" s="42"/>
      <c r="R1638" s="41"/>
      <c r="S1638" s="42"/>
      <c r="T1638" s="41"/>
    </row>
    <row r="1639" customFormat="false" ht="13.5" hidden="false" customHeight="true" outlineLevel="0" collapsed="false">
      <c r="A1639" s="37" t="n">
        <v>1636</v>
      </c>
      <c r="B1639" s="37" t="n">
        <v>4030</v>
      </c>
      <c r="C1639" s="38" t="s">
        <v>7494</v>
      </c>
      <c r="D1639" s="37" t="s">
        <v>100</v>
      </c>
      <c r="E1639" s="39" t="n">
        <v>24600</v>
      </c>
      <c r="F1639" s="37" t="n">
        <f aca="true">IFERROR(DATEDIF(E1639,TODAY(),"Y"),"")</f>
        <v>59</v>
      </c>
      <c r="G1639" s="40" t="s">
        <v>7495</v>
      </c>
      <c r="H1639" s="40" t="s">
        <v>7496</v>
      </c>
      <c r="I1639" s="38" t="s">
        <v>7497</v>
      </c>
      <c r="J1639" s="38" t="s">
        <v>15</v>
      </c>
      <c r="K1639" s="38" t="s">
        <v>7498</v>
      </c>
      <c r="L1639" s="38" t="s">
        <v>47</v>
      </c>
      <c r="M1639" s="37" t="s">
        <v>177</v>
      </c>
      <c r="N1639" s="39" t="n">
        <v>44625</v>
      </c>
      <c r="O1639" s="41" t="s">
        <v>23</v>
      </c>
      <c r="P1639" s="41" t="s">
        <v>105</v>
      </c>
      <c r="Q1639" s="42"/>
      <c r="R1639" s="41"/>
      <c r="S1639" s="42"/>
      <c r="T1639" s="41"/>
    </row>
    <row r="1640" customFormat="false" ht="13.5" hidden="false" customHeight="true" outlineLevel="0" collapsed="false">
      <c r="A1640" s="37" t="n">
        <v>1637</v>
      </c>
      <c r="B1640" s="37" t="n">
        <v>4031</v>
      </c>
      <c r="C1640" s="38" t="s">
        <v>7499</v>
      </c>
      <c r="D1640" s="37" t="s">
        <v>100</v>
      </c>
      <c r="E1640" s="39" t="n">
        <v>25437</v>
      </c>
      <c r="F1640" s="37" t="n">
        <f aca="true">IFERROR(DATEDIF(E1640,TODAY(),"Y"),"")</f>
        <v>56</v>
      </c>
      <c r="G1640" s="40" t="s">
        <v>7500</v>
      </c>
      <c r="H1640" s="40"/>
      <c r="I1640" s="38" t="s">
        <v>7501</v>
      </c>
      <c r="J1640" s="38" t="s">
        <v>15</v>
      </c>
      <c r="K1640" s="38" t="s">
        <v>7502</v>
      </c>
      <c r="L1640" s="38" t="s">
        <v>55</v>
      </c>
      <c r="M1640" s="37" t="s">
        <v>104</v>
      </c>
      <c r="N1640" s="39" t="n">
        <v>44635</v>
      </c>
      <c r="O1640" s="41" t="s">
        <v>23</v>
      </c>
      <c r="P1640" s="41" t="s">
        <v>105</v>
      </c>
      <c r="Q1640" s="42"/>
      <c r="R1640" s="41"/>
      <c r="S1640" s="42"/>
      <c r="T1640" s="41"/>
    </row>
    <row r="1641" customFormat="false" ht="13.5" hidden="false" customHeight="true" outlineLevel="0" collapsed="false">
      <c r="A1641" s="37" t="n">
        <v>1638</v>
      </c>
      <c r="B1641" s="37" t="n">
        <v>4032</v>
      </c>
      <c r="C1641" s="38" t="s">
        <v>7503</v>
      </c>
      <c r="D1641" s="37" t="s">
        <v>100</v>
      </c>
      <c r="E1641" s="39" t="n">
        <v>28264</v>
      </c>
      <c r="F1641" s="37" t="n">
        <f aca="true">IFERROR(DATEDIF(E1641,TODAY(),"Y"),"")</f>
        <v>49</v>
      </c>
      <c r="G1641" s="40" t="s">
        <v>7504</v>
      </c>
      <c r="H1641" s="40" t="s">
        <v>7505</v>
      </c>
      <c r="I1641" s="38" t="s">
        <v>7506</v>
      </c>
      <c r="J1641" s="38" t="s">
        <v>16</v>
      </c>
      <c r="K1641" s="38" t="s">
        <v>7507</v>
      </c>
      <c r="L1641" s="38" t="s">
        <v>54</v>
      </c>
      <c r="M1641" s="37" t="s">
        <v>177</v>
      </c>
      <c r="N1641" s="39" t="n">
        <v>44637</v>
      </c>
      <c r="O1641" s="41" t="s">
        <v>23</v>
      </c>
      <c r="P1641" s="41" t="s">
        <v>105</v>
      </c>
      <c r="Q1641" s="42"/>
      <c r="R1641" s="41"/>
      <c r="S1641" s="42"/>
      <c r="T1641" s="41"/>
    </row>
    <row r="1642" customFormat="false" ht="13.5" hidden="false" customHeight="true" outlineLevel="0" collapsed="false">
      <c r="A1642" s="37" t="n">
        <v>1639</v>
      </c>
      <c r="B1642" s="37" t="n">
        <v>4033</v>
      </c>
      <c r="C1642" s="38" t="s">
        <v>7508</v>
      </c>
      <c r="D1642" s="37" t="s">
        <v>100</v>
      </c>
      <c r="E1642" s="39" t="n">
        <v>25544</v>
      </c>
      <c r="F1642" s="37" t="n">
        <f aca="true">IFERROR(DATEDIF(E1642,TODAY(),"Y"),"")</f>
        <v>56</v>
      </c>
      <c r="G1642" s="40" t="s">
        <v>7509</v>
      </c>
      <c r="H1642" s="40"/>
      <c r="I1642" s="38" t="s">
        <v>7510</v>
      </c>
      <c r="J1642" s="38"/>
      <c r="K1642" s="38" t="s">
        <v>7511</v>
      </c>
      <c r="L1642" s="38" t="s">
        <v>43</v>
      </c>
      <c r="M1642" s="37"/>
      <c r="N1642" s="39" t="n">
        <v>44638</v>
      </c>
      <c r="O1642" s="41" t="s">
        <v>23</v>
      </c>
      <c r="P1642" s="41" t="s">
        <v>105</v>
      </c>
      <c r="Q1642" s="42"/>
      <c r="R1642" s="41"/>
      <c r="S1642" s="42"/>
      <c r="T1642" s="41"/>
    </row>
    <row r="1643" customFormat="false" ht="13.5" hidden="false" customHeight="true" outlineLevel="0" collapsed="false">
      <c r="A1643" s="37" t="n">
        <v>1640</v>
      </c>
      <c r="B1643" s="37" t="n">
        <v>4034</v>
      </c>
      <c r="C1643" s="38" t="s">
        <v>7512</v>
      </c>
      <c r="D1643" s="37" t="s">
        <v>100</v>
      </c>
      <c r="E1643" s="39" t="n">
        <v>30339</v>
      </c>
      <c r="F1643" s="37" t="n">
        <f aca="true">IFERROR(DATEDIF(E1643,TODAY(),"Y"),"")</f>
        <v>43</v>
      </c>
      <c r="G1643" s="40" t="s">
        <v>7513</v>
      </c>
      <c r="H1643" s="40" t="s">
        <v>7514</v>
      </c>
      <c r="I1643" s="38" t="s">
        <v>7515</v>
      </c>
      <c r="J1643" s="38" t="s">
        <v>18</v>
      </c>
      <c r="K1643" s="38" t="s">
        <v>7516</v>
      </c>
      <c r="L1643" s="43" t="s">
        <v>58</v>
      </c>
      <c r="M1643" s="37"/>
      <c r="N1643" s="39" t="n">
        <v>44639</v>
      </c>
      <c r="O1643" s="41" t="s">
        <v>23</v>
      </c>
      <c r="P1643" s="41" t="s">
        <v>105</v>
      </c>
      <c r="Q1643" s="42"/>
      <c r="R1643" s="41"/>
      <c r="S1643" s="42"/>
      <c r="T1643" s="41"/>
    </row>
    <row r="1644" customFormat="false" ht="13.5" hidden="false" customHeight="true" outlineLevel="0" collapsed="false">
      <c r="A1644" s="37" t="n">
        <v>1641</v>
      </c>
      <c r="B1644" s="37" t="n">
        <v>4035</v>
      </c>
      <c r="C1644" s="38" t="s">
        <v>7517</v>
      </c>
      <c r="D1644" s="37" t="s">
        <v>100</v>
      </c>
      <c r="E1644" s="39" t="n">
        <v>28505</v>
      </c>
      <c r="F1644" s="37" t="n">
        <f aca="true">IFERROR(DATEDIF(E1644,TODAY(),"Y"),"")</f>
        <v>48</v>
      </c>
      <c r="G1644" s="40" t="s">
        <v>7518</v>
      </c>
      <c r="H1644" s="40" t="s">
        <v>7519</v>
      </c>
      <c r="I1644" s="38" t="s">
        <v>7520</v>
      </c>
      <c r="J1644" s="38"/>
      <c r="K1644" s="38" t="s">
        <v>7521</v>
      </c>
      <c r="L1644" s="38" t="s">
        <v>46</v>
      </c>
      <c r="M1644" s="37" t="s">
        <v>120</v>
      </c>
      <c r="N1644" s="39" t="n">
        <v>44641</v>
      </c>
      <c r="O1644" s="41" t="s">
        <v>23</v>
      </c>
      <c r="P1644" s="41" t="s">
        <v>105</v>
      </c>
      <c r="Q1644" s="42"/>
      <c r="R1644" s="41"/>
      <c r="S1644" s="42"/>
      <c r="T1644" s="41"/>
    </row>
    <row r="1645" customFormat="false" ht="13.5" hidden="false" customHeight="true" outlineLevel="0" collapsed="false">
      <c r="A1645" s="37" t="n">
        <v>1642</v>
      </c>
      <c r="B1645" s="37" t="n">
        <v>4036</v>
      </c>
      <c r="C1645" s="38" t="s">
        <v>7522</v>
      </c>
      <c r="D1645" s="37" t="s">
        <v>100</v>
      </c>
      <c r="E1645" s="39" t="n">
        <v>28495</v>
      </c>
      <c r="F1645" s="37" t="n">
        <f aca="true">IFERROR(DATEDIF(E1645,TODAY(),"Y"),"")</f>
        <v>48</v>
      </c>
      <c r="G1645" s="40" t="s">
        <v>7523</v>
      </c>
      <c r="H1645" s="40" t="s">
        <v>7524</v>
      </c>
      <c r="I1645" s="38" t="s">
        <v>7525</v>
      </c>
      <c r="J1645" s="38" t="s">
        <v>16</v>
      </c>
      <c r="K1645" s="38" t="s">
        <v>7526</v>
      </c>
      <c r="L1645" s="38" t="s">
        <v>46</v>
      </c>
      <c r="M1645" s="37" t="s">
        <v>120</v>
      </c>
      <c r="N1645" s="39" t="n">
        <v>44650</v>
      </c>
      <c r="O1645" s="41" t="s">
        <v>23</v>
      </c>
      <c r="P1645" s="41" t="s">
        <v>105</v>
      </c>
      <c r="Q1645" s="42"/>
      <c r="R1645" s="41"/>
      <c r="S1645" s="42"/>
      <c r="T1645" s="41"/>
    </row>
    <row r="1646" customFormat="false" ht="13.5" hidden="false" customHeight="true" outlineLevel="0" collapsed="false">
      <c r="A1646" s="37" t="n">
        <v>1643</v>
      </c>
      <c r="B1646" s="37" t="n">
        <v>4037</v>
      </c>
      <c r="C1646" s="38" t="s">
        <v>7527</v>
      </c>
      <c r="D1646" s="37" t="s">
        <v>100</v>
      </c>
      <c r="E1646" s="39" t="n">
        <v>25339</v>
      </c>
      <c r="F1646" s="37" t="n">
        <f aca="true">IFERROR(DATEDIF(E1646,TODAY(),"Y"),"")</f>
        <v>57</v>
      </c>
      <c r="G1646" s="40" t="s">
        <v>7528</v>
      </c>
      <c r="H1646" s="40"/>
      <c r="I1646" s="38" t="s">
        <v>7529</v>
      </c>
      <c r="J1646" s="38"/>
      <c r="K1646" s="38" t="s">
        <v>7530</v>
      </c>
      <c r="L1646" s="38" t="s">
        <v>49</v>
      </c>
      <c r="M1646" s="37" t="s">
        <v>104</v>
      </c>
      <c r="N1646" s="39" t="n">
        <v>44651</v>
      </c>
      <c r="O1646" s="41" t="s">
        <v>23</v>
      </c>
      <c r="P1646" s="41" t="s">
        <v>105</v>
      </c>
      <c r="Q1646" s="42"/>
      <c r="R1646" s="41"/>
      <c r="S1646" s="42"/>
      <c r="T1646" s="41"/>
    </row>
    <row r="1647" customFormat="false" ht="13.5" hidden="false" customHeight="true" outlineLevel="0" collapsed="false">
      <c r="A1647" s="37" t="n">
        <v>1644</v>
      </c>
      <c r="B1647" s="37" t="n">
        <v>4038</v>
      </c>
      <c r="C1647" s="38" t="s">
        <v>7531</v>
      </c>
      <c r="D1647" s="37" t="s">
        <v>100</v>
      </c>
      <c r="E1647" s="39" t="n">
        <v>29161</v>
      </c>
      <c r="F1647" s="37" t="n">
        <f aca="true">IFERROR(DATEDIF(E1647,TODAY(),"Y"),"")</f>
        <v>46</v>
      </c>
      <c r="G1647" s="40" t="s">
        <v>7532</v>
      </c>
      <c r="H1647" s="40"/>
      <c r="I1647" s="38" t="s">
        <v>7533</v>
      </c>
      <c r="J1647" s="38"/>
      <c r="K1647" s="38" t="s">
        <v>7534</v>
      </c>
      <c r="L1647" s="38" t="s">
        <v>48</v>
      </c>
      <c r="M1647" s="37" t="s">
        <v>104</v>
      </c>
      <c r="N1647" s="39" t="n">
        <v>44651</v>
      </c>
      <c r="O1647" s="41" t="s">
        <v>23</v>
      </c>
      <c r="P1647" s="41" t="s">
        <v>105</v>
      </c>
      <c r="Q1647" s="42"/>
      <c r="R1647" s="41"/>
      <c r="S1647" s="42"/>
      <c r="T1647" s="41"/>
    </row>
    <row r="1648" customFormat="false" ht="13.5" hidden="false" customHeight="true" outlineLevel="0" collapsed="false">
      <c r="A1648" s="37" t="n">
        <v>1645</v>
      </c>
      <c r="B1648" s="37" t="n">
        <v>4039</v>
      </c>
      <c r="C1648" s="38" t="s">
        <v>7535</v>
      </c>
      <c r="D1648" s="37" t="s">
        <v>100</v>
      </c>
      <c r="E1648" s="39" t="n">
        <v>29584</v>
      </c>
      <c r="F1648" s="37" t="n">
        <f aca="true">IFERROR(DATEDIF(E1648,TODAY(),"Y"),"")</f>
        <v>45</v>
      </c>
      <c r="G1648" s="40" t="s">
        <v>7536</v>
      </c>
      <c r="H1648" s="40"/>
      <c r="I1648" s="38" t="s">
        <v>7537</v>
      </c>
      <c r="J1648" s="38" t="s">
        <v>16</v>
      </c>
      <c r="K1648" s="38" t="s">
        <v>7538</v>
      </c>
      <c r="L1648" s="38" t="s">
        <v>46</v>
      </c>
      <c r="M1648" s="37" t="s">
        <v>231</v>
      </c>
      <c r="N1648" s="39" t="n">
        <v>44652</v>
      </c>
      <c r="O1648" s="41" t="s">
        <v>23</v>
      </c>
      <c r="P1648" s="41" t="s">
        <v>105</v>
      </c>
      <c r="Q1648" s="42"/>
      <c r="R1648" s="41"/>
      <c r="S1648" s="42"/>
      <c r="T1648" s="41"/>
    </row>
    <row r="1649" customFormat="false" ht="13.5" hidden="false" customHeight="true" outlineLevel="0" collapsed="false">
      <c r="A1649" s="37" t="n">
        <v>1646</v>
      </c>
      <c r="B1649" s="37" t="n">
        <v>4040</v>
      </c>
      <c r="C1649" s="38" t="s">
        <v>7539</v>
      </c>
      <c r="D1649" s="37" t="s">
        <v>100</v>
      </c>
      <c r="E1649" s="39" t="n">
        <v>30454</v>
      </c>
      <c r="F1649" s="37" t="n">
        <f aca="true">IFERROR(DATEDIF(E1649,TODAY(),"Y"),"")</f>
        <v>43</v>
      </c>
      <c r="G1649" s="40" t="s">
        <v>7540</v>
      </c>
      <c r="H1649" s="40" t="s">
        <v>7541</v>
      </c>
      <c r="I1649" s="38" t="s">
        <v>7542</v>
      </c>
      <c r="J1649" s="38" t="s">
        <v>16</v>
      </c>
      <c r="K1649" s="38" t="s">
        <v>7543</v>
      </c>
      <c r="L1649" s="43" t="s">
        <v>58</v>
      </c>
      <c r="M1649" s="37" t="s">
        <v>120</v>
      </c>
      <c r="N1649" s="39" t="n">
        <v>44659</v>
      </c>
      <c r="O1649" s="41" t="s">
        <v>23</v>
      </c>
      <c r="P1649" s="41" t="s">
        <v>105</v>
      </c>
      <c r="Q1649" s="42"/>
      <c r="R1649" s="41"/>
      <c r="S1649" s="42"/>
      <c r="T1649" s="41"/>
    </row>
    <row r="1650" customFormat="false" ht="13.5" hidden="false" customHeight="true" outlineLevel="0" collapsed="false">
      <c r="A1650" s="37" t="n">
        <v>1647</v>
      </c>
      <c r="B1650" s="37" t="n">
        <v>4041</v>
      </c>
      <c r="C1650" s="38" t="s">
        <v>7544</v>
      </c>
      <c r="D1650" s="37" t="s">
        <v>100</v>
      </c>
      <c r="E1650" s="39" t="n">
        <v>27825</v>
      </c>
      <c r="F1650" s="37" t="n">
        <f aca="true">IFERROR(DATEDIF(E1650,TODAY(),"Y"),"")</f>
        <v>50</v>
      </c>
      <c r="G1650" s="40" t="s">
        <v>7545</v>
      </c>
      <c r="H1650" s="40" t="s">
        <v>7546</v>
      </c>
      <c r="I1650" s="38" t="s">
        <v>7547</v>
      </c>
      <c r="J1650" s="38" t="s">
        <v>15</v>
      </c>
      <c r="K1650" s="38" t="s">
        <v>7548</v>
      </c>
      <c r="L1650" s="38" t="s">
        <v>54</v>
      </c>
      <c r="M1650" s="37" t="s">
        <v>177</v>
      </c>
      <c r="N1650" s="39" t="n">
        <v>44671</v>
      </c>
      <c r="O1650" s="41" t="s">
        <v>23</v>
      </c>
      <c r="P1650" s="41" t="s">
        <v>105</v>
      </c>
      <c r="Q1650" s="42"/>
      <c r="R1650" s="41"/>
      <c r="S1650" s="42"/>
      <c r="T1650" s="41"/>
    </row>
    <row r="1651" customFormat="false" ht="13.5" hidden="false" customHeight="true" outlineLevel="0" collapsed="false">
      <c r="A1651" s="37" t="n">
        <v>1648</v>
      </c>
      <c r="B1651" s="37" t="n">
        <v>4042</v>
      </c>
      <c r="C1651" s="38" t="s">
        <v>7549</v>
      </c>
      <c r="D1651" s="37" t="s">
        <v>100</v>
      </c>
      <c r="E1651" s="39" t="n">
        <v>28240</v>
      </c>
      <c r="F1651" s="37" t="n">
        <f aca="true">IFERROR(DATEDIF(E1651,TODAY(),"Y"),"")</f>
        <v>49</v>
      </c>
      <c r="G1651" s="40" t="s">
        <v>7550</v>
      </c>
      <c r="H1651" s="40" t="s">
        <v>7551</v>
      </c>
      <c r="I1651" s="38" t="s">
        <v>7552</v>
      </c>
      <c r="J1651" s="38" t="s">
        <v>15</v>
      </c>
      <c r="K1651" s="38" t="s">
        <v>7553</v>
      </c>
      <c r="L1651" s="38" t="s">
        <v>55</v>
      </c>
      <c r="M1651" s="37" t="s">
        <v>788</v>
      </c>
      <c r="N1651" s="39" t="n">
        <v>44671</v>
      </c>
      <c r="O1651" s="41" t="s">
        <v>23</v>
      </c>
      <c r="P1651" s="41" t="s">
        <v>105</v>
      </c>
      <c r="Q1651" s="42"/>
      <c r="R1651" s="41"/>
      <c r="S1651" s="42"/>
      <c r="T1651" s="41"/>
    </row>
    <row r="1652" customFormat="false" ht="13.5" hidden="false" customHeight="true" outlineLevel="0" collapsed="false">
      <c r="A1652" s="37" t="n">
        <v>1649</v>
      </c>
      <c r="B1652" s="37" t="n">
        <v>4043</v>
      </c>
      <c r="C1652" s="38" t="s">
        <v>7554</v>
      </c>
      <c r="D1652" s="37" t="s">
        <v>100</v>
      </c>
      <c r="E1652" s="39" t="n">
        <v>31830</v>
      </c>
      <c r="F1652" s="37" t="n">
        <f aca="true">IFERROR(DATEDIF(E1652,TODAY(),"Y"),"")</f>
        <v>39</v>
      </c>
      <c r="G1652" s="40" t="s">
        <v>7555</v>
      </c>
      <c r="H1652" s="40"/>
      <c r="I1652" s="38" t="s">
        <v>7556</v>
      </c>
      <c r="J1652" s="38" t="s">
        <v>15</v>
      </c>
      <c r="K1652" s="38" t="s">
        <v>7557</v>
      </c>
      <c r="L1652" s="38" t="s">
        <v>43</v>
      </c>
      <c r="M1652" s="37" t="s">
        <v>104</v>
      </c>
      <c r="N1652" s="39" t="n">
        <v>44671</v>
      </c>
      <c r="O1652" s="41" t="s">
        <v>23</v>
      </c>
      <c r="P1652" s="41" t="s">
        <v>105</v>
      </c>
      <c r="Q1652" s="42"/>
      <c r="R1652" s="41"/>
      <c r="S1652" s="42"/>
      <c r="T1652" s="41"/>
    </row>
    <row r="1653" customFormat="false" ht="13.5" hidden="false" customHeight="true" outlineLevel="0" collapsed="false">
      <c r="A1653" s="37" t="n">
        <v>1650</v>
      </c>
      <c r="B1653" s="37" t="n">
        <v>4044</v>
      </c>
      <c r="C1653" s="38" t="s">
        <v>7558</v>
      </c>
      <c r="D1653" s="37" t="s">
        <v>100</v>
      </c>
      <c r="E1653" s="39" t="n">
        <v>28965</v>
      </c>
      <c r="F1653" s="37" t="n">
        <f aca="true">IFERROR(DATEDIF(E1653,TODAY(),"Y"),"")</f>
        <v>47</v>
      </c>
      <c r="G1653" s="40" t="s">
        <v>7559</v>
      </c>
      <c r="H1653" s="40" t="s">
        <v>7560</v>
      </c>
      <c r="I1653" s="38" t="s">
        <v>7561</v>
      </c>
      <c r="J1653" s="38" t="s">
        <v>15</v>
      </c>
      <c r="K1653" s="38" t="s">
        <v>7562</v>
      </c>
      <c r="L1653" s="38" t="s">
        <v>47</v>
      </c>
      <c r="M1653" s="37" t="s">
        <v>104</v>
      </c>
      <c r="N1653" s="39" t="n">
        <v>44671</v>
      </c>
      <c r="O1653" s="41" t="s">
        <v>23</v>
      </c>
      <c r="P1653" s="41" t="s">
        <v>105</v>
      </c>
      <c r="Q1653" s="42"/>
      <c r="R1653" s="41"/>
      <c r="S1653" s="42"/>
      <c r="T1653" s="41"/>
    </row>
    <row r="1654" customFormat="false" ht="13.5" hidden="false" customHeight="true" outlineLevel="0" collapsed="false">
      <c r="A1654" s="37" t="n">
        <v>1651</v>
      </c>
      <c r="B1654" s="37" t="n">
        <v>4045</v>
      </c>
      <c r="C1654" s="38" t="s">
        <v>7563</v>
      </c>
      <c r="D1654" s="37" t="s">
        <v>100</v>
      </c>
      <c r="E1654" s="39" t="n">
        <v>32994</v>
      </c>
      <c r="F1654" s="37" t="n">
        <f aca="true">IFERROR(DATEDIF(E1654,TODAY(),"Y"),"")</f>
        <v>36</v>
      </c>
      <c r="G1654" s="40" t="s">
        <v>7564</v>
      </c>
      <c r="H1654" s="40" t="s">
        <v>7565</v>
      </c>
      <c r="I1654" s="38" t="s">
        <v>7566</v>
      </c>
      <c r="J1654" s="38" t="s">
        <v>16</v>
      </c>
      <c r="K1654" s="38" t="s">
        <v>7567</v>
      </c>
      <c r="L1654" s="43" t="s">
        <v>58</v>
      </c>
      <c r="M1654" s="37" t="s">
        <v>120</v>
      </c>
      <c r="N1654" s="39" t="n">
        <v>44671</v>
      </c>
      <c r="O1654" s="41" t="s">
        <v>23</v>
      </c>
      <c r="P1654" s="41" t="s">
        <v>105</v>
      </c>
      <c r="Q1654" s="42"/>
      <c r="R1654" s="41"/>
      <c r="S1654" s="42"/>
      <c r="T1654" s="41"/>
    </row>
    <row r="1655" customFormat="false" ht="13.5" hidden="false" customHeight="true" outlineLevel="0" collapsed="false">
      <c r="A1655" s="37" t="n">
        <v>1652</v>
      </c>
      <c r="B1655" s="37" t="n">
        <v>4046</v>
      </c>
      <c r="C1655" s="38" t="s">
        <v>7568</v>
      </c>
      <c r="D1655" s="37" t="s">
        <v>100</v>
      </c>
      <c r="E1655" s="39" t="n">
        <v>26815</v>
      </c>
      <c r="F1655" s="37" t="n">
        <f aca="true">IFERROR(DATEDIF(E1655,TODAY(),"Y"),"")</f>
        <v>53</v>
      </c>
      <c r="G1655" s="40" t="s">
        <v>7569</v>
      </c>
      <c r="H1655" s="40"/>
      <c r="I1655" s="38" t="s">
        <v>7570</v>
      </c>
      <c r="J1655" s="38" t="s">
        <v>16</v>
      </c>
      <c r="K1655" s="38" t="s">
        <v>7571</v>
      </c>
      <c r="L1655" s="38" t="s">
        <v>43</v>
      </c>
      <c r="M1655" s="37" t="s">
        <v>104</v>
      </c>
      <c r="N1655" s="39" t="n">
        <v>44672</v>
      </c>
      <c r="O1655" s="41" t="s">
        <v>23</v>
      </c>
      <c r="P1655" s="41" t="s">
        <v>105</v>
      </c>
      <c r="Q1655" s="42"/>
      <c r="R1655" s="41"/>
      <c r="S1655" s="42"/>
      <c r="T1655" s="41"/>
    </row>
    <row r="1656" customFormat="false" ht="13.5" hidden="false" customHeight="true" outlineLevel="0" collapsed="false">
      <c r="A1656" s="37" t="n">
        <v>1653</v>
      </c>
      <c r="B1656" s="37" t="n">
        <v>4047</v>
      </c>
      <c r="C1656" s="38" t="s">
        <v>7572</v>
      </c>
      <c r="D1656" s="37" t="s">
        <v>100</v>
      </c>
      <c r="E1656" s="39" t="n">
        <v>24985</v>
      </c>
      <c r="F1656" s="37" t="n">
        <f aca="true">IFERROR(DATEDIF(E1656,TODAY(),"Y"),"")</f>
        <v>58</v>
      </c>
      <c r="G1656" s="40" t="s">
        <v>7573</v>
      </c>
      <c r="H1656" s="40" t="s">
        <v>7574</v>
      </c>
      <c r="I1656" s="38" t="s">
        <v>7575</v>
      </c>
      <c r="J1656" s="38" t="s">
        <v>16</v>
      </c>
      <c r="K1656" s="38" t="s">
        <v>7576</v>
      </c>
      <c r="L1656" s="38" t="s">
        <v>52</v>
      </c>
      <c r="M1656" s="37"/>
      <c r="N1656" s="39" t="n">
        <v>44707</v>
      </c>
      <c r="O1656" s="41" t="s">
        <v>23</v>
      </c>
      <c r="P1656" s="41" t="s">
        <v>105</v>
      </c>
      <c r="Q1656" s="42"/>
      <c r="R1656" s="41"/>
      <c r="S1656" s="42"/>
      <c r="T1656" s="41"/>
    </row>
    <row r="1657" customFormat="false" ht="13.5" hidden="false" customHeight="true" outlineLevel="0" collapsed="false">
      <c r="A1657" s="37" t="n">
        <v>1654</v>
      </c>
      <c r="B1657" s="37" t="n">
        <v>4048</v>
      </c>
      <c r="C1657" s="38" t="s">
        <v>7577</v>
      </c>
      <c r="D1657" s="37" t="s">
        <v>100</v>
      </c>
      <c r="E1657" s="39" t="n">
        <v>29726</v>
      </c>
      <c r="F1657" s="37" t="n">
        <f aca="true">IFERROR(DATEDIF(E1657,TODAY(),"Y"),"")</f>
        <v>45</v>
      </c>
      <c r="G1657" s="40" t="s">
        <v>7578</v>
      </c>
      <c r="H1657" s="40"/>
      <c r="I1657" s="38" t="s">
        <v>7579</v>
      </c>
      <c r="J1657" s="38" t="s">
        <v>15</v>
      </c>
      <c r="K1657" s="38" t="s">
        <v>7580</v>
      </c>
      <c r="L1657" s="38" t="s">
        <v>48</v>
      </c>
      <c r="M1657" s="37" t="s">
        <v>120</v>
      </c>
      <c r="N1657" s="39" t="n">
        <v>44707</v>
      </c>
      <c r="O1657" s="41" t="s">
        <v>23</v>
      </c>
      <c r="P1657" s="41" t="s">
        <v>105</v>
      </c>
      <c r="Q1657" s="42"/>
      <c r="R1657" s="41"/>
      <c r="S1657" s="42"/>
      <c r="T1657" s="41"/>
    </row>
    <row r="1658" customFormat="false" ht="13.5" hidden="false" customHeight="true" outlineLevel="0" collapsed="false">
      <c r="A1658" s="37" t="n">
        <v>1655</v>
      </c>
      <c r="B1658" s="37" t="n">
        <v>4049</v>
      </c>
      <c r="C1658" s="38" t="s">
        <v>7581</v>
      </c>
      <c r="D1658" s="37" t="s">
        <v>100</v>
      </c>
      <c r="E1658" s="39" t="n">
        <v>28535</v>
      </c>
      <c r="F1658" s="37" t="n">
        <f aca="true">IFERROR(DATEDIF(E1658,TODAY(),"Y"),"")</f>
        <v>48</v>
      </c>
      <c r="G1658" s="40" t="s">
        <v>7582</v>
      </c>
      <c r="H1658" s="40"/>
      <c r="I1658" s="38" t="s">
        <v>7583</v>
      </c>
      <c r="J1658" s="38" t="s">
        <v>15</v>
      </c>
      <c r="K1658" s="38" t="s">
        <v>7584</v>
      </c>
      <c r="L1658" s="38" t="s">
        <v>46</v>
      </c>
      <c r="M1658" s="37" t="s">
        <v>177</v>
      </c>
      <c r="N1658" s="39" t="n">
        <v>44725</v>
      </c>
      <c r="O1658" s="41" t="s">
        <v>23</v>
      </c>
      <c r="P1658" s="41" t="s">
        <v>105</v>
      </c>
      <c r="Q1658" s="42"/>
      <c r="R1658" s="41"/>
      <c r="S1658" s="42"/>
      <c r="T1658" s="41"/>
    </row>
    <row r="1659" customFormat="false" ht="13.5" hidden="false" customHeight="true" outlineLevel="0" collapsed="false">
      <c r="A1659" s="37" t="n">
        <v>1656</v>
      </c>
      <c r="B1659" s="37" t="n">
        <v>4050</v>
      </c>
      <c r="C1659" s="38" t="s">
        <v>7585</v>
      </c>
      <c r="D1659" s="37" t="s">
        <v>100</v>
      </c>
      <c r="E1659" s="39" t="n">
        <v>30416</v>
      </c>
      <c r="F1659" s="37" t="n">
        <f aca="true">IFERROR(DATEDIF(E1659,TODAY(),"Y"),"")</f>
        <v>43</v>
      </c>
      <c r="G1659" s="40" t="s">
        <v>7586</v>
      </c>
      <c r="H1659" s="40" t="s">
        <v>7587</v>
      </c>
      <c r="I1659" s="38" t="s">
        <v>7588</v>
      </c>
      <c r="J1659" s="38" t="s">
        <v>16</v>
      </c>
      <c r="K1659" s="38" t="s">
        <v>7589</v>
      </c>
      <c r="L1659" s="38" t="s">
        <v>51</v>
      </c>
      <c r="M1659" s="37" t="s">
        <v>120</v>
      </c>
      <c r="N1659" s="39" t="n">
        <v>44729</v>
      </c>
      <c r="O1659" s="41" t="s">
        <v>23</v>
      </c>
      <c r="P1659" s="41" t="s">
        <v>105</v>
      </c>
      <c r="Q1659" s="42"/>
      <c r="R1659" s="41"/>
      <c r="S1659" s="42"/>
      <c r="T1659" s="41"/>
    </row>
    <row r="1660" customFormat="false" ht="13.5" hidden="false" customHeight="true" outlineLevel="0" collapsed="false">
      <c r="A1660" s="37" t="n">
        <v>1657</v>
      </c>
      <c r="B1660" s="37" t="n">
        <v>4051</v>
      </c>
      <c r="C1660" s="38" t="s">
        <v>7590</v>
      </c>
      <c r="D1660" s="37" t="s">
        <v>100</v>
      </c>
      <c r="E1660" s="39" t="n">
        <v>29736</v>
      </c>
      <c r="F1660" s="37" t="n">
        <f aca="true">IFERROR(DATEDIF(E1660,TODAY(),"Y"),"")</f>
        <v>45</v>
      </c>
      <c r="G1660" s="40" t="s">
        <v>7591</v>
      </c>
      <c r="H1660" s="40"/>
      <c r="I1660" s="38" t="s">
        <v>7592</v>
      </c>
      <c r="J1660" s="38" t="s">
        <v>15</v>
      </c>
      <c r="K1660" s="38" t="s">
        <v>7593</v>
      </c>
      <c r="L1660" s="38" t="s">
        <v>48</v>
      </c>
      <c r="M1660" s="37" t="s">
        <v>177</v>
      </c>
      <c r="N1660" s="39" t="n">
        <v>44729</v>
      </c>
      <c r="O1660" s="41" t="s">
        <v>23</v>
      </c>
      <c r="P1660" s="41" t="s">
        <v>105</v>
      </c>
      <c r="Q1660" s="42"/>
      <c r="R1660" s="41"/>
      <c r="S1660" s="42"/>
      <c r="T1660" s="41"/>
    </row>
    <row r="1661" customFormat="false" ht="13.5" hidden="false" customHeight="true" outlineLevel="0" collapsed="false">
      <c r="A1661" s="37" t="n">
        <v>1658</v>
      </c>
      <c r="B1661" s="37" t="n">
        <v>4052</v>
      </c>
      <c r="C1661" s="38" t="s">
        <v>7594</v>
      </c>
      <c r="D1661" s="37" t="s">
        <v>100</v>
      </c>
      <c r="E1661" s="39" t="n">
        <v>26083</v>
      </c>
      <c r="F1661" s="37" t="n">
        <f aca="true">IFERROR(DATEDIF(E1661,TODAY(),"Y"),"")</f>
        <v>55</v>
      </c>
      <c r="G1661" s="40" t="s">
        <v>7595</v>
      </c>
      <c r="H1661" s="40"/>
      <c r="I1661" s="38" t="s">
        <v>7596</v>
      </c>
      <c r="J1661" s="38" t="s">
        <v>16</v>
      </c>
      <c r="K1661" s="38" t="s">
        <v>7597</v>
      </c>
      <c r="L1661" s="38" t="s">
        <v>50</v>
      </c>
      <c r="M1661" s="37" t="s">
        <v>120</v>
      </c>
      <c r="N1661" s="39" t="n">
        <v>44729</v>
      </c>
      <c r="O1661" s="41" t="s">
        <v>23</v>
      </c>
      <c r="P1661" s="41" t="s">
        <v>105</v>
      </c>
      <c r="Q1661" s="42"/>
      <c r="R1661" s="41"/>
      <c r="S1661" s="42"/>
      <c r="T1661" s="41"/>
    </row>
    <row r="1662" customFormat="false" ht="13.5" hidden="false" customHeight="true" outlineLevel="0" collapsed="false">
      <c r="A1662" s="37" t="n">
        <v>1659</v>
      </c>
      <c r="B1662" s="37" t="n">
        <v>4053</v>
      </c>
      <c r="C1662" s="38" t="s">
        <v>7598</v>
      </c>
      <c r="D1662" s="37" t="s">
        <v>100</v>
      </c>
      <c r="E1662" s="39" t="n">
        <v>31888</v>
      </c>
      <c r="F1662" s="37" t="n">
        <f aca="true">IFERROR(DATEDIF(E1662,TODAY(),"Y"),"")</f>
        <v>39</v>
      </c>
      <c r="G1662" s="40" t="s">
        <v>7599</v>
      </c>
      <c r="H1662" s="40"/>
      <c r="I1662" s="38" t="s">
        <v>7600</v>
      </c>
      <c r="J1662" s="38" t="s">
        <v>15</v>
      </c>
      <c r="K1662" s="38" t="s">
        <v>7601</v>
      </c>
      <c r="L1662" s="38" t="s">
        <v>46</v>
      </c>
      <c r="M1662" s="37"/>
      <c r="N1662" s="39" t="n">
        <v>44742</v>
      </c>
      <c r="O1662" s="41" t="s">
        <v>23</v>
      </c>
      <c r="P1662" s="41" t="s">
        <v>105</v>
      </c>
      <c r="Q1662" s="42"/>
      <c r="R1662" s="41"/>
      <c r="S1662" s="42"/>
      <c r="T1662" s="41"/>
    </row>
    <row r="1663" customFormat="false" ht="13.5" hidden="false" customHeight="true" outlineLevel="0" collapsed="false">
      <c r="A1663" s="37" t="n">
        <v>1660</v>
      </c>
      <c r="B1663" s="37" t="n">
        <v>4054</v>
      </c>
      <c r="C1663" s="38" t="s">
        <v>7602</v>
      </c>
      <c r="D1663" s="37" t="s">
        <v>100</v>
      </c>
      <c r="E1663" s="39" t="n">
        <v>24987</v>
      </c>
      <c r="F1663" s="37" t="n">
        <f aca="true">IFERROR(DATEDIF(E1663,TODAY(),"Y"),"")</f>
        <v>58</v>
      </c>
      <c r="G1663" s="40" t="s">
        <v>7603</v>
      </c>
      <c r="H1663" s="40"/>
      <c r="I1663" s="38" t="s">
        <v>7604</v>
      </c>
      <c r="J1663" s="38" t="s">
        <v>15</v>
      </c>
      <c r="K1663" s="38" t="s">
        <v>7605</v>
      </c>
      <c r="L1663" s="38" t="s">
        <v>53</v>
      </c>
      <c r="M1663" s="37" t="s">
        <v>104</v>
      </c>
      <c r="N1663" s="39" t="n">
        <v>44743</v>
      </c>
      <c r="O1663" s="41" t="s">
        <v>23</v>
      </c>
      <c r="P1663" s="41" t="s">
        <v>105</v>
      </c>
      <c r="Q1663" s="42"/>
      <c r="R1663" s="41"/>
      <c r="S1663" s="42"/>
      <c r="T1663" s="41"/>
    </row>
    <row r="1664" customFormat="false" ht="13.5" hidden="false" customHeight="true" outlineLevel="0" collapsed="false">
      <c r="A1664" s="37" t="n">
        <v>1661</v>
      </c>
      <c r="B1664" s="37" t="n">
        <v>4055</v>
      </c>
      <c r="C1664" s="38" t="s">
        <v>7606</v>
      </c>
      <c r="D1664" s="37" t="s">
        <v>100</v>
      </c>
      <c r="E1664" s="39" t="n">
        <v>25633</v>
      </c>
      <c r="F1664" s="37" t="n">
        <f aca="true">IFERROR(DATEDIF(E1664,TODAY(),"Y"),"")</f>
        <v>56</v>
      </c>
      <c r="G1664" s="40" t="s">
        <v>7607</v>
      </c>
      <c r="H1664" s="40" t="s">
        <v>7608</v>
      </c>
      <c r="I1664" s="38" t="s">
        <v>7609</v>
      </c>
      <c r="J1664" s="38" t="s">
        <v>15</v>
      </c>
      <c r="K1664" s="38" t="s">
        <v>7610</v>
      </c>
      <c r="L1664" s="38" t="s">
        <v>48</v>
      </c>
      <c r="M1664" s="37" t="s">
        <v>788</v>
      </c>
      <c r="N1664" s="39" t="n">
        <v>44743</v>
      </c>
      <c r="O1664" s="41" t="s">
        <v>23</v>
      </c>
      <c r="P1664" s="41" t="s">
        <v>105</v>
      </c>
      <c r="Q1664" s="42"/>
      <c r="R1664" s="41"/>
      <c r="S1664" s="42"/>
      <c r="T1664" s="41"/>
    </row>
    <row r="1665" customFormat="false" ht="13.5" hidden="false" customHeight="true" outlineLevel="0" collapsed="false">
      <c r="A1665" s="37" t="n">
        <v>1662</v>
      </c>
      <c r="B1665" s="37" t="n">
        <v>4056</v>
      </c>
      <c r="C1665" s="38" t="s">
        <v>7611</v>
      </c>
      <c r="D1665" s="37" t="s">
        <v>100</v>
      </c>
      <c r="E1665" s="39" t="n">
        <v>29710</v>
      </c>
      <c r="F1665" s="37" t="n">
        <f aca="true">IFERROR(DATEDIF(E1665,TODAY(),"Y"),"")</f>
        <v>45</v>
      </c>
      <c r="G1665" s="40" t="s">
        <v>7612</v>
      </c>
      <c r="H1665" s="40"/>
      <c r="I1665" s="38" t="s">
        <v>7613</v>
      </c>
      <c r="J1665" s="38" t="s">
        <v>15</v>
      </c>
      <c r="K1665" s="38" t="s">
        <v>7614</v>
      </c>
      <c r="L1665" s="38" t="s">
        <v>55</v>
      </c>
      <c r="M1665" s="37" t="s">
        <v>120</v>
      </c>
      <c r="N1665" s="39" t="n">
        <v>44743</v>
      </c>
      <c r="O1665" s="41" t="s">
        <v>23</v>
      </c>
      <c r="P1665" s="41" t="s">
        <v>105</v>
      </c>
      <c r="Q1665" s="42"/>
      <c r="R1665" s="41"/>
      <c r="S1665" s="42"/>
      <c r="T1665" s="41"/>
    </row>
    <row r="1666" customFormat="false" ht="13.5" hidden="false" customHeight="true" outlineLevel="0" collapsed="false">
      <c r="A1666" s="37" t="n">
        <v>1663</v>
      </c>
      <c r="B1666" s="37" t="n">
        <v>4058</v>
      </c>
      <c r="C1666" s="38" t="s">
        <v>7615</v>
      </c>
      <c r="D1666" s="37" t="s">
        <v>100</v>
      </c>
      <c r="E1666" s="39" t="n">
        <v>28834</v>
      </c>
      <c r="F1666" s="37" t="n">
        <f aca="true">IFERROR(DATEDIF(E1666,TODAY(),"Y"),"")</f>
        <v>47</v>
      </c>
      <c r="G1666" s="40" t="s">
        <v>7616</v>
      </c>
      <c r="H1666" s="40"/>
      <c r="I1666" s="38" t="s">
        <v>7617</v>
      </c>
      <c r="J1666" s="38" t="s">
        <v>16</v>
      </c>
      <c r="K1666" s="38" t="s">
        <v>7618</v>
      </c>
      <c r="L1666" s="38" t="s">
        <v>47</v>
      </c>
      <c r="M1666" s="37" t="s">
        <v>104</v>
      </c>
      <c r="N1666" s="39" t="n">
        <v>44743</v>
      </c>
      <c r="O1666" s="41" t="s">
        <v>23</v>
      </c>
      <c r="P1666" s="41" t="s">
        <v>105</v>
      </c>
      <c r="Q1666" s="42"/>
      <c r="R1666" s="41"/>
      <c r="S1666" s="42"/>
      <c r="T1666" s="41"/>
    </row>
    <row r="1667" customFormat="false" ht="13.5" hidden="false" customHeight="true" outlineLevel="0" collapsed="false">
      <c r="A1667" s="37" t="n">
        <v>1664</v>
      </c>
      <c r="B1667" s="37" t="n">
        <v>4059</v>
      </c>
      <c r="C1667" s="38" t="s">
        <v>7619</v>
      </c>
      <c r="D1667" s="37" t="s">
        <v>100</v>
      </c>
      <c r="E1667" s="39" t="n">
        <v>27416</v>
      </c>
      <c r="F1667" s="37" t="n">
        <f aca="true">IFERROR(DATEDIF(E1667,TODAY(),"Y"),"")</f>
        <v>51</v>
      </c>
      <c r="G1667" s="40" t="s">
        <v>7620</v>
      </c>
      <c r="H1667" s="40"/>
      <c r="I1667" s="38" t="s">
        <v>7621</v>
      </c>
      <c r="J1667" s="38"/>
      <c r="K1667" s="38" t="s">
        <v>7622</v>
      </c>
      <c r="L1667" s="38" t="s">
        <v>47</v>
      </c>
      <c r="M1667" s="37" t="s">
        <v>120</v>
      </c>
      <c r="N1667" s="39" t="n">
        <v>44744</v>
      </c>
      <c r="O1667" s="41" t="s">
        <v>23</v>
      </c>
      <c r="P1667" s="41" t="s">
        <v>105</v>
      </c>
      <c r="Q1667" s="42"/>
      <c r="R1667" s="41"/>
      <c r="S1667" s="42"/>
      <c r="T1667" s="41"/>
    </row>
    <row r="1668" customFormat="false" ht="13.5" hidden="false" customHeight="true" outlineLevel="0" collapsed="false">
      <c r="A1668" s="37" t="n">
        <v>1665</v>
      </c>
      <c r="B1668" s="37" t="n">
        <v>4060</v>
      </c>
      <c r="C1668" s="38" t="s">
        <v>7623</v>
      </c>
      <c r="D1668" s="37" t="s">
        <v>100</v>
      </c>
      <c r="E1668" s="39" t="n">
        <v>27774</v>
      </c>
      <c r="F1668" s="37" t="n">
        <f aca="true">IFERROR(DATEDIF(E1668,TODAY(),"Y"),"")</f>
        <v>50</v>
      </c>
      <c r="G1668" s="40" t="s">
        <v>7624</v>
      </c>
      <c r="H1668" s="40"/>
      <c r="I1668" s="38" t="s">
        <v>7625</v>
      </c>
      <c r="J1668" s="38" t="s">
        <v>16</v>
      </c>
      <c r="K1668" s="38" t="s">
        <v>7626</v>
      </c>
      <c r="L1668" s="38" t="s">
        <v>50</v>
      </c>
      <c r="M1668" s="37" t="s">
        <v>788</v>
      </c>
      <c r="N1668" s="39" t="n">
        <v>44746</v>
      </c>
      <c r="O1668" s="41" t="s">
        <v>23</v>
      </c>
      <c r="P1668" s="41" t="s">
        <v>105</v>
      </c>
      <c r="Q1668" s="42"/>
      <c r="R1668" s="41"/>
      <c r="S1668" s="42"/>
      <c r="T1668" s="41"/>
    </row>
    <row r="1669" customFormat="false" ht="13.5" hidden="false" customHeight="true" outlineLevel="0" collapsed="false">
      <c r="A1669" s="37" t="n">
        <v>1666</v>
      </c>
      <c r="B1669" s="37" t="n">
        <v>4061</v>
      </c>
      <c r="C1669" s="38" t="s">
        <v>7627</v>
      </c>
      <c r="D1669" s="37" t="s">
        <v>100</v>
      </c>
      <c r="E1669" s="39" t="n">
        <v>28404</v>
      </c>
      <c r="F1669" s="37" t="n">
        <f aca="true">IFERROR(DATEDIF(E1669,TODAY(),"Y"),"")</f>
        <v>48</v>
      </c>
      <c r="G1669" s="40" t="s">
        <v>7628</v>
      </c>
      <c r="H1669" s="40" t="s">
        <v>7629</v>
      </c>
      <c r="I1669" s="38" t="s">
        <v>7630</v>
      </c>
      <c r="J1669" s="38" t="s">
        <v>15</v>
      </c>
      <c r="K1669" s="38" t="s">
        <v>7631</v>
      </c>
      <c r="L1669" s="38" t="s">
        <v>55</v>
      </c>
      <c r="M1669" s="37" t="s">
        <v>104</v>
      </c>
      <c r="N1669" s="39" t="n">
        <v>44748</v>
      </c>
      <c r="O1669" s="41" t="s">
        <v>23</v>
      </c>
      <c r="P1669" s="41" t="s">
        <v>105</v>
      </c>
      <c r="Q1669" s="42"/>
      <c r="R1669" s="41"/>
      <c r="S1669" s="42"/>
      <c r="T1669" s="41"/>
    </row>
    <row r="1670" customFormat="false" ht="13.5" hidden="false" customHeight="true" outlineLevel="0" collapsed="false">
      <c r="A1670" s="37" t="n">
        <v>1667</v>
      </c>
      <c r="B1670" s="37" t="n">
        <v>4063</v>
      </c>
      <c r="C1670" s="38" t="s">
        <v>7632</v>
      </c>
      <c r="D1670" s="37" t="s">
        <v>100</v>
      </c>
      <c r="E1670" s="39" t="n">
        <v>28453</v>
      </c>
      <c r="F1670" s="37" t="n">
        <f aca="true">IFERROR(DATEDIF(E1670,TODAY(),"Y"),"")</f>
        <v>48</v>
      </c>
      <c r="G1670" s="40" t="s">
        <v>7633</v>
      </c>
      <c r="H1670" s="40" t="s">
        <v>7634</v>
      </c>
      <c r="I1670" s="38" t="s">
        <v>7635</v>
      </c>
      <c r="J1670" s="38" t="s">
        <v>16</v>
      </c>
      <c r="K1670" s="38" t="s">
        <v>7636</v>
      </c>
      <c r="L1670" s="38" t="s">
        <v>51</v>
      </c>
      <c r="M1670" s="37" t="s">
        <v>104</v>
      </c>
      <c r="N1670" s="39" t="n">
        <v>44771</v>
      </c>
      <c r="O1670" s="41" t="s">
        <v>23</v>
      </c>
      <c r="P1670" s="41" t="s">
        <v>105</v>
      </c>
      <c r="Q1670" s="42"/>
      <c r="R1670" s="41"/>
      <c r="S1670" s="42"/>
      <c r="T1670" s="41"/>
    </row>
    <row r="1671" customFormat="false" ht="13.5" hidden="false" customHeight="true" outlineLevel="0" collapsed="false">
      <c r="A1671" s="37" t="n">
        <v>1668</v>
      </c>
      <c r="B1671" s="37" t="n">
        <v>4064</v>
      </c>
      <c r="C1671" s="38" t="s">
        <v>7637</v>
      </c>
      <c r="D1671" s="37" t="s">
        <v>100</v>
      </c>
      <c r="E1671" s="39" t="n">
        <v>29635</v>
      </c>
      <c r="F1671" s="37" t="n">
        <f aca="true">IFERROR(DATEDIF(E1671,TODAY(),"Y"),"")</f>
        <v>45</v>
      </c>
      <c r="G1671" s="40" t="s">
        <v>7638</v>
      </c>
      <c r="H1671" s="40" t="s">
        <v>7639</v>
      </c>
      <c r="I1671" s="38" t="s">
        <v>7640</v>
      </c>
      <c r="J1671" s="38"/>
      <c r="K1671" s="38" t="s">
        <v>7641</v>
      </c>
      <c r="L1671" s="38" t="s">
        <v>53</v>
      </c>
      <c r="M1671" s="37" t="s">
        <v>120</v>
      </c>
      <c r="N1671" s="39" t="n">
        <v>44775</v>
      </c>
      <c r="O1671" s="41" t="s">
        <v>23</v>
      </c>
      <c r="P1671" s="41" t="s">
        <v>105</v>
      </c>
      <c r="Q1671" s="42"/>
      <c r="R1671" s="41"/>
      <c r="S1671" s="42"/>
      <c r="T1671" s="41"/>
    </row>
    <row r="1672" customFormat="false" ht="13.5" hidden="false" customHeight="true" outlineLevel="0" collapsed="false">
      <c r="A1672" s="37" t="n">
        <v>1669</v>
      </c>
      <c r="B1672" s="37" t="n">
        <v>4065</v>
      </c>
      <c r="C1672" s="38" t="s">
        <v>7642</v>
      </c>
      <c r="D1672" s="37" t="s">
        <v>100</v>
      </c>
      <c r="E1672" s="39" t="n">
        <v>27907</v>
      </c>
      <c r="F1672" s="37" t="n">
        <f aca="true">IFERROR(DATEDIF(E1672,TODAY(),"Y"),"")</f>
        <v>50</v>
      </c>
      <c r="G1672" s="40" t="s">
        <v>7643</v>
      </c>
      <c r="H1672" s="40"/>
      <c r="I1672" s="38" t="s">
        <v>7644</v>
      </c>
      <c r="J1672" s="38"/>
      <c r="K1672" s="38" t="s">
        <v>7645</v>
      </c>
      <c r="L1672" s="38" t="s">
        <v>51</v>
      </c>
      <c r="M1672" s="37" t="s">
        <v>177</v>
      </c>
      <c r="N1672" s="39" t="n">
        <v>44775</v>
      </c>
      <c r="O1672" s="41" t="s">
        <v>23</v>
      </c>
      <c r="P1672" s="41" t="s">
        <v>105</v>
      </c>
      <c r="Q1672" s="42"/>
      <c r="R1672" s="41"/>
      <c r="S1672" s="42"/>
      <c r="T1672" s="41"/>
    </row>
    <row r="1673" customFormat="false" ht="13.5" hidden="false" customHeight="true" outlineLevel="0" collapsed="false">
      <c r="A1673" s="37" t="n">
        <v>1670</v>
      </c>
      <c r="B1673" s="37" t="n">
        <v>4066</v>
      </c>
      <c r="C1673" s="38" t="s">
        <v>7646</v>
      </c>
      <c r="D1673" s="37" t="s">
        <v>100</v>
      </c>
      <c r="E1673" s="39" t="n">
        <v>27555</v>
      </c>
      <c r="F1673" s="37" t="n">
        <f aca="true">IFERROR(DATEDIF(E1673,TODAY(),"Y"),"")</f>
        <v>51</v>
      </c>
      <c r="G1673" s="40" t="s">
        <v>7647</v>
      </c>
      <c r="H1673" s="40"/>
      <c r="I1673" s="38" t="s">
        <v>7648</v>
      </c>
      <c r="J1673" s="38" t="s">
        <v>16</v>
      </c>
      <c r="K1673" s="38" t="s">
        <v>7649</v>
      </c>
      <c r="L1673" s="38" t="s">
        <v>47</v>
      </c>
      <c r="M1673" s="37" t="s">
        <v>104</v>
      </c>
      <c r="N1673" s="39" t="n">
        <v>44779</v>
      </c>
      <c r="O1673" s="41" t="s">
        <v>23</v>
      </c>
      <c r="P1673" s="41" t="s">
        <v>105</v>
      </c>
      <c r="Q1673" s="42"/>
      <c r="R1673" s="41"/>
      <c r="S1673" s="42"/>
      <c r="T1673" s="41"/>
    </row>
    <row r="1674" customFormat="false" ht="13.5" hidden="false" customHeight="true" outlineLevel="0" collapsed="false">
      <c r="A1674" s="37" t="n">
        <v>1671</v>
      </c>
      <c r="B1674" s="37" t="n">
        <v>4067</v>
      </c>
      <c r="C1674" s="38" t="s">
        <v>7650</v>
      </c>
      <c r="D1674" s="37" t="s">
        <v>100</v>
      </c>
      <c r="E1674" s="39" t="n">
        <v>32921</v>
      </c>
      <c r="F1674" s="37" t="n">
        <f aca="true">IFERROR(DATEDIF(E1674,TODAY(),"Y"),"")</f>
        <v>36</v>
      </c>
      <c r="G1674" s="40" t="s">
        <v>7651</v>
      </c>
      <c r="H1674" s="40"/>
      <c r="I1674" s="38" t="s">
        <v>7652</v>
      </c>
      <c r="J1674" s="38"/>
      <c r="K1674" s="38" t="s">
        <v>7653</v>
      </c>
      <c r="L1674" s="38" t="s">
        <v>46</v>
      </c>
      <c r="M1674" s="37"/>
      <c r="N1674" s="39" t="n">
        <v>44796</v>
      </c>
      <c r="O1674" s="41" t="s">
        <v>23</v>
      </c>
      <c r="P1674" s="41" t="s">
        <v>105</v>
      </c>
      <c r="Q1674" s="42"/>
      <c r="R1674" s="41"/>
      <c r="S1674" s="42"/>
      <c r="T1674" s="41"/>
    </row>
    <row r="1675" customFormat="false" ht="13.5" hidden="false" customHeight="true" outlineLevel="0" collapsed="false">
      <c r="A1675" s="37" t="n">
        <v>1672</v>
      </c>
      <c r="B1675" s="37" t="n">
        <v>4068</v>
      </c>
      <c r="C1675" s="38" t="s">
        <v>7654</v>
      </c>
      <c r="D1675" s="37" t="s">
        <v>100</v>
      </c>
      <c r="E1675" s="39" t="n">
        <v>29985</v>
      </c>
      <c r="F1675" s="37" t="n">
        <f aca="true">IFERROR(DATEDIF(E1675,TODAY(),"Y"),"")</f>
        <v>44</v>
      </c>
      <c r="G1675" s="40" t="s">
        <v>7655</v>
      </c>
      <c r="H1675" s="40"/>
      <c r="I1675" s="38" t="s">
        <v>7656</v>
      </c>
      <c r="J1675" s="38" t="s">
        <v>15</v>
      </c>
      <c r="K1675" s="38" t="s">
        <v>7657</v>
      </c>
      <c r="L1675" s="38" t="s">
        <v>55</v>
      </c>
      <c r="M1675" s="37" t="s">
        <v>120</v>
      </c>
      <c r="N1675" s="39" t="n">
        <v>44825</v>
      </c>
      <c r="O1675" s="41" t="s">
        <v>23</v>
      </c>
      <c r="P1675" s="41" t="s">
        <v>105</v>
      </c>
      <c r="Q1675" s="42"/>
      <c r="R1675" s="41"/>
      <c r="S1675" s="42"/>
      <c r="T1675" s="41"/>
    </row>
    <row r="1676" customFormat="false" ht="13.5" hidden="false" customHeight="true" outlineLevel="0" collapsed="false">
      <c r="A1676" s="37" t="n">
        <v>1673</v>
      </c>
      <c r="B1676" s="37" t="n">
        <v>4069</v>
      </c>
      <c r="C1676" s="38" t="s">
        <v>7658</v>
      </c>
      <c r="D1676" s="37" t="s">
        <v>100</v>
      </c>
      <c r="E1676" s="39" t="n">
        <v>23524</v>
      </c>
      <c r="F1676" s="37" t="n">
        <f aca="true">IFERROR(DATEDIF(E1676,TODAY(),"Y"),"")</f>
        <v>62</v>
      </c>
      <c r="G1676" s="40" t="s">
        <v>7659</v>
      </c>
      <c r="H1676" s="40"/>
      <c r="I1676" s="38" t="s">
        <v>7660</v>
      </c>
      <c r="J1676" s="38" t="s">
        <v>18</v>
      </c>
      <c r="K1676" s="38" t="s">
        <v>7661</v>
      </c>
      <c r="L1676" s="38" t="s">
        <v>50</v>
      </c>
      <c r="M1676" s="37" t="s">
        <v>120</v>
      </c>
      <c r="N1676" s="39" t="n">
        <v>44827</v>
      </c>
      <c r="O1676" s="41" t="s">
        <v>23</v>
      </c>
      <c r="P1676" s="41" t="s">
        <v>105</v>
      </c>
      <c r="Q1676" s="42"/>
      <c r="R1676" s="41"/>
      <c r="S1676" s="42"/>
      <c r="T1676" s="41"/>
    </row>
    <row r="1677" customFormat="false" ht="13.5" hidden="false" customHeight="true" outlineLevel="0" collapsed="false">
      <c r="A1677" s="37" t="n">
        <v>1674</v>
      </c>
      <c r="B1677" s="37" t="n">
        <v>4070</v>
      </c>
      <c r="C1677" s="38" t="s">
        <v>7662</v>
      </c>
      <c r="D1677" s="37" t="s">
        <v>100</v>
      </c>
      <c r="E1677" s="39" t="n">
        <v>27163</v>
      </c>
      <c r="F1677" s="37" t="n">
        <f aca="true">IFERROR(DATEDIF(E1677,TODAY(),"Y"),"")</f>
        <v>52</v>
      </c>
      <c r="G1677" s="40" t="s">
        <v>7663</v>
      </c>
      <c r="H1677" s="40" t="s">
        <v>7664</v>
      </c>
      <c r="I1677" s="38" t="s">
        <v>7665</v>
      </c>
      <c r="J1677" s="38" t="s">
        <v>16</v>
      </c>
      <c r="K1677" s="38" t="s">
        <v>7666</v>
      </c>
      <c r="L1677" s="38" t="s">
        <v>48</v>
      </c>
      <c r="M1677" s="37" t="s">
        <v>120</v>
      </c>
      <c r="N1677" s="39" t="n">
        <v>44827</v>
      </c>
      <c r="O1677" s="41" t="s">
        <v>23</v>
      </c>
      <c r="P1677" s="41" t="s">
        <v>105</v>
      </c>
      <c r="Q1677" s="42"/>
      <c r="R1677" s="41"/>
      <c r="S1677" s="42"/>
      <c r="T1677" s="41"/>
    </row>
    <row r="1678" customFormat="false" ht="13.5" hidden="false" customHeight="true" outlineLevel="0" collapsed="false">
      <c r="A1678" s="37" t="n">
        <v>1675</v>
      </c>
      <c r="B1678" s="37" t="n">
        <v>4071</v>
      </c>
      <c r="C1678" s="38" t="s">
        <v>7667</v>
      </c>
      <c r="D1678" s="37" t="s">
        <v>100</v>
      </c>
      <c r="E1678" s="39" t="n">
        <v>26815</v>
      </c>
      <c r="F1678" s="37" t="n">
        <f aca="true">IFERROR(DATEDIF(E1678,TODAY(),"Y"),"")</f>
        <v>53</v>
      </c>
      <c r="G1678" s="40" t="s">
        <v>7668</v>
      </c>
      <c r="H1678" s="40"/>
      <c r="I1678" s="38" t="s">
        <v>7669</v>
      </c>
      <c r="J1678" s="38"/>
      <c r="K1678" s="38" t="s">
        <v>7670</v>
      </c>
      <c r="L1678" s="38" t="s">
        <v>51</v>
      </c>
      <c r="M1678" s="37" t="s">
        <v>120</v>
      </c>
      <c r="N1678" s="39" t="n">
        <v>44839</v>
      </c>
      <c r="O1678" s="41" t="s">
        <v>23</v>
      </c>
      <c r="P1678" s="41" t="s">
        <v>105</v>
      </c>
      <c r="Q1678" s="42"/>
      <c r="R1678" s="41"/>
      <c r="S1678" s="42"/>
      <c r="T1678" s="41"/>
    </row>
    <row r="1679" customFormat="false" ht="13.5" hidden="false" customHeight="true" outlineLevel="0" collapsed="false">
      <c r="A1679" s="37" t="n">
        <v>1676</v>
      </c>
      <c r="B1679" s="37" t="n">
        <v>4072</v>
      </c>
      <c r="C1679" s="38" t="s">
        <v>7671</v>
      </c>
      <c r="D1679" s="37" t="s">
        <v>100</v>
      </c>
      <c r="E1679" s="39" t="n">
        <v>24556</v>
      </c>
      <c r="F1679" s="37" t="n">
        <f aca="true">IFERROR(DATEDIF(E1679,TODAY(),"Y"),"")</f>
        <v>59</v>
      </c>
      <c r="G1679" s="40" t="s">
        <v>7672</v>
      </c>
      <c r="H1679" s="40"/>
      <c r="I1679" s="38" t="s">
        <v>7673</v>
      </c>
      <c r="J1679" s="38" t="s">
        <v>15</v>
      </c>
      <c r="K1679" s="38" t="s">
        <v>7674</v>
      </c>
      <c r="L1679" s="38" t="s">
        <v>43</v>
      </c>
      <c r="M1679" s="37" t="s">
        <v>104</v>
      </c>
      <c r="N1679" s="39" t="n">
        <v>44848</v>
      </c>
      <c r="O1679" s="41" t="s">
        <v>23</v>
      </c>
      <c r="P1679" s="41" t="s">
        <v>105</v>
      </c>
      <c r="Q1679" s="42"/>
      <c r="R1679" s="41"/>
      <c r="S1679" s="42"/>
      <c r="T1679" s="41"/>
    </row>
    <row r="1680" customFormat="false" ht="13.5" hidden="false" customHeight="true" outlineLevel="0" collapsed="false">
      <c r="A1680" s="37" t="n">
        <v>1677</v>
      </c>
      <c r="B1680" s="37" t="n">
        <v>4073</v>
      </c>
      <c r="C1680" s="38" t="s">
        <v>7675</v>
      </c>
      <c r="D1680" s="37" t="s">
        <v>100</v>
      </c>
      <c r="E1680" s="39" t="n">
        <v>27460</v>
      </c>
      <c r="F1680" s="37" t="n">
        <f aca="true">IFERROR(DATEDIF(E1680,TODAY(),"Y"),"")</f>
        <v>51</v>
      </c>
      <c r="G1680" s="40" t="s">
        <v>7676</v>
      </c>
      <c r="H1680" s="40" t="s">
        <v>7677</v>
      </c>
      <c r="I1680" s="38" t="s">
        <v>7678</v>
      </c>
      <c r="J1680" s="38" t="s">
        <v>16</v>
      </c>
      <c r="K1680" s="38" t="s">
        <v>7679</v>
      </c>
      <c r="L1680" s="38" t="s">
        <v>55</v>
      </c>
      <c r="M1680" s="37" t="s">
        <v>120</v>
      </c>
      <c r="N1680" s="39" t="n">
        <v>44861</v>
      </c>
      <c r="O1680" s="41" t="s">
        <v>23</v>
      </c>
      <c r="P1680" s="41" t="s">
        <v>105</v>
      </c>
      <c r="Q1680" s="42"/>
      <c r="R1680" s="41"/>
      <c r="S1680" s="42"/>
      <c r="T1680" s="41"/>
    </row>
    <row r="1681" customFormat="false" ht="13.5" hidden="false" customHeight="true" outlineLevel="0" collapsed="false">
      <c r="A1681" s="37" t="n">
        <v>1678</v>
      </c>
      <c r="B1681" s="37" t="n">
        <v>4074</v>
      </c>
      <c r="C1681" s="38" t="s">
        <v>7680</v>
      </c>
      <c r="D1681" s="37" t="s">
        <v>100</v>
      </c>
      <c r="E1681" s="39" t="n">
        <v>24613</v>
      </c>
      <c r="F1681" s="37" t="n">
        <f aca="true">IFERROR(DATEDIF(E1681,TODAY(),"Y"),"")</f>
        <v>59</v>
      </c>
      <c r="G1681" s="40" t="s">
        <v>7681</v>
      </c>
      <c r="H1681" s="40"/>
      <c r="I1681" s="38" t="s">
        <v>7682</v>
      </c>
      <c r="J1681" s="38" t="s">
        <v>16</v>
      </c>
      <c r="K1681" s="38" t="s">
        <v>7683</v>
      </c>
      <c r="L1681" s="38" t="s">
        <v>50</v>
      </c>
      <c r="M1681" s="37" t="s">
        <v>788</v>
      </c>
      <c r="N1681" s="39" t="n">
        <v>44879</v>
      </c>
      <c r="O1681" s="41" t="s">
        <v>23</v>
      </c>
      <c r="P1681" s="41" t="s">
        <v>105</v>
      </c>
      <c r="Q1681" s="42"/>
      <c r="R1681" s="41"/>
      <c r="S1681" s="42"/>
      <c r="T1681" s="41"/>
    </row>
    <row r="1682" customFormat="false" ht="13.5" hidden="false" customHeight="true" outlineLevel="0" collapsed="false">
      <c r="A1682" s="37" t="n">
        <v>1679</v>
      </c>
      <c r="B1682" s="37" t="n">
        <v>4075</v>
      </c>
      <c r="C1682" s="38" t="s">
        <v>7684</v>
      </c>
      <c r="D1682" s="37" t="s">
        <v>100</v>
      </c>
      <c r="E1682" s="39" t="n">
        <v>26444</v>
      </c>
      <c r="F1682" s="37" t="n">
        <f aca="true">IFERROR(DATEDIF(E1682,TODAY(),"Y"),"")</f>
        <v>54</v>
      </c>
      <c r="G1682" s="40" t="s">
        <v>7685</v>
      </c>
      <c r="H1682" s="40" t="s">
        <v>7686</v>
      </c>
      <c r="I1682" s="38" t="s">
        <v>7687</v>
      </c>
      <c r="J1682" s="38" t="s">
        <v>18</v>
      </c>
      <c r="K1682" s="38" t="s">
        <v>7688</v>
      </c>
      <c r="L1682" s="38" t="s">
        <v>47</v>
      </c>
      <c r="M1682" s="37" t="s">
        <v>120</v>
      </c>
      <c r="N1682" s="39" t="n">
        <v>44879</v>
      </c>
      <c r="O1682" s="41" t="s">
        <v>23</v>
      </c>
      <c r="P1682" s="41" t="s">
        <v>105</v>
      </c>
      <c r="Q1682" s="42"/>
      <c r="R1682" s="41"/>
      <c r="S1682" s="42"/>
      <c r="T1682" s="41"/>
    </row>
    <row r="1683" customFormat="false" ht="13.5" hidden="false" customHeight="true" outlineLevel="0" collapsed="false">
      <c r="A1683" s="37" t="n">
        <v>1680</v>
      </c>
      <c r="B1683" s="37" t="n">
        <v>4076</v>
      </c>
      <c r="C1683" s="38" t="s">
        <v>7689</v>
      </c>
      <c r="D1683" s="37" t="s">
        <v>100</v>
      </c>
      <c r="E1683" s="39" t="n">
        <v>30503</v>
      </c>
      <c r="F1683" s="37" t="n">
        <f aca="true">IFERROR(DATEDIF(E1683,TODAY(),"Y"),"")</f>
        <v>43</v>
      </c>
      <c r="G1683" s="40" t="s">
        <v>7690</v>
      </c>
      <c r="H1683" s="40"/>
      <c r="I1683" s="38" t="s">
        <v>7691</v>
      </c>
      <c r="J1683" s="38" t="s">
        <v>15</v>
      </c>
      <c r="K1683" s="38" t="s">
        <v>7692</v>
      </c>
      <c r="L1683" s="38" t="s">
        <v>48</v>
      </c>
      <c r="M1683" s="37" t="s">
        <v>120</v>
      </c>
      <c r="N1683" s="39" t="n">
        <v>44881</v>
      </c>
      <c r="O1683" s="41" t="s">
        <v>23</v>
      </c>
      <c r="P1683" s="41" t="s">
        <v>105</v>
      </c>
      <c r="Q1683" s="42"/>
      <c r="R1683" s="41"/>
      <c r="S1683" s="42"/>
      <c r="T1683" s="41"/>
    </row>
    <row r="1684" customFormat="false" ht="13.5" hidden="false" customHeight="true" outlineLevel="0" collapsed="false">
      <c r="A1684" s="37" t="n">
        <v>1681</v>
      </c>
      <c r="B1684" s="37" t="n">
        <v>4077</v>
      </c>
      <c r="C1684" s="38" t="s">
        <v>7693</v>
      </c>
      <c r="D1684" s="37" t="s">
        <v>100</v>
      </c>
      <c r="E1684" s="39" t="n">
        <v>32238</v>
      </c>
      <c r="F1684" s="37" t="n">
        <f aca="true">IFERROR(DATEDIF(E1684,TODAY(),"Y"),"")</f>
        <v>38</v>
      </c>
      <c r="G1684" s="40" t="s">
        <v>7694</v>
      </c>
      <c r="H1684" s="40" t="s">
        <v>7695</v>
      </c>
      <c r="I1684" s="38" t="s">
        <v>7696</v>
      </c>
      <c r="J1684" s="38" t="s">
        <v>15</v>
      </c>
      <c r="K1684" s="38" t="s">
        <v>7697</v>
      </c>
      <c r="L1684" s="38" t="s">
        <v>48</v>
      </c>
      <c r="M1684" s="37" t="s">
        <v>120</v>
      </c>
      <c r="N1684" s="39" t="n">
        <v>44886</v>
      </c>
      <c r="O1684" s="41" t="s">
        <v>23</v>
      </c>
      <c r="P1684" s="41" t="s">
        <v>105</v>
      </c>
      <c r="Q1684" s="42"/>
      <c r="R1684" s="41"/>
      <c r="S1684" s="42"/>
      <c r="T1684" s="41"/>
    </row>
    <row r="1685" customFormat="false" ht="13.5" hidden="false" customHeight="true" outlineLevel="0" collapsed="false">
      <c r="A1685" s="37" t="n">
        <v>1682</v>
      </c>
      <c r="B1685" s="37" t="n">
        <v>4078</v>
      </c>
      <c r="C1685" s="38" t="s">
        <v>7698</v>
      </c>
      <c r="D1685" s="37" t="s">
        <v>100</v>
      </c>
      <c r="E1685" s="39" t="n">
        <v>32167</v>
      </c>
      <c r="F1685" s="37" t="n">
        <f aca="true">IFERROR(DATEDIF(E1685,TODAY(),"Y"),"")</f>
        <v>38</v>
      </c>
      <c r="G1685" s="40" t="s">
        <v>7699</v>
      </c>
      <c r="H1685" s="40"/>
      <c r="I1685" s="38" t="s">
        <v>7700</v>
      </c>
      <c r="J1685" s="38" t="s">
        <v>15</v>
      </c>
      <c r="K1685" s="38" t="s">
        <v>7701</v>
      </c>
      <c r="L1685" s="38" t="s">
        <v>55</v>
      </c>
      <c r="M1685" s="37" t="s">
        <v>120</v>
      </c>
      <c r="N1685" s="39" t="n">
        <v>44889</v>
      </c>
      <c r="O1685" s="41" t="s">
        <v>23</v>
      </c>
      <c r="P1685" s="41" t="s">
        <v>105</v>
      </c>
      <c r="Q1685" s="42"/>
      <c r="R1685" s="41"/>
      <c r="S1685" s="42"/>
      <c r="T1685" s="41"/>
    </row>
    <row r="1686" customFormat="false" ht="13.5" hidden="false" customHeight="true" outlineLevel="0" collapsed="false">
      <c r="A1686" s="37" t="n">
        <v>1683</v>
      </c>
      <c r="B1686" s="37" t="n">
        <v>4079</v>
      </c>
      <c r="C1686" s="38" t="s">
        <v>7702</v>
      </c>
      <c r="D1686" s="37" t="s">
        <v>100</v>
      </c>
      <c r="E1686" s="39" t="n">
        <v>26444</v>
      </c>
      <c r="F1686" s="37" t="n">
        <f aca="true">IFERROR(DATEDIF(E1686,TODAY(),"Y"),"")</f>
        <v>54</v>
      </c>
      <c r="G1686" s="40" t="s">
        <v>7703</v>
      </c>
      <c r="H1686" s="40"/>
      <c r="I1686" s="38" t="s">
        <v>7704</v>
      </c>
      <c r="J1686" s="38" t="s">
        <v>16</v>
      </c>
      <c r="K1686" s="38" t="s">
        <v>7705</v>
      </c>
      <c r="L1686" s="38" t="s">
        <v>50</v>
      </c>
      <c r="M1686" s="37" t="s">
        <v>231</v>
      </c>
      <c r="N1686" s="39" t="n">
        <v>44903</v>
      </c>
      <c r="O1686" s="41" t="s">
        <v>23</v>
      </c>
      <c r="P1686" s="41" t="s">
        <v>105</v>
      </c>
      <c r="Q1686" s="42"/>
      <c r="R1686" s="41"/>
      <c r="S1686" s="42"/>
      <c r="T1686" s="41"/>
    </row>
    <row r="1687" customFormat="false" ht="13.5" hidden="false" customHeight="true" outlineLevel="0" collapsed="false">
      <c r="A1687" s="37" t="n">
        <v>1684</v>
      </c>
      <c r="B1687" s="37" t="n">
        <v>4080</v>
      </c>
      <c r="C1687" s="38" t="s">
        <v>7706</v>
      </c>
      <c r="D1687" s="37" t="s">
        <v>100</v>
      </c>
      <c r="E1687" s="39" t="n">
        <v>23355</v>
      </c>
      <c r="F1687" s="37" t="n">
        <f aca="true">IFERROR(DATEDIF(E1687,TODAY(),"Y"),"")</f>
        <v>62</v>
      </c>
      <c r="G1687" s="40" t="s">
        <v>7707</v>
      </c>
      <c r="H1687" s="40" t="s">
        <v>7708</v>
      </c>
      <c r="I1687" s="38" t="s">
        <v>7709</v>
      </c>
      <c r="J1687" s="38" t="s">
        <v>16</v>
      </c>
      <c r="K1687" s="38" t="s">
        <v>7710</v>
      </c>
      <c r="L1687" s="38" t="s">
        <v>43</v>
      </c>
      <c r="M1687" s="37" t="s">
        <v>190</v>
      </c>
      <c r="N1687" s="39" t="n">
        <v>44903</v>
      </c>
      <c r="O1687" s="41" t="s">
        <v>23</v>
      </c>
      <c r="P1687" s="41" t="s">
        <v>105</v>
      </c>
      <c r="Q1687" s="42"/>
      <c r="R1687" s="41"/>
      <c r="S1687" s="42"/>
      <c r="T1687" s="41"/>
    </row>
    <row r="1688" customFormat="false" ht="13.5" hidden="false" customHeight="true" outlineLevel="0" collapsed="false">
      <c r="A1688" s="37" t="n">
        <v>1685</v>
      </c>
      <c r="B1688" s="37" t="n">
        <v>4081</v>
      </c>
      <c r="C1688" s="38" t="s">
        <v>7711</v>
      </c>
      <c r="D1688" s="37" t="s">
        <v>100</v>
      </c>
      <c r="E1688" s="39" t="n">
        <v>28273</v>
      </c>
      <c r="F1688" s="37" t="n">
        <f aca="true">IFERROR(DATEDIF(E1688,TODAY(),"Y"),"")</f>
        <v>49</v>
      </c>
      <c r="G1688" s="40" t="s">
        <v>7712</v>
      </c>
      <c r="H1688" s="40"/>
      <c r="I1688" s="38" t="s">
        <v>7713</v>
      </c>
      <c r="J1688" s="38" t="s">
        <v>15</v>
      </c>
      <c r="K1688" s="38" t="s">
        <v>7714</v>
      </c>
      <c r="L1688" s="38" t="s">
        <v>46</v>
      </c>
      <c r="M1688" s="37" t="s">
        <v>120</v>
      </c>
      <c r="N1688" s="39" t="n">
        <v>44903</v>
      </c>
      <c r="O1688" s="41" t="s">
        <v>23</v>
      </c>
      <c r="P1688" s="41" t="s">
        <v>105</v>
      </c>
      <c r="Q1688" s="42"/>
      <c r="R1688" s="41"/>
      <c r="S1688" s="42"/>
      <c r="T1688" s="41"/>
    </row>
    <row r="1689" customFormat="false" ht="13.5" hidden="false" customHeight="true" outlineLevel="0" collapsed="false">
      <c r="A1689" s="37" t="n">
        <v>1686</v>
      </c>
      <c r="B1689" s="37" t="n">
        <v>4082</v>
      </c>
      <c r="C1689" s="38" t="s">
        <v>7715</v>
      </c>
      <c r="D1689" s="37" t="s">
        <v>100</v>
      </c>
      <c r="E1689" s="39" t="n">
        <v>28584</v>
      </c>
      <c r="F1689" s="37" t="n">
        <f aca="true">IFERROR(DATEDIF(E1689,TODAY(),"Y"),"")</f>
        <v>48</v>
      </c>
      <c r="G1689" s="40" t="s">
        <v>7716</v>
      </c>
      <c r="H1689" s="40"/>
      <c r="I1689" s="38" t="s">
        <v>7717</v>
      </c>
      <c r="J1689" s="38" t="s">
        <v>16</v>
      </c>
      <c r="K1689" s="38" t="s">
        <v>7718</v>
      </c>
      <c r="L1689" s="38" t="s">
        <v>46</v>
      </c>
      <c r="M1689" s="37"/>
      <c r="N1689" s="39" t="n">
        <v>44908</v>
      </c>
      <c r="O1689" s="41" t="s">
        <v>23</v>
      </c>
      <c r="P1689" s="41" t="s">
        <v>105</v>
      </c>
      <c r="Q1689" s="42"/>
      <c r="R1689" s="41"/>
      <c r="S1689" s="42"/>
      <c r="T1689" s="41"/>
    </row>
    <row r="1690" customFormat="false" ht="13.5" hidden="false" customHeight="true" outlineLevel="0" collapsed="false">
      <c r="A1690" s="37" t="n">
        <v>1687</v>
      </c>
      <c r="B1690" s="37" t="n">
        <v>4084</v>
      </c>
      <c r="C1690" s="38" t="s">
        <v>7719</v>
      </c>
      <c r="D1690" s="37" t="s">
        <v>100</v>
      </c>
      <c r="E1690" s="39" t="n">
        <v>31547</v>
      </c>
      <c r="F1690" s="37" t="n">
        <f aca="true">IFERROR(DATEDIF(E1690,TODAY(),"Y"),"")</f>
        <v>40</v>
      </c>
      <c r="G1690" s="40" t="s">
        <v>7720</v>
      </c>
      <c r="H1690" s="40" t="s">
        <v>7721</v>
      </c>
      <c r="I1690" s="38" t="s">
        <v>7722</v>
      </c>
      <c r="J1690" s="38" t="s">
        <v>15</v>
      </c>
      <c r="K1690" s="38" t="s">
        <v>7723</v>
      </c>
      <c r="L1690" s="38" t="s">
        <v>43</v>
      </c>
      <c r="M1690" s="37" t="s">
        <v>104</v>
      </c>
      <c r="N1690" s="39" t="n">
        <v>44911</v>
      </c>
      <c r="O1690" s="41" t="s">
        <v>23</v>
      </c>
      <c r="P1690" s="41" t="s">
        <v>105</v>
      </c>
      <c r="Q1690" s="42"/>
      <c r="R1690" s="41"/>
      <c r="S1690" s="42"/>
      <c r="T1690" s="41"/>
    </row>
    <row r="1691" customFormat="false" ht="13.5" hidden="false" customHeight="true" outlineLevel="0" collapsed="false">
      <c r="A1691" s="37" t="n">
        <v>1688</v>
      </c>
      <c r="B1691" s="37" t="n">
        <v>4085</v>
      </c>
      <c r="C1691" s="38" t="s">
        <v>7724</v>
      </c>
      <c r="D1691" s="37" t="s">
        <v>100</v>
      </c>
      <c r="E1691" s="39" t="n">
        <v>27900</v>
      </c>
      <c r="F1691" s="37" t="n">
        <f aca="true">IFERROR(DATEDIF(E1691,TODAY(),"Y"),"")</f>
        <v>50</v>
      </c>
      <c r="G1691" s="40" t="s">
        <v>7725</v>
      </c>
      <c r="H1691" s="40" t="s">
        <v>7726</v>
      </c>
      <c r="I1691" s="38" t="s">
        <v>7727</v>
      </c>
      <c r="J1691" s="38" t="s">
        <v>15</v>
      </c>
      <c r="K1691" s="38" t="s">
        <v>7728</v>
      </c>
      <c r="L1691" s="38" t="s">
        <v>51</v>
      </c>
      <c r="M1691" s="37" t="s">
        <v>120</v>
      </c>
      <c r="N1691" s="39" t="n">
        <v>44912</v>
      </c>
      <c r="O1691" s="41" t="s">
        <v>23</v>
      </c>
      <c r="P1691" s="41" t="s">
        <v>105</v>
      </c>
      <c r="Q1691" s="42"/>
      <c r="R1691" s="41"/>
      <c r="S1691" s="42"/>
      <c r="T1691" s="41"/>
    </row>
    <row r="1692" customFormat="false" ht="13.5" hidden="false" customHeight="true" outlineLevel="0" collapsed="false">
      <c r="A1692" s="37" t="n">
        <v>1689</v>
      </c>
      <c r="B1692" s="37" t="n">
        <v>4086</v>
      </c>
      <c r="C1692" s="38" t="s">
        <v>7729</v>
      </c>
      <c r="D1692" s="37" t="s">
        <v>100</v>
      </c>
      <c r="E1692" s="39" t="n">
        <v>33793</v>
      </c>
      <c r="F1692" s="37" t="n">
        <f aca="true">IFERROR(DATEDIF(E1692,TODAY(),"Y"),"")</f>
        <v>34</v>
      </c>
      <c r="G1692" s="40" t="s">
        <v>7730</v>
      </c>
      <c r="H1692" s="40" t="s">
        <v>7731</v>
      </c>
      <c r="I1692" s="38" t="s">
        <v>7732</v>
      </c>
      <c r="J1692" s="38" t="s">
        <v>16</v>
      </c>
      <c r="K1692" s="38" t="s">
        <v>7733</v>
      </c>
      <c r="L1692" s="38" t="s">
        <v>46</v>
      </c>
      <c r="M1692" s="37" t="s">
        <v>120</v>
      </c>
      <c r="N1692" s="39" t="n">
        <v>44912</v>
      </c>
      <c r="O1692" s="41" t="s">
        <v>23</v>
      </c>
      <c r="P1692" s="41" t="s">
        <v>105</v>
      </c>
      <c r="Q1692" s="42"/>
      <c r="R1692" s="41"/>
      <c r="S1692" s="42"/>
      <c r="T1692" s="41"/>
    </row>
    <row r="1693" customFormat="false" ht="13.5" hidden="false" customHeight="true" outlineLevel="0" collapsed="false">
      <c r="A1693" s="37" t="n">
        <v>1690</v>
      </c>
      <c r="B1693" s="37" t="n">
        <v>4087</v>
      </c>
      <c r="C1693" s="38" t="s">
        <v>7734</v>
      </c>
      <c r="D1693" s="37" t="s">
        <v>100</v>
      </c>
      <c r="E1693" s="39" t="n">
        <v>31619</v>
      </c>
      <c r="F1693" s="37" t="n">
        <f aca="true">IFERROR(DATEDIF(E1693,TODAY(),"Y"),"")</f>
        <v>40</v>
      </c>
      <c r="G1693" s="40" t="s">
        <v>7735</v>
      </c>
      <c r="H1693" s="40" t="s">
        <v>7736</v>
      </c>
      <c r="I1693" s="38" t="s">
        <v>7737</v>
      </c>
      <c r="J1693" s="38" t="s">
        <v>15</v>
      </c>
      <c r="K1693" s="38" t="s">
        <v>7738</v>
      </c>
      <c r="L1693" s="38" t="s">
        <v>57</v>
      </c>
      <c r="M1693" s="37" t="s">
        <v>177</v>
      </c>
      <c r="N1693" s="39" t="n">
        <v>44917</v>
      </c>
      <c r="O1693" s="41" t="s">
        <v>23</v>
      </c>
      <c r="P1693" s="41" t="s">
        <v>105</v>
      </c>
      <c r="Q1693" s="42"/>
      <c r="R1693" s="41"/>
      <c r="S1693" s="42"/>
      <c r="T1693" s="41"/>
    </row>
    <row r="1694" customFormat="false" ht="13.5" hidden="false" customHeight="true" outlineLevel="0" collapsed="false">
      <c r="A1694" s="37" t="n">
        <v>1691</v>
      </c>
      <c r="B1694" s="37" t="n">
        <v>4088</v>
      </c>
      <c r="C1694" s="38" t="s">
        <v>7739</v>
      </c>
      <c r="D1694" s="37" t="s">
        <v>100</v>
      </c>
      <c r="E1694" s="39" t="n">
        <v>28249</v>
      </c>
      <c r="F1694" s="37" t="n">
        <f aca="true">IFERROR(DATEDIF(E1694,TODAY(),"Y"),"")</f>
        <v>49</v>
      </c>
      <c r="G1694" s="40" t="s">
        <v>7740</v>
      </c>
      <c r="H1694" s="40"/>
      <c r="I1694" s="38" t="s">
        <v>7741</v>
      </c>
      <c r="J1694" s="38" t="s">
        <v>15</v>
      </c>
      <c r="K1694" s="38" t="s">
        <v>7742</v>
      </c>
      <c r="L1694" s="38" t="s">
        <v>47</v>
      </c>
      <c r="M1694" s="37" t="s">
        <v>104</v>
      </c>
      <c r="N1694" s="39" t="n">
        <v>44918</v>
      </c>
      <c r="O1694" s="41" t="s">
        <v>23</v>
      </c>
      <c r="P1694" s="41" t="s">
        <v>105</v>
      </c>
      <c r="Q1694" s="42"/>
      <c r="R1694" s="41"/>
      <c r="S1694" s="42"/>
      <c r="T1694" s="41"/>
    </row>
    <row r="1695" customFormat="false" ht="13.5" hidden="false" customHeight="true" outlineLevel="0" collapsed="false">
      <c r="A1695" s="37" t="n">
        <v>1692</v>
      </c>
      <c r="B1695" s="37" t="n">
        <v>4089</v>
      </c>
      <c r="C1695" s="38" t="s">
        <v>7743</v>
      </c>
      <c r="D1695" s="37" t="s">
        <v>100</v>
      </c>
      <c r="E1695" s="39" t="n">
        <v>19340</v>
      </c>
      <c r="F1695" s="37" t="n">
        <f aca="true">IFERROR(DATEDIF(E1695,TODAY(),"Y"),"")</f>
        <v>73</v>
      </c>
      <c r="G1695" s="40" t="s">
        <v>7744</v>
      </c>
      <c r="H1695" s="40"/>
      <c r="I1695" s="38" t="s">
        <v>7745</v>
      </c>
      <c r="J1695" s="38" t="s">
        <v>16</v>
      </c>
      <c r="K1695" s="38" t="s">
        <v>7746</v>
      </c>
      <c r="L1695" s="38" t="s">
        <v>48</v>
      </c>
      <c r="M1695" s="37"/>
      <c r="N1695" s="39" t="n">
        <v>44939</v>
      </c>
      <c r="O1695" s="41" t="s">
        <v>23</v>
      </c>
      <c r="P1695" s="41" t="s">
        <v>105</v>
      </c>
      <c r="Q1695" s="42"/>
      <c r="R1695" s="41"/>
      <c r="S1695" s="42"/>
      <c r="T1695" s="41"/>
    </row>
    <row r="1696" customFormat="false" ht="13.5" hidden="false" customHeight="true" outlineLevel="0" collapsed="false">
      <c r="A1696" s="37" t="n">
        <v>1693</v>
      </c>
      <c r="B1696" s="37" t="n">
        <v>4090</v>
      </c>
      <c r="C1696" s="38" t="s">
        <v>7747</v>
      </c>
      <c r="D1696" s="37" t="s">
        <v>100</v>
      </c>
      <c r="E1696" s="39" t="n">
        <v>32426</v>
      </c>
      <c r="F1696" s="37" t="n">
        <f aca="true">IFERROR(DATEDIF(E1696,TODAY(),"Y"),"")</f>
        <v>37</v>
      </c>
      <c r="G1696" s="40" t="s">
        <v>7748</v>
      </c>
      <c r="H1696" s="40"/>
      <c r="I1696" s="38" t="s">
        <v>7749</v>
      </c>
      <c r="J1696" s="38" t="s">
        <v>16</v>
      </c>
      <c r="K1696" s="38" t="s">
        <v>7750</v>
      </c>
      <c r="L1696" s="38" t="s">
        <v>46</v>
      </c>
      <c r="M1696" s="37" t="s">
        <v>177</v>
      </c>
      <c r="N1696" s="39" t="n">
        <v>44942</v>
      </c>
      <c r="O1696" s="41" t="s">
        <v>23</v>
      </c>
      <c r="P1696" s="41" t="s">
        <v>105</v>
      </c>
      <c r="Q1696" s="42"/>
      <c r="R1696" s="41"/>
      <c r="S1696" s="42"/>
      <c r="T1696" s="41"/>
    </row>
    <row r="1697" customFormat="false" ht="13.5" hidden="false" customHeight="true" outlineLevel="0" collapsed="false">
      <c r="A1697" s="37" t="n">
        <v>1694</v>
      </c>
      <c r="B1697" s="37" t="n">
        <v>4091</v>
      </c>
      <c r="C1697" s="38" t="s">
        <v>7751</v>
      </c>
      <c r="D1697" s="37" t="s">
        <v>100</v>
      </c>
      <c r="E1697" s="39" t="n">
        <v>21930</v>
      </c>
      <c r="F1697" s="37" t="n">
        <f aca="true">IFERROR(DATEDIF(E1697,TODAY(),"Y"),"")</f>
        <v>66</v>
      </c>
      <c r="G1697" s="40" t="s">
        <v>7752</v>
      </c>
      <c r="H1697" s="40"/>
      <c r="I1697" s="38" t="s">
        <v>7753</v>
      </c>
      <c r="J1697" s="38" t="s">
        <v>22</v>
      </c>
      <c r="K1697" s="38" t="s">
        <v>7754</v>
      </c>
      <c r="L1697" s="38" t="s">
        <v>50</v>
      </c>
      <c r="M1697" s="37" t="s">
        <v>177</v>
      </c>
      <c r="N1697" s="39" t="n">
        <v>44945</v>
      </c>
      <c r="O1697" s="41" t="s">
        <v>23</v>
      </c>
      <c r="P1697" s="41" t="s">
        <v>105</v>
      </c>
      <c r="Q1697" s="42"/>
      <c r="R1697" s="41"/>
      <c r="S1697" s="42"/>
      <c r="T1697" s="41"/>
    </row>
    <row r="1698" customFormat="false" ht="13.5" hidden="false" customHeight="true" outlineLevel="0" collapsed="false">
      <c r="A1698" s="37" t="n">
        <v>1695</v>
      </c>
      <c r="B1698" s="37" t="n">
        <v>4092</v>
      </c>
      <c r="C1698" s="38" t="s">
        <v>7755</v>
      </c>
      <c r="D1698" s="37" t="s">
        <v>100</v>
      </c>
      <c r="E1698" s="39" t="n">
        <v>27408</v>
      </c>
      <c r="F1698" s="37" t="n">
        <f aca="true">IFERROR(DATEDIF(E1698,TODAY(),"Y"),"")</f>
        <v>51</v>
      </c>
      <c r="G1698" s="40" t="s">
        <v>7756</v>
      </c>
      <c r="H1698" s="40" t="s">
        <v>7757</v>
      </c>
      <c r="I1698" s="38" t="s">
        <v>7758</v>
      </c>
      <c r="J1698" s="38" t="s">
        <v>16</v>
      </c>
      <c r="K1698" s="38" t="s">
        <v>7759</v>
      </c>
      <c r="L1698" s="43" t="s">
        <v>58</v>
      </c>
      <c r="M1698" s="37" t="s">
        <v>177</v>
      </c>
      <c r="N1698" s="39" t="n">
        <v>44947</v>
      </c>
      <c r="O1698" s="41" t="s">
        <v>23</v>
      </c>
      <c r="P1698" s="41" t="s">
        <v>105</v>
      </c>
      <c r="Q1698" s="42"/>
      <c r="R1698" s="41"/>
      <c r="S1698" s="42"/>
      <c r="T1698" s="41"/>
    </row>
    <row r="1699" customFormat="false" ht="13.5" hidden="false" customHeight="true" outlineLevel="0" collapsed="false">
      <c r="A1699" s="37" t="n">
        <v>1696</v>
      </c>
      <c r="B1699" s="37" t="n">
        <v>4093</v>
      </c>
      <c r="C1699" s="38" t="s">
        <v>7760</v>
      </c>
      <c r="D1699" s="37" t="s">
        <v>100</v>
      </c>
      <c r="E1699" s="39" t="n">
        <v>28990</v>
      </c>
      <c r="F1699" s="37" t="n">
        <f aca="true">IFERROR(DATEDIF(E1699,TODAY(),"Y"),"")</f>
        <v>47</v>
      </c>
      <c r="G1699" s="40" t="s">
        <v>7761</v>
      </c>
      <c r="H1699" s="40"/>
      <c r="I1699" s="38" t="s">
        <v>7762</v>
      </c>
      <c r="J1699" s="38" t="s">
        <v>16</v>
      </c>
      <c r="K1699" s="38" t="s">
        <v>7763</v>
      </c>
      <c r="L1699" s="38" t="s">
        <v>55</v>
      </c>
      <c r="M1699" s="37"/>
      <c r="N1699" s="39" t="n">
        <v>44951</v>
      </c>
      <c r="O1699" s="41" t="s">
        <v>23</v>
      </c>
      <c r="P1699" s="41" t="s">
        <v>105</v>
      </c>
      <c r="Q1699" s="42"/>
      <c r="R1699" s="41"/>
      <c r="S1699" s="42"/>
      <c r="T1699" s="41"/>
    </row>
    <row r="1700" customFormat="false" ht="13.5" hidden="false" customHeight="true" outlineLevel="0" collapsed="false">
      <c r="A1700" s="37" t="n">
        <v>1697</v>
      </c>
      <c r="B1700" s="37" t="n">
        <v>4094</v>
      </c>
      <c r="C1700" s="38" t="s">
        <v>7764</v>
      </c>
      <c r="D1700" s="37" t="s">
        <v>100</v>
      </c>
      <c r="E1700" s="39" t="n">
        <v>26083</v>
      </c>
      <c r="F1700" s="37" t="n">
        <f aca="true">IFERROR(DATEDIF(E1700,TODAY(),"Y"),"")</f>
        <v>55</v>
      </c>
      <c r="G1700" s="40" t="s">
        <v>7765</v>
      </c>
      <c r="H1700" s="40" t="s">
        <v>7766</v>
      </c>
      <c r="I1700" s="38" t="s">
        <v>7767</v>
      </c>
      <c r="J1700" s="38" t="s">
        <v>16</v>
      </c>
      <c r="K1700" s="38" t="s">
        <v>7768</v>
      </c>
      <c r="L1700" s="38" t="s">
        <v>54</v>
      </c>
      <c r="M1700" s="37" t="s">
        <v>104</v>
      </c>
      <c r="N1700" s="39" t="n">
        <v>44958</v>
      </c>
      <c r="O1700" s="41" t="s">
        <v>23</v>
      </c>
      <c r="P1700" s="41" t="s">
        <v>105</v>
      </c>
      <c r="Q1700" s="42"/>
      <c r="R1700" s="41"/>
      <c r="S1700" s="42"/>
      <c r="T1700" s="41"/>
    </row>
    <row r="1701" customFormat="false" ht="13.5" hidden="false" customHeight="true" outlineLevel="0" collapsed="false">
      <c r="A1701" s="37" t="n">
        <v>1698</v>
      </c>
      <c r="B1701" s="37" t="n">
        <v>4095</v>
      </c>
      <c r="C1701" s="38" t="s">
        <v>7769</v>
      </c>
      <c r="D1701" s="37" t="s">
        <v>100</v>
      </c>
      <c r="E1701" s="39" t="n">
        <v>28260</v>
      </c>
      <c r="F1701" s="37" t="n">
        <f aca="true">IFERROR(DATEDIF(E1701,TODAY(),"Y"),"")</f>
        <v>49</v>
      </c>
      <c r="G1701" s="40" t="s">
        <v>7770</v>
      </c>
      <c r="H1701" s="40"/>
      <c r="I1701" s="38" t="s">
        <v>7771</v>
      </c>
      <c r="J1701" s="38" t="s">
        <v>15</v>
      </c>
      <c r="K1701" s="38" t="s">
        <v>7772</v>
      </c>
      <c r="L1701" s="38" t="s">
        <v>44</v>
      </c>
      <c r="M1701" s="37" t="s">
        <v>104</v>
      </c>
      <c r="N1701" s="39" t="n">
        <v>44960</v>
      </c>
      <c r="O1701" s="41" t="s">
        <v>23</v>
      </c>
      <c r="P1701" s="41" t="s">
        <v>105</v>
      </c>
      <c r="Q1701" s="42"/>
      <c r="R1701" s="41"/>
      <c r="S1701" s="42"/>
      <c r="T1701" s="41"/>
    </row>
    <row r="1702" customFormat="false" ht="13.5" hidden="false" customHeight="true" outlineLevel="0" collapsed="false">
      <c r="A1702" s="37" t="n">
        <v>1699</v>
      </c>
      <c r="B1702" s="37" t="n">
        <v>4096</v>
      </c>
      <c r="C1702" s="38" t="s">
        <v>4826</v>
      </c>
      <c r="D1702" s="37" t="s">
        <v>100</v>
      </c>
      <c r="E1702" s="39" t="n">
        <v>27541</v>
      </c>
      <c r="F1702" s="37" t="n">
        <f aca="true">IFERROR(DATEDIF(E1702,TODAY(),"Y"),"")</f>
        <v>51</v>
      </c>
      <c r="G1702" s="40" t="s">
        <v>7773</v>
      </c>
      <c r="H1702" s="40" t="s">
        <v>7774</v>
      </c>
      <c r="I1702" s="38" t="s">
        <v>7775</v>
      </c>
      <c r="J1702" s="38" t="s">
        <v>16</v>
      </c>
      <c r="K1702" s="38" t="s">
        <v>7776</v>
      </c>
      <c r="L1702" s="38" t="s">
        <v>43</v>
      </c>
      <c r="M1702" s="37" t="s">
        <v>177</v>
      </c>
      <c r="N1702" s="39" t="n">
        <v>44974</v>
      </c>
      <c r="O1702" s="41" t="s">
        <v>23</v>
      </c>
      <c r="P1702" s="41" t="s">
        <v>105</v>
      </c>
      <c r="Q1702" s="42"/>
      <c r="R1702" s="41"/>
      <c r="S1702" s="42"/>
      <c r="T1702" s="41"/>
    </row>
    <row r="1703" customFormat="false" ht="13.5" hidden="false" customHeight="true" outlineLevel="0" collapsed="false">
      <c r="A1703" s="37" t="n">
        <v>1700</v>
      </c>
      <c r="B1703" s="37" t="n">
        <v>4097</v>
      </c>
      <c r="C1703" s="38" t="s">
        <v>7777</v>
      </c>
      <c r="D1703" s="37" t="s">
        <v>100</v>
      </c>
      <c r="E1703" s="39" t="n">
        <v>30026</v>
      </c>
      <c r="F1703" s="37" t="n">
        <f aca="true">IFERROR(DATEDIF(E1703,TODAY(),"Y"),"")</f>
        <v>44</v>
      </c>
      <c r="G1703" s="40" t="s">
        <v>7778</v>
      </c>
      <c r="H1703" s="40"/>
      <c r="I1703" s="38" t="s">
        <v>7779</v>
      </c>
      <c r="J1703" s="38" t="s">
        <v>16</v>
      </c>
      <c r="K1703" s="38" t="s">
        <v>7780</v>
      </c>
      <c r="L1703" s="38" t="s">
        <v>46</v>
      </c>
      <c r="M1703" s="37" t="s">
        <v>104</v>
      </c>
      <c r="N1703" s="39" t="n">
        <v>44975</v>
      </c>
      <c r="O1703" s="41" t="s">
        <v>23</v>
      </c>
      <c r="P1703" s="41" t="s">
        <v>105</v>
      </c>
      <c r="Q1703" s="42"/>
      <c r="R1703" s="41"/>
      <c r="S1703" s="42"/>
      <c r="T1703" s="41"/>
    </row>
    <row r="1704" customFormat="false" ht="13.5" hidden="false" customHeight="true" outlineLevel="0" collapsed="false">
      <c r="A1704" s="37" t="n">
        <v>1701</v>
      </c>
      <c r="B1704" s="37" t="n">
        <v>4098</v>
      </c>
      <c r="C1704" s="38" t="s">
        <v>7781</v>
      </c>
      <c r="D1704" s="37" t="s">
        <v>100</v>
      </c>
      <c r="E1704" s="39" t="n">
        <v>30153</v>
      </c>
      <c r="F1704" s="37" t="n">
        <f aca="true">IFERROR(DATEDIF(E1704,TODAY(),"Y"),"")</f>
        <v>44</v>
      </c>
      <c r="G1704" s="40" t="s">
        <v>7782</v>
      </c>
      <c r="H1704" s="40"/>
      <c r="I1704" s="38" t="s">
        <v>7783</v>
      </c>
      <c r="J1704" s="38" t="s">
        <v>16</v>
      </c>
      <c r="K1704" s="38" t="s">
        <v>7784</v>
      </c>
      <c r="L1704" s="38" t="s">
        <v>55</v>
      </c>
      <c r="M1704" s="37" t="s">
        <v>177</v>
      </c>
      <c r="N1704" s="39" t="n">
        <v>44975</v>
      </c>
      <c r="O1704" s="41" t="s">
        <v>23</v>
      </c>
      <c r="P1704" s="41" t="s">
        <v>105</v>
      </c>
      <c r="Q1704" s="42"/>
      <c r="R1704" s="41"/>
      <c r="S1704" s="42"/>
      <c r="T1704" s="41"/>
    </row>
    <row r="1705" customFormat="false" ht="13.5" hidden="false" customHeight="true" outlineLevel="0" collapsed="false">
      <c r="A1705" s="37" t="n">
        <v>1702</v>
      </c>
      <c r="B1705" s="37" t="n">
        <v>4099</v>
      </c>
      <c r="C1705" s="38" t="s">
        <v>7785</v>
      </c>
      <c r="D1705" s="37" t="s">
        <v>100</v>
      </c>
      <c r="E1705" s="39" t="n">
        <v>31912</v>
      </c>
      <c r="F1705" s="37" t="n">
        <f aca="true">IFERROR(DATEDIF(E1705,TODAY(),"Y"),"")</f>
        <v>39</v>
      </c>
      <c r="G1705" s="40" t="s">
        <v>7786</v>
      </c>
      <c r="H1705" s="40"/>
      <c r="I1705" s="38" t="s">
        <v>7787</v>
      </c>
      <c r="J1705" s="38" t="s">
        <v>15</v>
      </c>
      <c r="K1705" s="38" t="s">
        <v>7788</v>
      </c>
      <c r="L1705" s="38" t="s">
        <v>54</v>
      </c>
      <c r="M1705" s="37" t="s">
        <v>120</v>
      </c>
      <c r="N1705" s="39" t="n">
        <v>44980</v>
      </c>
      <c r="O1705" s="41" t="s">
        <v>23</v>
      </c>
      <c r="P1705" s="41" t="s">
        <v>105</v>
      </c>
      <c r="Q1705" s="42"/>
      <c r="R1705" s="41"/>
      <c r="S1705" s="42"/>
      <c r="T1705" s="41"/>
    </row>
    <row r="1706" customFormat="false" ht="13.5" hidden="false" customHeight="true" outlineLevel="0" collapsed="false">
      <c r="A1706" s="37" t="n">
        <v>1703</v>
      </c>
      <c r="B1706" s="37" t="n">
        <v>4100</v>
      </c>
      <c r="C1706" s="38" t="s">
        <v>7789</v>
      </c>
      <c r="D1706" s="37" t="s">
        <v>100</v>
      </c>
      <c r="E1706" s="39" t="n">
        <v>20824</v>
      </c>
      <c r="F1706" s="37" t="n">
        <f aca="true">IFERROR(DATEDIF(E1706,TODAY(),"Y"),"")</f>
        <v>69</v>
      </c>
      <c r="G1706" s="40" t="s">
        <v>7790</v>
      </c>
      <c r="H1706" s="40" t="s">
        <v>7791</v>
      </c>
      <c r="I1706" s="38" t="s">
        <v>7792</v>
      </c>
      <c r="J1706" s="38" t="s">
        <v>16</v>
      </c>
      <c r="K1706" s="38" t="s">
        <v>7793</v>
      </c>
      <c r="L1706" s="38" t="s">
        <v>53</v>
      </c>
      <c r="M1706" s="37" t="s">
        <v>120</v>
      </c>
      <c r="N1706" s="39" t="n">
        <v>44981</v>
      </c>
      <c r="O1706" s="41" t="s">
        <v>23</v>
      </c>
      <c r="P1706" s="41" t="s">
        <v>105</v>
      </c>
      <c r="Q1706" s="42"/>
      <c r="R1706" s="41"/>
      <c r="S1706" s="42"/>
      <c r="T1706" s="41"/>
    </row>
    <row r="1707" customFormat="false" ht="13.5" hidden="false" customHeight="true" outlineLevel="0" collapsed="false">
      <c r="A1707" s="37" t="n">
        <v>1704</v>
      </c>
      <c r="B1707" s="37" t="n">
        <v>4101</v>
      </c>
      <c r="C1707" s="38" t="s">
        <v>7794</v>
      </c>
      <c r="D1707" s="37" t="s">
        <v>100</v>
      </c>
      <c r="E1707" s="39" t="n">
        <v>28932</v>
      </c>
      <c r="F1707" s="37" t="n">
        <f aca="true">IFERROR(DATEDIF(E1707,TODAY(),"Y"),"")</f>
        <v>47</v>
      </c>
      <c r="G1707" s="40" t="s">
        <v>7795</v>
      </c>
      <c r="H1707" s="40" t="s">
        <v>7796</v>
      </c>
      <c r="I1707" s="38" t="s">
        <v>7797</v>
      </c>
      <c r="J1707" s="38" t="s">
        <v>16</v>
      </c>
      <c r="K1707" s="38" t="s">
        <v>7798</v>
      </c>
      <c r="L1707" s="38" t="s">
        <v>47</v>
      </c>
      <c r="M1707" s="37" t="s">
        <v>120</v>
      </c>
      <c r="N1707" s="39" t="n">
        <v>44981</v>
      </c>
      <c r="O1707" s="41" t="s">
        <v>23</v>
      </c>
      <c r="P1707" s="41" t="s">
        <v>105</v>
      </c>
      <c r="Q1707" s="42"/>
      <c r="R1707" s="41"/>
      <c r="S1707" s="42"/>
      <c r="T1707" s="41"/>
    </row>
    <row r="1708" customFormat="false" ht="13.5" hidden="false" customHeight="true" outlineLevel="0" collapsed="false">
      <c r="A1708" s="37" t="n">
        <v>1705</v>
      </c>
      <c r="B1708" s="37" t="n">
        <v>4102</v>
      </c>
      <c r="C1708" s="38" t="s">
        <v>7799</v>
      </c>
      <c r="D1708" s="37" t="s">
        <v>100</v>
      </c>
      <c r="E1708" s="39" t="n">
        <v>27000</v>
      </c>
      <c r="F1708" s="37" t="n">
        <f aca="true">IFERROR(DATEDIF(E1708,TODAY(),"Y"),"")</f>
        <v>52</v>
      </c>
      <c r="G1708" s="40" t="s">
        <v>7800</v>
      </c>
      <c r="H1708" s="40"/>
      <c r="I1708" s="38" t="s">
        <v>7801</v>
      </c>
      <c r="J1708" s="38" t="s">
        <v>15</v>
      </c>
      <c r="K1708" s="38" t="s">
        <v>7802</v>
      </c>
      <c r="L1708" s="38" t="s">
        <v>55</v>
      </c>
      <c r="M1708" s="37" t="s">
        <v>120</v>
      </c>
      <c r="N1708" s="39" t="n">
        <v>44988</v>
      </c>
      <c r="O1708" s="41" t="s">
        <v>23</v>
      </c>
      <c r="P1708" s="41" t="s">
        <v>105</v>
      </c>
      <c r="Q1708" s="42"/>
      <c r="R1708" s="41"/>
      <c r="S1708" s="42"/>
      <c r="T1708" s="41"/>
    </row>
    <row r="1709" customFormat="false" ht="13.5" hidden="false" customHeight="true" outlineLevel="0" collapsed="false">
      <c r="A1709" s="37" t="n">
        <v>1706</v>
      </c>
      <c r="B1709" s="37" t="n">
        <v>4103</v>
      </c>
      <c r="C1709" s="38" t="s">
        <v>7803</v>
      </c>
      <c r="D1709" s="37" t="s">
        <v>100</v>
      </c>
      <c r="E1709" s="39" t="n">
        <v>28995</v>
      </c>
      <c r="F1709" s="37" t="n">
        <f aca="true">IFERROR(DATEDIF(E1709,TODAY(),"Y"),"")</f>
        <v>47</v>
      </c>
      <c r="G1709" s="40" t="s">
        <v>7804</v>
      </c>
      <c r="H1709" s="40"/>
      <c r="I1709" s="38" t="s">
        <v>7805</v>
      </c>
      <c r="J1709" s="38" t="s">
        <v>15</v>
      </c>
      <c r="K1709" s="38" t="s">
        <v>7806</v>
      </c>
      <c r="L1709" s="38" t="s">
        <v>43</v>
      </c>
      <c r="M1709" s="37" t="s">
        <v>120</v>
      </c>
      <c r="N1709" s="39" t="n">
        <v>44989</v>
      </c>
      <c r="O1709" s="41" t="s">
        <v>23</v>
      </c>
      <c r="P1709" s="41" t="s">
        <v>105</v>
      </c>
      <c r="Q1709" s="42"/>
      <c r="R1709" s="41"/>
      <c r="S1709" s="42"/>
      <c r="T1709" s="41"/>
    </row>
    <row r="1710" customFormat="false" ht="13.5" hidden="false" customHeight="true" outlineLevel="0" collapsed="false">
      <c r="A1710" s="37" t="n">
        <v>1707</v>
      </c>
      <c r="B1710" s="37" t="n">
        <v>4104</v>
      </c>
      <c r="C1710" s="38" t="s">
        <v>7807</v>
      </c>
      <c r="D1710" s="37" t="s">
        <v>100</v>
      </c>
      <c r="E1710" s="39" t="n">
        <v>27910</v>
      </c>
      <c r="F1710" s="37" t="n">
        <f aca="true">IFERROR(DATEDIF(E1710,TODAY(),"Y"),"")</f>
        <v>50</v>
      </c>
      <c r="G1710" s="40" t="s">
        <v>7808</v>
      </c>
      <c r="H1710" s="40" t="s">
        <v>7809</v>
      </c>
      <c r="I1710" s="38" t="s">
        <v>7810</v>
      </c>
      <c r="J1710" s="38" t="s">
        <v>15</v>
      </c>
      <c r="K1710" s="38" t="s">
        <v>7811</v>
      </c>
      <c r="L1710" s="38" t="s">
        <v>48</v>
      </c>
      <c r="M1710" s="37" t="s">
        <v>120</v>
      </c>
      <c r="N1710" s="39" t="n">
        <v>45009</v>
      </c>
      <c r="O1710" s="41" t="s">
        <v>23</v>
      </c>
      <c r="P1710" s="41" t="s">
        <v>105</v>
      </c>
      <c r="Q1710" s="42"/>
      <c r="R1710" s="41"/>
      <c r="S1710" s="42"/>
      <c r="T1710" s="41"/>
    </row>
    <row r="1711" customFormat="false" ht="13.5" hidden="false" customHeight="true" outlineLevel="0" collapsed="false">
      <c r="A1711" s="37" t="n">
        <v>1708</v>
      </c>
      <c r="B1711" s="37" t="n">
        <v>4105</v>
      </c>
      <c r="C1711" s="38" t="s">
        <v>7632</v>
      </c>
      <c r="D1711" s="37" t="s">
        <v>100</v>
      </c>
      <c r="E1711" s="39" t="n">
        <v>31610</v>
      </c>
      <c r="F1711" s="37" t="n">
        <f aca="true">IFERROR(DATEDIF(E1711,TODAY(),"Y"),"")</f>
        <v>40</v>
      </c>
      <c r="G1711" s="40" t="s">
        <v>7812</v>
      </c>
      <c r="H1711" s="40"/>
      <c r="I1711" s="38" t="s">
        <v>7813</v>
      </c>
      <c r="J1711" s="38" t="s">
        <v>15</v>
      </c>
      <c r="K1711" s="38" t="s">
        <v>7814</v>
      </c>
      <c r="L1711" s="38" t="s">
        <v>51</v>
      </c>
      <c r="M1711" s="37" t="s">
        <v>731</v>
      </c>
      <c r="N1711" s="39" t="n">
        <v>45009</v>
      </c>
      <c r="O1711" s="41" t="s">
        <v>23</v>
      </c>
      <c r="P1711" s="41" t="s">
        <v>105</v>
      </c>
      <c r="Q1711" s="42"/>
      <c r="R1711" s="41"/>
      <c r="S1711" s="42"/>
      <c r="T1711" s="41"/>
    </row>
    <row r="1712" customFormat="false" ht="13.5" hidden="false" customHeight="true" outlineLevel="0" collapsed="false">
      <c r="A1712" s="37" t="n">
        <v>1709</v>
      </c>
      <c r="B1712" s="37" t="n">
        <v>4106</v>
      </c>
      <c r="C1712" s="38" t="s">
        <v>7815</v>
      </c>
      <c r="D1712" s="37" t="s">
        <v>100</v>
      </c>
      <c r="E1712" s="39" t="n">
        <v>31187</v>
      </c>
      <c r="F1712" s="37" t="n">
        <f aca="true">IFERROR(DATEDIF(E1712,TODAY(),"Y"),"")</f>
        <v>41</v>
      </c>
      <c r="G1712" s="40" t="s">
        <v>7816</v>
      </c>
      <c r="H1712" s="40" t="s">
        <v>7817</v>
      </c>
      <c r="I1712" s="38" t="s">
        <v>7818</v>
      </c>
      <c r="J1712" s="38" t="s">
        <v>15</v>
      </c>
      <c r="K1712" s="38" t="s">
        <v>7819</v>
      </c>
      <c r="L1712" s="38" t="s">
        <v>55</v>
      </c>
      <c r="M1712" s="37" t="s">
        <v>231</v>
      </c>
      <c r="N1712" s="39" t="n">
        <v>45033</v>
      </c>
      <c r="O1712" s="41" t="s">
        <v>23</v>
      </c>
      <c r="P1712" s="41" t="s">
        <v>105</v>
      </c>
      <c r="Q1712" s="42"/>
      <c r="R1712" s="41"/>
      <c r="S1712" s="42"/>
      <c r="T1712" s="41"/>
    </row>
    <row r="1713" customFormat="false" ht="13.5" hidden="false" customHeight="true" outlineLevel="0" collapsed="false">
      <c r="A1713" s="37" t="n">
        <v>1710</v>
      </c>
      <c r="B1713" s="37" t="n">
        <v>4107</v>
      </c>
      <c r="C1713" s="38" t="s">
        <v>7820</v>
      </c>
      <c r="D1713" s="37" t="s">
        <v>100</v>
      </c>
      <c r="E1713" s="39" t="n">
        <v>17308</v>
      </c>
      <c r="F1713" s="37" t="n">
        <f aca="true">IFERROR(DATEDIF(E1713,TODAY(),"Y"),"")</f>
        <v>79</v>
      </c>
      <c r="G1713" s="40" t="s">
        <v>7821</v>
      </c>
      <c r="H1713" s="40" t="s">
        <v>7822</v>
      </c>
      <c r="I1713" s="38" t="s">
        <v>7823</v>
      </c>
      <c r="J1713" s="38" t="s">
        <v>15</v>
      </c>
      <c r="K1713" s="38" t="s">
        <v>7824</v>
      </c>
      <c r="L1713" s="38" t="s">
        <v>44</v>
      </c>
      <c r="M1713" s="37"/>
      <c r="N1713" s="39" t="n">
        <v>45047</v>
      </c>
      <c r="O1713" s="41" t="s">
        <v>23</v>
      </c>
      <c r="P1713" s="41" t="s">
        <v>105</v>
      </c>
      <c r="Q1713" s="42"/>
      <c r="R1713" s="41"/>
      <c r="S1713" s="42"/>
      <c r="T1713" s="41"/>
    </row>
    <row r="1714" customFormat="false" ht="13.5" hidden="false" customHeight="true" outlineLevel="0" collapsed="false">
      <c r="A1714" s="37" t="n">
        <v>1711</v>
      </c>
      <c r="B1714" s="37" t="n">
        <v>4108</v>
      </c>
      <c r="C1714" s="38" t="s">
        <v>7825</v>
      </c>
      <c r="D1714" s="37" t="s">
        <v>100</v>
      </c>
      <c r="E1714" s="39" t="n">
        <v>33194</v>
      </c>
      <c r="F1714" s="37" t="n">
        <f aca="true">IFERROR(DATEDIF(E1714,TODAY(),"Y"),"")</f>
        <v>35</v>
      </c>
      <c r="G1714" s="40" t="s">
        <v>7826</v>
      </c>
      <c r="H1714" s="40"/>
      <c r="I1714" s="38" t="s">
        <v>7827</v>
      </c>
      <c r="J1714" s="38" t="s">
        <v>16</v>
      </c>
      <c r="K1714" s="38" t="s">
        <v>7828</v>
      </c>
      <c r="L1714" s="38" t="s">
        <v>55</v>
      </c>
      <c r="M1714" s="37" t="s">
        <v>120</v>
      </c>
      <c r="N1714" s="39" t="n">
        <v>45087</v>
      </c>
      <c r="O1714" s="41" t="s">
        <v>23</v>
      </c>
      <c r="P1714" s="41" t="s">
        <v>105</v>
      </c>
      <c r="Q1714" s="42"/>
      <c r="R1714" s="41"/>
      <c r="S1714" s="42"/>
      <c r="T1714" s="41"/>
    </row>
    <row r="1715" customFormat="false" ht="13.5" hidden="false" customHeight="true" outlineLevel="0" collapsed="false">
      <c r="A1715" s="37" t="n">
        <v>1712</v>
      </c>
      <c r="B1715" s="37" t="n">
        <v>4109</v>
      </c>
      <c r="C1715" s="38" t="s">
        <v>7829</v>
      </c>
      <c r="D1715" s="37" t="s">
        <v>100</v>
      </c>
      <c r="E1715" s="39" t="n">
        <v>30061</v>
      </c>
      <c r="F1715" s="37" t="n">
        <f aca="true">IFERROR(DATEDIF(E1715,TODAY(),"Y"),"")</f>
        <v>44</v>
      </c>
      <c r="G1715" s="40" t="s">
        <v>7830</v>
      </c>
      <c r="H1715" s="40"/>
      <c r="I1715" s="38" t="s">
        <v>7831</v>
      </c>
      <c r="J1715" s="38" t="s">
        <v>16</v>
      </c>
      <c r="K1715" s="38" t="s">
        <v>7832</v>
      </c>
      <c r="L1715" s="38" t="s">
        <v>55</v>
      </c>
      <c r="M1715" s="37" t="s">
        <v>177</v>
      </c>
      <c r="N1715" s="39" t="n">
        <v>45091</v>
      </c>
      <c r="O1715" s="41" t="s">
        <v>23</v>
      </c>
      <c r="P1715" s="41" t="s">
        <v>105</v>
      </c>
      <c r="Q1715" s="42"/>
      <c r="R1715" s="41"/>
      <c r="S1715" s="42"/>
      <c r="T1715" s="41"/>
    </row>
    <row r="1716" customFormat="false" ht="13.5" hidden="false" customHeight="true" outlineLevel="0" collapsed="false">
      <c r="A1716" s="37" t="n">
        <v>1713</v>
      </c>
      <c r="B1716" s="37" t="n">
        <v>4110</v>
      </c>
      <c r="C1716" s="38" t="s">
        <v>7833</v>
      </c>
      <c r="D1716" s="37" t="s">
        <v>100</v>
      </c>
      <c r="E1716" s="39" t="n">
        <v>22663</v>
      </c>
      <c r="F1716" s="37" t="n">
        <f aca="true">IFERROR(DATEDIF(E1716,TODAY(),"Y"),"")</f>
        <v>64</v>
      </c>
      <c r="G1716" s="40" t="s">
        <v>7834</v>
      </c>
      <c r="H1716" s="40"/>
      <c r="I1716" s="38" t="s">
        <v>7835</v>
      </c>
      <c r="J1716" s="38" t="s">
        <v>16</v>
      </c>
      <c r="K1716" s="38" t="s">
        <v>7836</v>
      </c>
      <c r="L1716" s="38" t="s">
        <v>48</v>
      </c>
      <c r="M1716" s="37" t="s">
        <v>120</v>
      </c>
      <c r="N1716" s="39" t="n">
        <v>45098</v>
      </c>
      <c r="O1716" s="41" t="s">
        <v>23</v>
      </c>
      <c r="P1716" s="41" t="s">
        <v>105</v>
      </c>
      <c r="Q1716" s="42"/>
      <c r="R1716" s="41"/>
      <c r="S1716" s="42"/>
      <c r="T1716" s="41"/>
    </row>
    <row r="1717" customFormat="false" ht="13.5" hidden="false" customHeight="true" outlineLevel="0" collapsed="false">
      <c r="A1717" s="37" t="n">
        <v>1714</v>
      </c>
      <c r="B1717" s="37" t="n">
        <v>4111</v>
      </c>
      <c r="C1717" s="38" t="s">
        <v>7837</v>
      </c>
      <c r="D1717" s="37" t="s">
        <v>100</v>
      </c>
      <c r="E1717" s="39" t="n">
        <v>32173</v>
      </c>
      <c r="F1717" s="37" t="n">
        <f aca="true">IFERROR(DATEDIF(E1717,TODAY(),"Y"),"")</f>
        <v>38</v>
      </c>
      <c r="G1717" s="40" t="s">
        <v>7838</v>
      </c>
      <c r="H1717" s="40" t="s">
        <v>7839</v>
      </c>
      <c r="I1717" s="38" t="s">
        <v>7840</v>
      </c>
      <c r="J1717" s="38" t="s">
        <v>16</v>
      </c>
      <c r="K1717" s="38" t="s">
        <v>7841</v>
      </c>
      <c r="L1717" s="38" t="s">
        <v>47</v>
      </c>
      <c r="M1717" s="37" t="s">
        <v>231</v>
      </c>
      <c r="N1717" s="39" t="n">
        <v>45099</v>
      </c>
      <c r="O1717" s="41" t="s">
        <v>23</v>
      </c>
      <c r="P1717" s="41" t="s">
        <v>105</v>
      </c>
      <c r="Q1717" s="42"/>
      <c r="R1717" s="41"/>
      <c r="S1717" s="42"/>
      <c r="T1717" s="41"/>
    </row>
    <row r="1718" customFormat="false" ht="13.5" hidden="false" customHeight="true" outlineLevel="0" collapsed="false">
      <c r="A1718" s="37" t="n">
        <v>1715</v>
      </c>
      <c r="B1718" s="37" t="n">
        <v>4112</v>
      </c>
      <c r="C1718" s="38" t="s">
        <v>7842</v>
      </c>
      <c r="D1718" s="37" t="s">
        <v>100</v>
      </c>
      <c r="E1718" s="39" t="n">
        <v>30329</v>
      </c>
      <c r="F1718" s="37" t="n">
        <f aca="true">IFERROR(DATEDIF(E1718,TODAY(),"Y"),"")</f>
        <v>43</v>
      </c>
      <c r="G1718" s="40" t="s">
        <v>7843</v>
      </c>
      <c r="H1718" s="40" t="s">
        <v>7844</v>
      </c>
      <c r="I1718" s="38" t="s">
        <v>7845</v>
      </c>
      <c r="J1718" s="38" t="s">
        <v>15</v>
      </c>
      <c r="K1718" s="38" t="s">
        <v>7846</v>
      </c>
      <c r="L1718" s="38" t="s">
        <v>51</v>
      </c>
      <c r="M1718" s="37" t="s">
        <v>104</v>
      </c>
      <c r="N1718" s="39" t="n">
        <v>45099</v>
      </c>
      <c r="O1718" s="41" t="s">
        <v>23</v>
      </c>
      <c r="P1718" s="41" t="s">
        <v>105</v>
      </c>
      <c r="Q1718" s="42"/>
      <c r="R1718" s="41"/>
      <c r="S1718" s="42"/>
      <c r="T1718" s="41"/>
    </row>
    <row r="1719" customFormat="false" ht="13.5" hidden="false" customHeight="true" outlineLevel="0" collapsed="false">
      <c r="A1719" s="37" t="n">
        <v>1716</v>
      </c>
      <c r="B1719" s="37" t="n">
        <v>4113</v>
      </c>
      <c r="C1719" s="38" t="s">
        <v>7847</v>
      </c>
      <c r="D1719" s="37" t="s">
        <v>100</v>
      </c>
      <c r="E1719" s="39" t="n">
        <v>31939</v>
      </c>
      <c r="F1719" s="37" t="n">
        <f aca="true">IFERROR(DATEDIF(E1719,TODAY(),"Y"),"")</f>
        <v>39</v>
      </c>
      <c r="G1719" s="40" t="s">
        <v>7848</v>
      </c>
      <c r="H1719" s="40"/>
      <c r="I1719" s="38" t="s">
        <v>7849</v>
      </c>
      <c r="J1719" s="38" t="s">
        <v>16</v>
      </c>
      <c r="K1719" s="38" t="s">
        <v>7850</v>
      </c>
      <c r="L1719" s="38" t="s">
        <v>43</v>
      </c>
      <c r="M1719" s="37" t="s">
        <v>745</v>
      </c>
      <c r="N1719" s="39" t="n">
        <v>45108</v>
      </c>
      <c r="O1719" s="41" t="s">
        <v>23</v>
      </c>
      <c r="P1719" s="41" t="s">
        <v>105</v>
      </c>
      <c r="Q1719" s="42"/>
      <c r="R1719" s="41"/>
      <c r="S1719" s="42"/>
      <c r="T1719" s="41"/>
    </row>
    <row r="1720" customFormat="false" ht="13.5" hidden="false" customHeight="true" outlineLevel="0" collapsed="false">
      <c r="A1720" s="37" t="n">
        <v>1717</v>
      </c>
      <c r="B1720" s="37" t="n">
        <v>4114</v>
      </c>
      <c r="C1720" s="38" t="s">
        <v>7851</v>
      </c>
      <c r="D1720" s="37" t="s">
        <v>100</v>
      </c>
      <c r="E1720" s="39" t="n">
        <v>30467</v>
      </c>
      <c r="F1720" s="37" t="n">
        <f aca="true">IFERROR(DATEDIF(E1720,TODAY(),"Y"),"")</f>
        <v>43</v>
      </c>
      <c r="G1720" s="40" t="s">
        <v>7852</v>
      </c>
      <c r="H1720" s="40" t="s">
        <v>7853</v>
      </c>
      <c r="I1720" s="38" t="s">
        <v>7854</v>
      </c>
      <c r="J1720" s="38" t="s">
        <v>18</v>
      </c>
      <c r="K1720" s="38" t="s">
        <v>7855</v>
      </c>
      <c r="L1720" s="38" t="s">
        <v>55</v>
      </c>
      <c r="M1720" s="37" t="s">
        <v>120</v>
      </c>
      <c r="N1720" s="39" t="n">
        <v>45111</v>
      </c>
      <c r="O1720" s="41" t="s">
        <v>23</v>
      </c>
      <c r="P1720" s="41" t="s">
        <v>105</v>
      </c>
      <c r="Q1720" s="42"/>
      <c r="R1720" s="41"/>
      <c r="S1720" s="42"/>
      <c r="T1720" s="41"/>
    </row>
    <row r="1721" customFormat="false" ht="13.5" hidden="false" customHeight="true" outlineLevel="0" collapsed="false">
      <c r="A1721" s="37" t="n">
        <v>1718</v>
      </c>
      <c r="B1721" s="37" t="n">
        <v>4115</v>
      </c>
      <c r="C1721" s="38" t="s">
        <v>7856</v>
      </c>
      <c r="D1721" s="37" t="s">
        <v>100</v>
      </c>
      <c r="E1721" s="39" t="n">
        <v>31926</v>
      </c>
      <c r="F1721" s="37" t="n">
        <f aca="true">IFERROR(DATEDIF(E1721,TODAY(),"Y"),"")</f>
        <v>39</v>
      </c>
      <c r="G1721" s="40" t="s">
        <v>7857</v>
      </c>
      <c r="H1721" s="40" t="s">
        <v>7858</v>
      </c>
      <c r="I1721" s="38" t="s">
        <v>7859</v>
      </c>
      <c r="J1721" s="38"/>
      <c r="K1721" s="38" t="s">
        <v>7860</v>
      </c>
      <c r="L1721" s="38" t="s">
        <v>48</v>
      </c>
      <c r="M1721" s="37" t="s">
        <v>104</v>
      </c>
      <c r="N1721" s="39" t="n">
        <v>45120</v>
      </c>
      <c r="O1721" s="41" t="s">
        <v>23</v>
      </c>
      <c r="P1721" s="41" t="s">
        <v>105</v>
      </c>
      <c r="Q1721" s="42"/>
      <c r="R1721" s="41"/>
      <c r="S1721" s="42"/>
      <c r="T1721" s="41"/>
    </row>
    <row r="1722" customFormat="false" ht="13.5" hidden="false" customHeight="true" outlineLevel="0" collapsed="false">
      <c r="A1722" s="37" t="n">
        <v>1719</v>
      </c>
      <c r="B1722" s="37" t="n">
        <v>4116</v>
      </c>
      <c r="C1722" s="38" t="s">
        <v>7861</v>
      </c>
      <c r="D1722" s="37" t="s">
        <v>100</v>
      </c>
      <c r="E1722" s="39" t="n">
        <v>30092</v>
      </c>
      <c r="F1722" s="37" t="n">
        <f aca="true">IFERROR(DATEDIF(E1722,TODAY(),"Y"),"")</f>
        <v>44</v>
      </c>
      <c r="G1722" s="40" t="s">
        <v>7862</v>
      </c>
      <c r="H1722" s="40" t="s">
        <v>7863</v>
      </c>
      <c r="I1722" s="38" t="s">
        <v>7864</v>
      </c>
      <c r="J1722" s="38" t="s">
        <v>16</v>
      </c>
      <c r="K1722" s="38" t="s">
        <v>7865</v>
      </c>
      <c r="L1722" s="38" t="s">
        <v>55</v>
      </c>
      <c r="M1722" s="37" t="s">
        <v>120</v>
      </c>
      <c r="N1722" s="39" t="n">
        <v>45120</v>
      </c>
      <c r="O1722" s="41" t="s">
        <v>23</v>
      </c>
      <c r="P1722" s="41" t="s">
        <v>105</v>
      </c>
      <c r="Q1722" s="42"/>
      <c r="R1722" s="41"/>
      <c r="S1722" s="42"/>
      <c r="T1722" s="41"/>
    </row>
    <row r="1723" customFormat="false" ht="13.5" hidden="false" customHeight="true" outlineLevel="0" collapsed="false">
      <c r="A1723" s="37" t="n">
        <v>1720</v>
      </c>
      <c r="B1723" s="37" t="n">
        <v>4117</v>
      </c>
      <c r="C1723" s="38" t="s">
        <v>7866</v>
      </c>
      <c r="D1723" s="37" t="s">
        <v>100</v>
      </c>
      <c r="E1723" s="39" t="n">
        <v>21925</v>
      </c>
      <c r="F1723" s="37" t="n">
        <f aca="true">IFERROR(DATEDIF(E1723,TODAY(),"Y"),"")</f>
        <v>66</v>
      </c>
      <c r="G1723" s="40" t="s">
        <v>7867</v>
      </c>
      <c r="H1723" s="40" t="s">
        <v>7868</v>
      </c>
      <c r="I1723" s="38" t="s">
        <v>7869</v>
      </c>
      <c r="J1723" s="38" t="s">
        <v>16</v>
      </c>
      <c r="K1723" s="38" t="s">
        <v>7870</v>
      </c>
      <c r="L1723" s="38" t="s">
        <v>53</v>
      </c>
      <c r="M1723" s="37" t="s">
        <v>104</v>
      </c>
      <c r="N1723" s="39" t="n">
        <v>45120</v>
      </c>
      <c r="O1723" s="41" t="s">
        <v>23</v>
      </c>
      <c r="P1723" s="41" t="s">
        <v>105</v>
      </c>
      <c r="Q1723" s="42"/>
      <c r="R1723" s="41"/>
      <c r="S1723" s="42"/>
      <c r="T1723" s="41"/>
    </row>
    <row r="1724" customFormat="false" ht="13.5" hidden="false" customHeight="true" outlineLevel="0" collapsed="false">
      <c r="A1724" s="37" t="n">
        <v>1721</v>
      </c>
      <c r="B1724" s="37" t="n">
        <v>4118</v>
      </c>
      <c r="C1724" s="38" t="s">
        <v>7871</v>
      </c>
      <c r="D1724" s="37" t="s">
        <v>100</v>
      </c>
      <c r="E1724" s="39" t="n">
        <v>27003</v>
      </c>
      <c r="F1724" s="37" t="n">
        <f aca="true">IFERROR(DATEDIF(E1724,TODAY(),"Y"),"")</f>
        <v>52</v>
      </c>
      <c r="G1724" s="40" t="s">
        <v>7872</v>
      </c>
      <c r="H1724" s="40"/>
      <c r="I1724" s="38" t="s">
        <v>7873</v>
      </c>
      <c r="J1724" s="38" t="s">
        <v>16</v>
      </c>
      <c r="K1724" s="38" t="s">
        <v>7874</v>
      </c>
      <c r="L1724" s="38" t="s">
        <v>47</v>
      </c>
      <c r="M1724" s="37" t="s">
        <v>104</v>
      </c>
      <c r="N1724" s="39" t="n">
        <v>45120</v>
      </c>
      <c r="O1724" s="41" t="s">
        <v>23</v>
      </c>
      <c r="P1724" s="41" t="s">
        <v>105</v>
      </c>
      <c r="Q1724" s="42"/>
      <c r="R1724" s="41"/>
      <c r="S1724" s="42"/>
      <c r="T1724" s="41"/>
    </row>
    <row r="1725" customFormat="false" ht="13.5" hidden="false" customHeight="true" outlineLevel="0" collapsed="false">
      <c r="A1725" s="37" t="n">
        <v>1722</v>
      </c>
      <c r="B1725" s="37" t="n">
        <v>4119</v>
      </c>
      <c r="C1725" s="38" t="s">
        <v>7875</v>
      </c>
      <c r="D1725" s="37" t="s">
        <v>100</v>
      </c>
      <c r="E1725" s="39" t="n">
        <v>32099</v>
      </c>
      <c r="F1725" s="37" t="n">
        <f aca="true">IFERROR(DATEDIF(E1725,TODAY(),"Y"),"")</f>
        <v>38</v>
      </c>
      <c r="G1725" s="40" t="s">
        <v>7876</v>
      </c>
      <c r="H1725" s="40"/>
      <c r="I1725" s="38" t="s">
        <v>7877</v>
      </c>
      <c r="J1725" s="38"/>
      <c r="K1725" s="38" t="s">
        <v>7878</v>
      </c>
      <c r="L1725" s="38" t="s">
        <v>46</v>
      </c>
      <c r="M1725" s="37" t="s">
        <v>177</v>
      </c>
      <c r="N1725" s="39" t="n">
        <v>45129</v>
      </c>
      <c r="O1725" s="41" t="s">
        <v>23</v>
      </c>
      <c r="P1725" s="41" t="s">
        <v>105</v>
      </c>
      <c r="Q1725" s="42"/>
      <c r="R1725" s="41"/>
      <c r="S1725" s="42"/>
      <c r="T1725" s="41"/>
    </row>
    <row r="1726" customFormat="false" ht="13.5" hidden="false" customHeight="true" outlineLevel="0" collapsed="false">
      <c r="A1726" s="37" t="n">
        <v>1723</v>
      </c>
      <c r="B1726" s="37" t="n">
        <v>4120</v>
      </c>
      <c r="C1726" s="38" t="s">
        <v>7879</v>
      </c>
      <c r="D1726" s="37" t="s">
        <v>100</v>
      </c>
      <c r="E1726" s="39" t="n">
        <v>24622</v>
      </c>
      <c r="F1726" s="37" t="n">
        <f aca="true">IFERROR(DATEDIF(E1726,TODAY(),"Y"),"")</f>
        <v>59</v>
      </c>
      <c r="G1726" s="40" t="s">
        <v>7880</v>
      </c>
      <c r="H1726" s="40" t="s">
        <v>7881</v>
      </c>
      <c r="I1726" s="38" t="s">
        <v>7882</v>
      </c>
      <c r="J1726" s="38" t="s">
        <v>15</v>
      </c>
      <c r="K1726" s="38" t="s">
        <v>7883</v>
      </c>
      <c r="L1726" s="38" t="s">
        <v>46</v>
      </c>
      <c r="M1726" s="37" t="s">
        <v>120</v>
      </c>
      <c r="N1726" s="39" t="n">
        <v>45129</v>
      </c>
      <c r="O1726" s="41" t="s">
        <v>23</v>
      </c>
      <c r="P1726" s="41" t="s">
        <v>105</v>
      </c>
      <c r="Q1726" s="42"/>
      <c r="R1726" s="41"/>
      <c r="S1726" s="42"/>
      <c r="T1726" s="41"/>
    </row>
    <row r="1727" customFormat="false" ht="13.5" hidden="false" customHeight="true" outlineLevel="0" collapsed="false">
      <c r="A1727" s="37" t="n">
        <v>1724</v>
      </c>
      <c r="B1727" s="37" t="n">
        <v>4121</v>
      </c>
      <c r="C1727" s="38" t="s">
        <v>7884</v>
      </c>
      <c r="D1727" s="37" t="s">
        <v>100</v>
      </c>
      <c r="E1727" s="39" t="n">
        <v>28519</v>
      </c>
      <c r="F1727" s="37" t="n">
        <f aca="true">IFERROR(DATEDIF(E1727,TODAY(),"Y"),"")</f>
        <v>48</v>
      </c>
      <c r="G1727" s="40" t="s">
        <v>7885</v>
      </c>
      <c r="H1727" s="40" t="s">
        <v>7886</v>
      </c>
      <c r="I1727" s="38" t="s">
        <v>7887</v>
      </c>
      <c r="J1727" s="38" t="s">
        <v>15</v>
      </c>
      <c r="K1727" s="38" t="s">
        <v>7888</v>
      </c>
      <c r="L1727" s="38" t="s">
        <v>48</v>
      </c>
      <c r="M1727" s="37" t="s">
        <v>120</v>
      </c>
      <c r="N1727" s="39" t="n">
        <v>45129</v>
      </c>
      <c r="O1727" s="41" t="s">
        <v>23</v>
      </c>
      <c r="P1727" s="41" t="s">
        <v>105</v>
      </c>
      <c r="Q1727" s="42"/>
      <c r="R1727" s="41"/>
      <c r="S1727" s="42"/>
      <c r="T1727" s="41"/>
    </row>
    <row r="1728" customFormat="false" ht="13.5" hidden="false" customHeight="true" outlineLevel="0" collapsed="false">
      <c r="A1728" s="37" t="n">
        <v>1725</v>
      </c>
      <c r="B1728" s="37" t="n">
        <v>4122</v>
      </c>
      <c r="C1728" s="38" t="s">
        <v>7889</v>
      </c>
      <c r="D1728" s="37" t="s">
        <v>100</v>
      </c>
      <c r="E1728" s="39" t="n">
        <v>27219</v>
      </c>
      <c r="F1728" s="37" t="n">
        <f aca="true">IFERROR(DATEDIF(E1728,TODAY(),"Y"),"")</f>
        <v>52</v>
      </c>
      <c r="G1728" s="40" t="s">
        <v>7890</v>
      </c>
      <c r="H1728" s="40" t="s">
        <v>7891</v>
      </c>
      <c r="I1728" s="38" t="s">
        <v>7892</v>
      </c>
      <c r="J1728" s="38" t="s">
        <v>15</v>
      </c>
      <c r="K1728" s="38" t="s">
        <v>7893</v>
      </c>
      <c r="L1728" s="38" t="s">
        <v>47</v>
      </c>
      <c r="M1728" s="37"/>
      <c r="N1728" s="39" t="n">
        <v>45131</v>
      </c>
      <c r="O1728" s="41" t="s">
        <v>23</v>
      </c>
      <c r="P1728" s="41" t="s">
        <v>105</v>
      </c>
      <c r="Q1728" s="42"/>
      <c r="R1728" s="41"/>
      <c r="S1728" s="42"/>
      <c r="T1728" s="41"/>
    </row>
    <row r="1729" customFormat="false" ht="13.5" hidden="false" customHeight="true" outlineLevel="0" collapsed="false">
      <c r="A1729" s="37" t="n">
        <v>1726</v>
      </c>
      <c r="B1729" s="37" t="n">
        <v>4123</v>
      </c>
      <c r="C1729" s="38" t="s">
        <v>7894</v>
      </c>
      <c r="D1729" s="37" t="s">
        <v>100</v>
      </c>
      <c r="E1729" s="39" t="n">
        <v>31121</v>
      </c>
      <c r="F1729" s="37" t="n">
        <f aca="true">IFERROR(DATEDIF(E1729,TODAY(),"Y"),"")</f>
        <v>41</v>
      </c>
      <c r="G1729" s="40" t="s">
        <v>7895</v>
      </c>
      <c r="H1729" s="40" t="s">
        <v>7896</v>
      </c>
      <c r="I1729" s="38" t="s">
        <v>7897</v>
      </c>
      <c r="J1729" s="38" t="s">
        <v>16</v>
      </c>
      <c r="K1729" s="38" t="s">
        <v>7898</v>
      </c>
      <c r="L1729" s="38" t="s">
        <v>52</v>
      </c>
      <c r="M1729" s="37" t="s">
        <v>120</v>
      </c>
      <c r="N1729" s="39" t="n">
        <v>45132</v>
      </c>
      <c r="O1729" s="41" t="s">
        <v>23</v>
      </c>
      <c r="P1729" s="41" t="s">
        <v>105</v>
      </c>
      <c r="Q1729" s="42"/>
      <c r="R1729" s="41"/>
      <c r="S1729" s="42"/>
      <c r="T1729" s="41"/>
    </row>
    <row r="1730" customFormat="false" ht="13.5" hidden="false" customHeight="true" outlineLevel="0" collapsed="false">
      <c r="A1730" s="37" t="n">
        <v>1727</v>
      </c>
      <c r="B1730" s="37" t="n">
        <v>4124</v>
      </c>
      <c r="C1730" s="38" t="s">
        <v>7899</v>
      </c>
      <c r="D1730" s="37" t="s">
        <v>100</v>
      </c>
      <c r="E1730" s="39" t="n">
        <v>34056</v>
      </c>
      <c r="F1730" s="37" t="n">
        <f aca="true">IFERROR(DATEDIF(E1730,TODAY(),"Y"),"")</f>
        <v>33</v>
      </c>
      <c r="G1730" s="40" t="s">
        <v>7900</v>
      </c>
      <c r="H1730" s="40" t="s">
        <v>7901</v>
      </c>
      <c r="I1730" s="38" t="s">
        <v>7902</v>
      </c>
      <c r="J1730" s="38" t="s">
        <v>15</v>
      </c>
      <c r="K1730" s="38" t="s">
        <v>7903</v>
      </c>
      <c r="L1730" s="38" t="s">
        <v>46</v>
      </c>
      <c r="M1730" s="37"/>
      <c r="N1730" s="39" t="n">
        <v>45135</v>
      </c>
      <c r="O1730" s="41" t="s">
        <v>23</v>
      </c>
      <c r="P1730" s="41" t="s">
        <v>105</v>
      </c>
      <c r="Q1730" s="42"/>
      <c r="R1730" s="41"/>
      <c r="S1730" s="42"/>
      <c r="T1730" s="41"/>
    </row>
    <row r="1731" customFormat="false" ht="13.5" hidden="false" customHeight="true" outlineLevel="0" collapsed="false">
      <c r="A1731" s="37" t="n">
        <v>1728</v>
      </c>
      <c r="B1731" s="37" t="n">
        <v>4125</v>
      </c>
      <c r="C1731" s="38" t="s">
        <v>7904</v>
      </c>
      <c r="D1731" s="37" t="s">
        <v>100</v>
      </c>
      <c r="E1731" s="39" t="n">
        <v>29032</v>
      </c>
      <c r="F1731" s="37" t="n">
        <f aca="true">IFERROR(DATEDIF(E1731,TODAY(),"Y"),"")</f>
        <v>47</v>
      </c>
      <c r="G1731" s="40" t="s">
        <v>7905</v>
      </c>
      <c r="H1731" s="40"/>
      <c r="I1731" s="38" t="s">
        <v>7906</v>
      </c>
      <c r="J1731" s="38" t="s">
        <v>18</v>
      </c>
      <c r="K1731" s="38" t="s">
        <v>7907</v>
      </c>
      <c r="L1731" s="38" t="s">
        <v>47</v>
      </c>
      <c r="M1731" s="37"/>
      <c r="N1731" s="39" t="n">
        <v>45135</v>
      </c>
      <c r="O1731" s="41" t="s">
        <v>23</v>
      </c>
      <c r="P1731" s="41" t="s">
        <v>105</v>
      </c>
      <c r="Q1731" s="42"/>
      <c r="R1731" s="41"/>
      <c r="S1731" s="42"/>
      <c r="T1731" s="41"/>
    </row>
    <row r="1732" customFormat="false" ht="13.5" hidden="false" customHeight="true" outlineLevel="0" collapsed="false">
      <c r="A1732" s="37" t="n">
        <v>1729</v>
      </c>
      <c r="B1732" s="37" t="n">
        <v>4126</v>
      </c>
      <c r="C1732" s="38" t="s">
        <v>7908</v>
      </c>
      <c r="D1732" s="37" t="s">
        <v>100</v>
      </c>
      <c r="E1732" s="39" t="n">
        <v>27850</v>
      </c>
      <c r="F1732" s="37" t="n">
        <f aca="true">IFERROR(DATEDIF(E1732,TODAY(),"Y"),"")</f>
        <v>50</v>
      </c>
      <c r="G1732" s="40" t="s">
        <v>7909</v>
      </c>
      <c r="H1732" s="40"/>
      <c r="I1732" s="38" t="s">
        <v>7910</v>
      </c>
      <c r="J1732" s="38" t="s">
        <v>16</v>
      </c>
      <c r="K1732" s="38" t="s">
        <v>7911</v>
      </c>
      <c r="L1732" s="38" t="s">
        <v>46</v>
      </c>
      <c r="M1732" s="37" t="s">
        <v>120</v>
      </c>
      <c r="N1732" s="39" t="n">
        <v>45138</v>
      </c>
      <c r="O1732" s="41" t="s">
        <v>23</v>
      </c>
      <c r="P1732" s="41" t="s">
        <v>105</v>
      </c>
      <c r="Q1732" s="42"/>
      <c r="R1732" s="41"/>
      <c r="S1732" s="42"/>
      <c r="T1732" s="41"/>
    </row>
    <row r="1733" customFormat="false" ht="13.5" hidden="false" customHeight="true" outlineLevel="0" collapsed="false">
      <c r="A1733" s="37" t="n">
        <v>1730</v>
      </c>
      <c r="B1733" s="37" t="n">
        <v>4127</v>
      </c>
      <c r="C1733" s="38" t="s">
        <v>7912</v>
      </c>
      <c r="D1733" s="37" t="s">
        <v>100</v>
      </c>
      <c r="E1733" s="39" t="n">
        <v>25343</v>
      </c>
      <c r="F1733" s="37" t="n">
        <f aca="true">IFERROR(DATEDIF(E1733,TODAY(),"Y"),"")</f>
        <v>57</v>
      </c>
      <c r="G1733" s="40" t="s">
        <v>7913</v>
      </c>
      <c r="H1733" s="40" t="s">
        <v>7914</v>
      </c>
      <c r="I1733" s="38" t="s">
        <v>7915</v>
      </c>
      <c r="J1733" s="38" t="s">
        <v>18</v>
      </c>
      <c r="K1733" s="38" t="s">
        <v>7916</v>
      </c>
      <c r="L1733" s="38" t="s">
        <v>48</v>
      </c>
      <c r="M1733" s="37" t="s">
        <v>104</v>
      </c>
      <c r="N1733" s="39" t="n">
        <v>45140</v>
      </c>
      <c r="O1733" s="41" t="s">
        <v>23</v>
      </c>
      <c r="P1733" s="41" t="s">
        <v>105</v>
      </c>
      <c r="Q1733" s="42"/>
      <c r="R1733" s="41"/>
      <c r="S1733" s="42"/>
      <c r="T1733" s="41"/>
    </row>
    <row r="1734" customFormat="false" ht="13.5" hidden="false" customHeight="true" outlineLevel="0" collapsed="false">
      <c r="A1734" s="37" t="n">
        <v>1731</v>
      </c>
      <c r="B1734" s="37" t="n">
        <v>4128</v>
      </c>
      <c r="C1734" s="38" t="s">
        <v>7917</v>
      </c>
      <c r="D1734" s="37" t="s">
        <v>100</v>
      </c>
      <c r="E1734" s="39" t="n">
        <v>28234</v>
      </c>
      <c r="F1734" s="37" t="n">
        <f aca="true">IFERROR(DATEDIF(E1734,TODAY(),"Y"),"")</f>
        <v>49</v>
      </c>
      <c r="G1734" s="40" t="s">
        <v>7918</v>
      </c>
      <c r="H1734" s="40"/>
      <c r="I1734" s="38" t="s">
        <v>7919</v>
      </c>
      <c r="J1734" s="38"/>
      <c r="K1734" s="38" t="s">
        <v>7920</v>
      </c>
      <c r="L1734" s="38" t="s">
        <v>50</v>
      </c>
      <c r="M1734" s="37"/>
      <c r="N1734" s="39" t="n">
        <v>45149</v>
      </c>
      <c r="O1734" s="41" t="s">
        <v>23</v>
      </c>
      <c r="P1734" s="41" t="s">
        <v>105</v>
      </c>
      <c r="Q1734" s="42"/>
      <c r="R1734" s="41"/>
      <c r="S1734" s="42"/>
      <c r="T1734" s="41"/>
    </row>
    <row r="1735" customFormat="false" ht="13.5" hidden="false" customHeight="true" outlineLevel="0" collapsed="false">
      <c r="A1735" s="37" t="n">
        <v>1732</v>
      </c>
      <c r="B1735" s="37" t="n">
        <v>4129</v>
      </c>
      <c r="C1735" s="38" t="s">
        <v>7921</v>
      </c>
      <c r="D1735" s="37" t="s">
        <v>100</v>
      </c>
      <c r="E1735" s="39" t="n">
        <v>31351</v>
      </c>
      <c r="F1735" s="37" t="n">
        <f aca="true">IFERROR(DATEDIF(E1735,TODAY(),"Y"),"")</f>
        <v>40</v>
      </c>
      <c r="G1735" s="40" t="s">
        <v>7922</v>
      </c>
      <c r="H1735" s="40"/>
      <c r="I1735" s="38" t="s">
        <v>7923</v>
      </c>
      <c r="J1735" s="38" t="s">
        <v>16</v>
      </c>
      <c r="K1735" s="38" t="s">
        <v>7924</v>
      </c>
      <c r="L1735" s="38" t="s">
        <v>53</v>
      </c>
      <c r="M1735" s="37" t="s">
        <v>120</v>
      </c>
      <c r="N1735" s="39" t="n">
        <v>45208</v>
      </c>
      <c r="O1735" s="41" t="s">
        <v>23</v>
      </c>
      <c r="P1735" s="41" t="s">
        <v>105</v>
      </c>
      <c r="Q1735" s="42"/>
      <c r="R1735" s="41"/>
      <c r="S1735" s="42"/>
      <c r="T1735" s="41"/>
    </row>
    <row r="1736" customFormat="false" ht="13.5" hidden="false" customHeight="true" outlineLevel="0" collapsed="false">
      <c r="A1736" s="37" t="n">
        <v>1733</v>
      </c>
      <c r="B1736" s="37" t="n">
        <v>4130</v>
      </c>
      <c r="C1736" s="38" t="s">
        <v>7925</v>
      </c>
      <c r="D1736" s="37" t="s">
        <v>100</v>
      </c>
      <c r="E1736" s="39" t="n">
        <v>25011</v>
      </c>
      <c r="F1736" s="37" t="n">
        <f aca="true">IFERROR(DATEDIF(E1736,TODAY(),"Y"),"")</f>
        <v>58</v>
      </c>
      <c r="G1736" s="40" t="s">
        <v>7926</v>
      </c>
      <c r="H1736" s="40"/>
      <c r="I1736" s="38" t="s">
        <v>7927</v>
      </c>
      <c r="J1736" s="38" t="s">
        <v>18</v>
      </c>
      <c r="K1736" s="38" t="s">
        <v>7928</v>
      </c>
      <c r="L1736" s="38" t="s">
        <v>50</v>
      </c>
      <c r="M1736" s="37" t="s">
        <v>120</v>
      </c>
      <c r="N1736" s="39" t="n">
        <v>45211</v>
      </c>
      <c r="O1736" s="41" t="s">
        <v>23</v>
      </c>
      <c r="P1736" s="41" t="s">
        <v>105</v>
      </c>
      <c r="Q1736" s="42"/>
      <c r="R1736" s="41"/>
      <c r="S1736" s="42"/>
      <c r="T1736" s="41"/>
    </row>
    <row r="1737" customFormat="false" ht="13.5" hidden="false" customHeight="true" outlineLevel="0" collapsed="false">
      <c r="A1737" s="37" t="n">
        <v>1734</v>
      </c>
      <c r="B1737" s="37" t="n">
        <v>4131</v>
      </c>
      <c r="C1737" s="38" t="s">
        <v>7929</v>
      </c>
      <c r="D1737" s="37" t="s">
        <v>100</v>
      </c>
      <c r="E1737" s="39" t="n">
        <v>28217</v>
      </c>
      <c r="F1737" s="37" t="n">
        <f aca="true">IFERROR(DATEDIF(E1737,TODAY(),"Y"),"")</f>
        <v>49</v>
      </c>
      <c r="G1737" s="40" t="s">
        <v>7930</v>
      </c>
      <c r="H1737" s="40"/>
      <c r="I1737" s="38" t="s">
        <v>7931</v>
      </c>
      <c r="J1737" s="38" t="s">
        <v>16</v>
      </c>
      <c r="K1737" s="38" t="s">
        <v>7932</v>
      </c>
      <c r="L1737" s="38" t="s">
        <v>51</v>
      </c>
      <c r="M1737" s="37" t="s">
        <v>104</v>
      </c>
      <c r="N1737" s="39" t="n">
        <v>45219</v>
      </c>
      <c r="O1737" s="41" t="s">
        <v>23</v>
      </c>
      <c r="P1737" s="41" t="s">
        <v>105</v>
      </c>
      <c r="Q1737" s="42"/>
      <c r="R1737" s="41"/>
      <c r="S1737" s="42"/>
      <c r="T1737" s="41"/>
    </row>
    <row r="1738" customFormat="false" ht="13.5" hidden="false" customHeight="true" outlineLevel="0" collapsed="false">
      <c r="A1738" s="37" t="n">
        <v>1735</v>
      </c>
      <c r="B1738" s="37" t="n">
        <v>4132</v>
      </c>
      <c r="C1738" s="38" t="s">
        <v>7933</v>
      </c>
      <c r="D1738" s="37" t="s">
        <v>100</v>
      </c>
      <c r="E1738" s="39" t="n">
        <v>29628</v>
      </c>
      <c r="F1738" s="37" t="n">
        <f aca="true">IFERROR(DATEDIF(E1738,TODAY(),"Y"),"")</f>
        <v>45</v>
      </c>
      <c r="G1738" s="40" t="s">
        <v>7934</v>
      </c>
      <c r="H1738" s="40"/>
      <c r="I1738" s="38" t="s">
        <v>7935</v>
      </c>
      <c r="J1738" s="38" t="s">
        <v>15</v>
      </c>
      <c r="K1738" s="38" t="s">
        <v>7936</v>
      </c>
      <c r="L1738" s="38" t="s">
        <v>50</v>
      </c>
      <c r="M1738" s="37" t="s">
        <v>104</v>
      </c>
      <c r="N1738" s="39" t="n">
        <v>45236</v>
      </c>
      <c r="O1738" s="41" t="s">
        <v>23</v>
      </c>
      <c r="P1738" s="41" t="s">
        <v>105</v>
      </c>
      <c r="Q1738" s="42"/>
      <c r="R1738" s="41"/>
      <c r="S1738" s="42"/>
      <c r="T1738" s="41"/>
    </row>
    <row r="1739" customFormat="false" ht="13.5" hidden="false" customHeight="true" outlineLevel="0" collapsed="false">
      <c r="A1739" s="37" t="n">
        <v>1736</v>
      </c>
      <c r="B1739" s="37" t="n">
        <v>4133</v>
      </c>
      <c r="C1739" s="38" t="s">
        <v>7937</v>
      </c>
      <c r="D1739" s="37" t="s">
        <v>100</v>
      </c>
      <c r="E1739" s="39" t="n">
        <v>28982</v>
      </c>
      <c r="F1739" s="37" t="n">
        <f aca="true">IFERROR(DATEDIF(E1739,TODAY(),"Y"),"")</f>
        <v>47</v>
      </c>
      <c r="G1739" s="40" t="s">
        <v>7938</v>
      </c>
      <c r="H1739" s="40" t="s">
        <v>7939</v>
      </c>
      <c r="I1739" s="38" t="s">
        <v>7940</v>
      </c>
      <c r="J1739" s="38" t="s">
        <v>16</v>
      </c>
      <c r="K1739" s="38" t="s">
        <v>7941</v>
      </c>
      <c r="L1739" s="38" t="s">
        <v>54</v>
      </c>
      <c r="M1739" s="37" t="s">
        <v>231</v>
      </c>
      <c r="N1739" s="39" t="n">
        <v>45239</v>
      </c>
      <c r="O1739" s="41" t="s">
        <v>23</v>
      </c>
      <c r="P1739" s="41" t="s">
        <v>105</v>
      </c>
      <c r="Q1739" s="42"/>
      <c r="R1739" s="41"/>
      <c r="S1739" s="42"/>
      <c r="T1739" s="41"/>
    </row>
    <row r="1740" customFormat="false" ht="13.5" hidden="false" customHeight="true" outlineLevel="0" collapsed="false">
      <c r="A1740" s="37" t="n">
        <v>1737</v>
      </c>
      <c r="B1740" s="37" t="n">
        <v>4134</v>
      </c>
      <c r="C1740" s="38" t="s">
        <v>7942</v>
      </c>
      <c r="D1740" s="37" t="s">
        <v>100</v>
      </c>
      <c r="E1740" s="39" t="n">
        <v>36894</v>
      </c>
      <c r="F1740" s="37" t="n">
        <f aca="true">IFERROR(DATEDIF(E1740,TODAY(),"Y"),"")</f>
        <v>25</v>
      </c>
      <c r="G1740" s="40" t="s">
        <v>7943</v>
      </c>
      <c r="H1740" s="40"/>
      <c r="I1740" s="38" t="s">
        <v>7944</v>
      </c>
      <c r="J1740" s="38" t="s">
        <v>15</v>
      </c>
      <c r="K1740" s="38" t="s">
        <v>7945</v>
      </c>
      <c r="L1740" s="38" t="s">
        <v>55</v>
      </c>
      <c r="M1740" s="37"/>
      <c r="N1740" s="39" t="n">
        <v>45239</v>
      </c>
      <c r="O1740" s="41" t="s">
        <v>23</v>
      </c>
      <c r="P1740" s="41" t="s">
        <v>105</v>
      </c>
      <c r="Q1740" s="42"/>
      <c r="R1740" s="41"/>
      <c r="S1740" s="42"/>
      <c r="T1740" s="41"/>
    </row>
    <row r="1741" customFormat="false" ht="13.5" hidden="false" customHeight="true" outlineLevel="0" collapsed="false">
      <c r="A1741" s="37" t="n">
        <v>1738</v>
      </c>
      <c r="B1741" s="37" t="n">
        <v>4135</v>
      </c>
      <c r="C1741" s="38" t="s">
        <v>7946</v>
      </c>
      <c r="D1741" s="37" t="s">
        <v>100</v>
      </c>
      <c r="E1741" s="39" t="n">
        <v>28967</v>
      </c>
      <c r="F1741" s="37" t="n">
        <f aca="true">IFERROR(DATEDIF(E1741,TODAY(),"Y"),"")</f>
        <v>47</v>
      </c>
      <c r="G1741" s="40" t="s">
        <v>7947</v>
      </c>
      <c r="H1741" s="40" t="s">
        <v>7948</v>
      </c>
      <c r="I1741" s="38" t="s">
        <v>7949</v>
      </c>
      <c r="J1741" s="38" t="s">
        <v>15</v>
      </c>
      <c r="K1741" s="38" t="s">
        <v>7950</v>
      </c>
      <c r="L1741" s="38" t="s">
        <v>54</v>
      </c>
      <c r="M1741" s="37" t="s">
        <v>120</v>
      </c>
      <c r="N1741" s="39" t="n">
        <v>45240</v>
      </c>
      <c r="O1741" s="41" t="s">
        <v>23</v>
      </c>
      <c r="P1741" s="41" t="s">
        <v>105</v>
      </c>
      <c r="Q1741" s="42"/>
      <c r="R1741" s="41"/>
      <c r="S1741" s="42"/>
      <c r="T1741" s="41"/>
    </row>
    <row r="1742" customFormat="false" ht="13.5" hidden="false" customHeight="true" outlineLevel="0" collapsed="false">
      <c r="A1742" s="37" t="n">
        <v>1739</v>
      </c>
      <c r="B1742" s="37" t="n">
        <v>4136</v>
      </c>
      <c r="C1742" s="38" t="s">
        <v>7951</v>
      </c>
      <c r="D1742" s="37" t="s">
        <v>100</v>
      </c>
      <c r="E1742" s="39" t="n">
        <v>18422</v>
      </c>
      <c r="F1742" s="37" t="n">
        <f aca="true">IFERROR(DATEDIF(E1742,TODAY(),"Y"),"")</f>
        <v>76</v>
      </c>
      <c r="G1742" s="40" t="s">
        <v>7952</v>
      </c>
      <c r="H1742" s="40"/>
      <c r="I1742" s="38" t="s">
        <v>7953</v>
      </c>
      <c r="J1742" s="38" t="s">
        <v>18</v>
      </c>
      <c r="K1742" s="38" t="s">
        <v>7954</v>
      </c>
      <c r="L1742" s="38" t="s">
        <v>53</v>
      </c>
      <c r="M1742" s="37" t="s">
        <v>120</v>
      </c>
      <c r="N1742" s="39" t="n">
        <v>45268</v>
      </c>
      <c r="O1742" s="41" t="s">
        <v>23</v>
      </c>
      <c r="P1742" s="41" t="s">
        <v>105</v>
      </c>
      <c r="Q1742" s="42"/>
      <c r="R1742" s="41"/>
      <c r="S1742" s="42"/>
      <c r="T1742" s="41"/>
    </row>
    <row r="1743" customFormat="false" ht="13.5" hidden="false" customHeight="true" outlineLevel="0" collapsed="false">
      <c r="A1743" s="37" t="n">
        <v>1740</v>
      </c>
      <c r="B1743" s="37" t="n">
        <v>4137</v>
      </c>
      <c r="C1743" s="38" t="s">
        <v>7955</v>
      </c>
      <c r="D1743" s="37" t="s">
        <v>100</v>
      </c>
      <c r="E1743" s="39" t="n">
        <v>29332</v>
      </c>
      <c r="F1743" s="37" t="n">
        <f aca="true">IFERROR(DATEDIF(E1743,TODAY(),"Y"),"")</f>
        <v>46</v>
      </c>
      <c r="G1743" s="40" t="s">
        <v>7956</v>
      </c>
      <c r="H1743" s="40" t="s">
        <v>7957</v>
      </c>
      <c r="I1743" s="38" t="s">
        <v>7958</v>
      </c>
      <c r="J1743" s="38" t="s">
        <v>15</v>
      </c>
      <c r="K1743" s="38" t="s">
        <v>7959</v>
      </c>
      <c r="L1743" s="38" t="s">
        <v>47</v>
      </c>
      <c r="M1743" s="37" t="s">
        <v>745</v>
      </c>
      <c r="N1743" s="39" t="n">
        <v>45268</v>
      </c>
      <c r="O1743" s="41" t="s">
        <v>23</v>
      </c>
      <c r="P1743" s="41" t="s">
        <v>105</v>
      </c>
      <c r="Q1743" s="42"/>
      <c r="R1743" s="41"/>
      <c r="S1743" s="42"/>
      <c r="T1743" s="41"/>
    </row>
    <row r="1744" customFormat="false" ht="13.5" hidden="false" customHeight="true" outlineLevel="0" collapsed="false">
      <c r="A1744" s="37" t="n">
        <v>1741</v>
      </c>
      <c r="B1744" s="37" t="n">
        <v>4138</v>
      </c>
      <c r="C1744" s="38" t="s">
        <v>7960</v>
      </c>
      <c r="D1744" s="37" t="s">
        <v>100</v>
      </c>
      <c r="E1744" s="39" t="n">
        <v>30660</v>
      </c>
      <c r="F1744" s="37" t="n">
        <f aca="true">IFERROR(DATEDIF(E1744,TODAY(),"Y"),"")</f>
        <v>42</v>
      </c>
      <c r="G1744" s="40" t="s">
        <v>7961</v>
      </c>
      <c r="H1744" s="40"/>
      <c r="I1744" s="38" t="s">
        <v>7962</v>
      </c>
      <c r="J1744" s="38"/>
      <c r="K1744" s="38" t="s">
        <v>7963</v>
      </c>
      <c r="L1744" s="38" t="s">
        <v>47</v>
      </c>
      <c r="M1744" s="37" t="s">
        <v>2436</v>
      </c>
      <c r="N1744" s="39" t="n">
        <v>45296</v>
      </c>
      <c r="O1744" s="41" t="s">
        <v>23</v>
      </c>
      <c r="P1744" s="41" t="s">
        <v>105</v>
      </c>
      <c r="Q1744" s="42"/>
      <c r="R1744" s="41"/>
      <c r="S1744" s="42"/>
      <c r="T1744" s="41"/>
    </row>
    <row r="1745" customFormat="false" ht="13.5" hidden="false" customHeight="true" outlineLevel="0" collapsed="false">
      <c r="A1745" s="37" t="n">
        <v>1742</v>
      </c>
      <c r="B1745" s="37" t="n">
        <v>4139</v>
      </c>
      <c r="C1745" s="38" t="s">
        <v>7964</v>
      </c>
      <c r="D1745" s="37" t="s">
        <v>100</v>
      </c>
      <c r="E1745" s="39" t="n">
        <v>29001</v>
      </c>
      <c r="F1745" s="37" t="n">
        <f aca="true">IFERROR(DATEDIF(E1745,TODAY(),"Y"),"")</f>
        <v>47</v>
      </c>
      <c r="G1745" s="40" t="s">
        <v>7965</v>
      </c>
      <c r="H1745" s="40"/>
      <c r="I1745" s="38" t="s">
        <v>7966</v>
      </c>
      <c r="J1745" s="38" t="s">
        <v>16</v>
      </c>
      <c r="K1745" s="38" t="s">
        <v>7967</v>
      </c>
      <c r="L1745" s="38" t="s">
        <v>46</v>
      </c>
      <c r="M1745" s="37" t="s">
        <v>177</v>
      </c>
      <c r="N1745" s="39" t="n">
        <v>45297</v>
      </c>
      <c r="O1745" s="41" t="s">
        <v>23</v>
      </c>
      <c r="P1745" s="41" t="s">
        <v>105</v>
      </c>
      <c r="Q1745" s="42"/>
      <c r="R1745" s="41"/>
      <c r="S1745" s="42"/>
      <c r="T1745" s="41"/>
    </row>
    <row r="1746" customFormat="false" ht="13.5" hidden="false" customHeight="true" outlineLevel="0" collapsed="false">
      <c r="A1746" s="37" t="n">
        <v>1743</v>
      </c>
      <c r="B1746" s="37" t="n">
        <v>4140</v>
      </c>
      <c r="C1746" s="38" t="s">
        <v>7968</v>
      </c>
      <c r="D1746" s="37" t="s">
        <v>100</v>
      </c>
      <c r="E1746" s="39" t="n">
        <v>31039</v>
      </c>
      <c r="F1746" s="37" t="n">
        <f aca="true">IFERROR(DATEDIF(E1746,TODAY(),"Y"),"")</f>
        <v>41</v>
      </c>
      <c r="G1746" s="40" t="s">
        <v>7969</v>
      </c>
      <c r="H1746" s="40" t="s">
        <v>7970</v>
      </c>
      <c r="I1746" s="38" t="s">
        <v>7971</v>
      </c>
      <c r="J1746" s="38" t="s">
        <v>15</v>
      </c>
      <c r="K1746" s="38" t="s">
        <v>7972</v>
      </c>
      <c r="L1746" s="38" t="s">
        <v>57</v>
      </c>
      <c r="M1746" s="37" t="s">
        <v>231</v>
      </c>
      <c r="N1746" s="39" t="n">
        <v>45297</v>
      </c>
      <c r="O1746" s="41" t="s">
        <v>23</v>
      </c>
      <c r="P1746" s="41" t="s">
        <v>105</v>
      </c>
      <c r="Q1746" s="42"/>
      <c r="R1746" s="41"/>
      <c r="S1746" s="42"/>
      <c r="T1746" s="41"/>
    </row>
    <row r="1747" customFormat="false" ht="13.5" hidden="false" customHeight="true" outlineLevel="0" collapsed="false">
      <c r="A1747" s="37" t="n">
        <v>1744</v>
      </c>
      <c r="B1747" s="37" t="n">
        <v>4141</v>
      </c>
      <c r="C1747" s="38" t="s">
        <v>7973</v>
      </c>
      <c r="D1747" s="37" t="s">
        <v>100</v>
      </c>
      <c r="E1747" s="39" t="n">
        <v>25115</v>
      </c>
      <c r="F1747" s="37" t="n">
        <f aca="true">IFERROR(DATEDIF(E1747,TODAY(),"Y"),"")</f>
        <v>57</v>
      </c>
      <c r="G1747" s="40" t="s">
        <v>7974</v>
      </c>
      <c r="H1747" s="40" t="s">
        <v>7975</v>
      </c>
      <c r="I1747" s="38" t="s">
        <v>7976</v>
      </c>
      <c r="J1747" s="38" t="s">
        <v>15</v>
      </c>
      <c r="K1747" s="38" t="s">
        <v>7977</v>
      </c>
      <c r="L1747" s="38" t="s">
        <v>50</v>
      </c>
      <c r="M1747" s="37" t="s">
        <v>177</v>
      </c>
      <c r="N1747" s="39" t="n">
        <v>45308</v>
      </c>
      <c r="O1747" s="41" t="s">
        <v>23</v>
      </c>
      <c r="P1747" s="41" t="s">
        <v>105</v>
      </c>
      <c r="Q1747" s="42"/>
      <c r="R1747" s="41"/>
      <c r="S1747" s="42"/>
      <c r="T1747" s="41"/>
    </row>
    <row r="1748" customFormat="false" ht="13.5" hidden="false" customHeight="true" outlineLevel="0" collapsed="false">
      <c r="A1748" s="37" t="n">
        <v>1745</v>
      </c>
      <c r="B1748" s="37" t="n">
        <v>4142</v>
      </c>
      <c r="C1748" s="38" t="s">
        <v>7978</v>
      </c>
      <c r="D1748" s="37" t="s">
        <v>100</v>
      </c>
      <c r="E1748" s="39" t="n">
        <v>31413</v>
      </c>
      <c r="F1748" s="37" t="n">
        <f aca="true">IFERROR(DATEDIF(E1748,TODAY(),"Y"),"")</f>
        <v>40</v>
      </c>
      <c r="G1748" s="40" t="s">
        <v>7979</v>
      </c>
      <c r="H1748" s="40" t="s">
        <v>7980</v>
      </c>
      <c r="I1748" s="38" t="s">
        <v>7981</v>
      </c>
      <c r="J1748" s="38"/>
      <c r="K1748" s="38" t="s">
        <v>7982</v>
      </c>
      <c r="L1748" s="38" t="s">
        <v>51</v>
      </c>
      <c r="M1748" s="37"/>
      <c r="N1748" s="39" t="n">
        <v>45308</v>
      </c>
      <c r="O1748" s="41" t="s">
        <v>23</v>
      </c>
      <c r="P1748" s="41" t="s">
        <v>105</v>
      </c>
      <c r="Q1748" s="42"/>
      <c r="R1748" s="41"/>
      <c r="S1748" s="42"/>
      <c r="T1748" s="41"/>
    </row>
    <row r="1749" customFormat="false" ht="13.5" hidden="false" customHeight="true" outlineLevel="0" collapsed="false">
      <c r="A1749" s="37" t="n">
        <v>1746</v>
      </c>
      <c r="B1749" s="37" t="n">
        <v>4143</v>
      </c>
      <c r="C1749" s="38" t="s">
        <v>7983</v>
      </c>
      <c r="D1749" s="37" t="s">
        <v>100</v>
      </c>
      <c r="E1749" s="39" t="n">
        <v>23719</v>
      </c>
      <c r="F1749" s="37" t="n">
        <f aca="true">IFERROR(DATEDIF(E1749,TODAY(),"Y"),"")</f>
        <v>61</v>
      </c>
      <c r="G1749" s="40" t="s">
        <v>7984</v>
      </c>
      <c r="H1749" s="40" t="s">
        <v>7985</v>
      </c>
      <c r="I1749" s="38" t="s">
        <v>7986</v>
      </c>
      <c r="J1749" s="38" t="s">
        <v>18</v>
      </c>
      <c r="K1749" s="38" t="s">
        <v>7987</v>
      </c>
      <c r="L1749" s="38" t="s">
        <v>43</v>
      </c>
      <c r="M1749" s="37" t="s">
        <v>231</v>
      </c>
      <c r="N1749" s="39" t="n">
        <v>45314</v>
      </c>
      <c r="O1749" s="41" t="s">
        <v>23</v>
      </c>
      <c r="P1749" s="41" t="s">
        <v>105</v>
      </c>
      <c r="Q1749" s="42"/>
      <c r="R1749" s="41"/>
      <c r="S1749" s="42"/>
      <c r="T1749" s="41"/>
    </row>
    <row r="1750" customFormat="false" ht="13.5" hidden="false" customHeight="true" outlineLevel="0" collapsed="false">
      <c r="A1750" s="37" t="n">
        <v>1747</v>
      </c>
      <c r="B1750" s="37" t="n">
        <v>4144</v>
      </c>
      <c r="C1750" s="38" t="s">
        <v>7988</v>
      </c>
      <c r="D1750" s="37" t="s">
        <v>100</v>
      </c>
      <c r="E1750" s="39" t="n">
        <v>22422</v>
      </c>
      <c r="F1750" s="37" t="n">
        <f aca="true">IFERROR(DATEDIF(E1750,TODAY(),"Y"),"")</f>
        <v>65</v>
      </c>
      <c r="G1750" s="40" t="s">
        <v>3411</v>
      </c>
      <c r="H1750" s="40" t="s">
        <v>7989</v>
      </c>
      <c r="I1750" s="38" t="s">
        <v>3413</v>
      </c>
      <c r="J1750" s="38"/>
      <c r="K1750" s="38" t="s">
        <v>7990</v>
      </c>
      <c r="L1750" s="38" t="s">
        <v>43</v>
      </c>
      <c r="M1750" s="37" t="s">
        <v>120</v>
      </c>
      <c r="N1750" s="39" t="n">
        <v>45348</v>
      </c>
      <c r="O1750" s="41" t="s">
        <v>23</v>
      </c>
      <c r="P1750" s="41" t="s">
        <v>105</v>
      </c>
      <c r="Q1750" s="42"/>
      <c r="R1750" s="41"/>
      <c r="S1750" s="42"/>
      <c r="T1750" s="41"/>
    </row>
    <row r="1751" customFormat="false" ht="13.5" hidden="false" customHeight="true" outlineLevel="0" collapsed="false">
      <c r="A1751" s="37" t="n">
        <v>1748</v>
      </c>
      <c r="B1751" s="37" t="n">
        <v>4145</v>
      </c>
      <c r="C1751" s="38" t="s">
        <v>7991</v>
      </c>
      <c r="D1751" s="37" t="s">
        <v>100</v>
      </c>
      <c r="E1751" s="39" t="n">
        <v>30746</v>
      </c>
      <c r="F1751" s="37" t="n">
        <f aca="true">IFERROR(DATEDIF(E1751,TODAY(),"Y"),"")</f>
        <v>42</v>
      </c>
      <c r="G1751" s="40" t="s">
        <v>7992</v>
      </c>
      <c r="H1751" s="40" t="s">
        <v>7993</v>
      </c>
      <c r="I1751" s="38" t="s">
        <v>7994</v>
      </c>
      <c r="J1751" s="38"/>
      <c r="K1751" s="38" t="s">
        <v>7995</v>
      </c>
      <c r="L1751" s="38" t="s">
        <v>46</v>
      </c>
      <c r="M1751" s="37" t="s">
        <v>104</v>
      </c>
      <c r="N1751" s="39" t="n">
        <v>45348</v>
      </c>
      <c r="O1751" s="41" t="s">
        <v>23</v>
      </c>
      <c r="P1751" s="41" t="s">
        <v>105</v>
      </c>
      <c r="Q1751" s="42"/>
      <c r="R1751" s="41"/>
      <c r="S1751" s="42"/>
      <c r="T1751" s="41"/>
    </row>
    <row r="1752" customFormat="false" ht="13.5" hidden="false" customHeight="true" outlineLevel="0" collapsed="false">
      <c r="A1752" s="37" t="n">
        <v>1749</v>
      </c>
      <c r="B1752" s="37" t="n">
        <v>4146</v>
      </c>
      <c r="C1752" s="38" t="s">
        <v>7996</v>
      </c>
      <c r="D1752" s="37" t="s">
        <v>100</v>
      </c>
      <c r="E1752" s="39" t="n">
        <v>28275</v>
      </c>
      <c r="F1752" s="37" t="n">
        <f aca="true">IFERROR(DATEDIF(E1752,TODAY(),"Y"),"")</f>
        <v>49</v>
      </c>
      <c r="G1752" s="40" t="s">
        <v>7997</v>
      </c>
      <c r="H1752" s="40" t="s">
        <v>7998</v>
      </c>
      <c r="I1752" s="38" t="s">
        <v>7999</v>
      </c>
      <c r="J1752" s="38"/>
      <c r="K1752" s="38" t="s">
        <v>8000</v>
      </c>
      <c r="L1752" s="38" t="s">
        <v>54</v>
      </c>
      <c r="M1752" s="37"/>
      <c r="N1752" s="39" t="n">
        <v>45349</v>
      </c>
      <c r="O1752" s="41" t="s">
        <v>23</v>
      </c>
      <c r="P1752" s="41" t="s">
        <v>105</v>
      </c>
      <c r="Q1752" s="42"/>
      <c r="R1752" s="41"/>
      <c r="S1752" s="42"/>
      <c r="T1752" s="41"/>
    </row>
    <row r="1753" customFormat="false" ht="13.5" hidden="false" customHeight="true" outlineLevel="0" collapsed="false">
      <c r="A1753" s="37" t="n">
        <v>1750</v>
      </c>
      <c r="B1753" s="37" t="n">
        <v>4147</v>
      </c>
      <c r="C1753" s="38" t="s">
        <v>8001</v>
      </c>
      <c r="D1753" s="37" t="s">
        <v>100</v>
      </c>
      <c r="E1753" s="39" t="n">
        <v>26061</v>
      </c>
      <c r="F1753" s="37" t="n">
        <f aca="true">IFERROR(DATEDIF(E1753,TODAY(),"Y"),"")</f>
        <v>55</v>
      </c>
      <c r="G1753" s="40" t="s">
        <v>8002</v>
      </c>
      <c r="H1753" s="40"/>
      <c r="I1753" s="38" t="s">
        <v>8003</v>
      </c>
      <c r="J1753" s="38"/>
      <c r="K1753" s="38" t="s">
        <v>8004</v>
      </c>
      <c r="L1753" s="38" t="s">
        <v>48</v>
      </c>
      <c r="M1753" s="37" t="s">
        <v>177</v>
      </c>
      <c r="N1753" s="39" t="n">
        <v>45351</v>
      </c>
      <c r="O1753" s="41" t="s">
        <v>23</v>
      </c>
      <c r="P1753" s="41" t="s">
        <v>105</v>
      </c>
      <c r="Q1753" s="42"/>
      <c r="R1753" s="41"/>
      <c r="S1753" s="42"/>
      <c r="T1753" s="41"/>
    </row>
    <row r="1754" customFormat="false" ht="13.5" hidden="false" customHeight="true" outlineLevel="0" collapsed="false">
      <c r="A1754" s="37" t="n">
        <v>1751</v>
      </c>
      <c r="B1754" s="37" t="n">
        <v>4148</v>
      </c>
      <c r="C1754" s="38" t="s">
        <v>8005</v>
      </c>
      <c r="D1754" s="37" t="s">
        <v>100</v>
      </c>
      <c r="E1754" s="39" t="n">
        <v>29737</v>
      </c>
      <c r="F1754" s="37" t="n">
        <f aca="true">IFERROR(DATEDIF(E1754,TODAY(),"Y"),"")</f>
        <v>45</v>
      </c>
      <c r="G1754" s="40" t="s">
        <v>8006</v>
      </c>
      <c r="H1754" s="40"/>
      <c r="I1754" s="38" t="s">
        <v>8007</v>
      </c>
      <c r="J1754" s="38"/>
      <c r="K1754" s="38" t="s">
        <v>8008</v>
      </c>
      <c r="L1754" s="38" t="s">
        <v>43</v>
      </c>
      <c r="M1754" s="37" t="s">
        <v>104</v>
      </c>
      <c r="N1754" s="39" t="n">
        <v>45352</v>
      </c>
      <c r="O1754" s="41" t="s">
        <v>23</v>
      </c>
      <c r="P1754" s="41" t="s">
        <v>105</v>
      </c>
      <c r="Q1754" s="42"/>
      <c r="R1754" s="41"/>
      <c r="S1754" s="42"/>
      <c r="T1754" s="41"/>
    </row>
    <row r="1755" customFormat="false" ht="13.5" hidden="false" customHeight="true" outlineLevel="0" collapsed="false">
      <c r="A1755" s="37" t="n">
        <v>1752</v>
      </c>
      <c r="B1755" s="37" t="n">
        <v>4149</v>
      </c>
      <c r="C1755" s="38" t="s">
        <v>8009</v>
      </c>
      <c r="D1755" s="37" t="s">
        <v>100</v>
      </c>
      <c r="E1755" s="39" t="n">
        <v>32193</v>
      </c>
      <c r="F1755" s="37" t="n">
        <f aca="true">IFERROR(DATEDIF(E1755,TODAY(),"Y"),"")</f>
        <v>38</v>
      </c>
      <c r="G1755" s="40" t="s">
        <v>8010</v>
      </c>
      <c r="H1755" s="40"/>
      <c r="I1755" s="38" t="s">
        <v>8011</v>
      </c>
      <c r="J1755" s="38"/>
      <c r="K1755" s="38" t="s">
        <v>8012</v>
      </c>
      <c r="L1755" s="38" t="s">
        <v>47</v>
      </c>
      <c r="M1755" s="37"/>
      <c r="N1755" s="39" t="n">
        <v>45352</v>
      </c>
      <c r="O1755" s="41" t="s">
        <v>23</v>
      </c>
      <c r="P1755" s="41" t="s">
        <v>105</v>
      </c>
      <c r="Q1755" s="42"/>
      <c r="R1755" s="41"/>
      <c r="S1755" s="42"/>
      <c r="T1755" s="41"/>
    </row>
    <row r="1756" customFormat="false" ht="13.5" hidden="false" customHeight="true" outlineLevel="0" collapsed="false">
      <c r="A1756" s="37" t="n">
        <v>1753</v>
      </c>
      <c r="B1756" s="37" t="n">
        <v>4150</v>
      </c>
      <c r="C1756" s="38" t="s">
        <v>8013</v>
      </c>
      <c r="D1756" s="37" t="s">
        <v>100</v>
      </c>
      <c r="E1756" s="39" t="n">
        <v>31323</v>
      </c>
      <c r="F1756" s="37" t="n">
        <f aca="true">IFERROR(DATEDIF(E1756,TODAY(),"Y"),"")</f>
        <v>40</v>
      </c>
      <c r="G1756" s="40" t="s">
        <v>8014</v>
      </c>
      <c r="H1756" s="40" t="s">
        <v>8015</v>
      </c>
      <c r="I1756" s="38" t="s">
        <v>8016</v>
      </c>
      <c r="J1756" s="38"/>
      <c r="K1756" s="38" t="s">
        <v>8017</v>
      </c>
      <c r="L1756" s="38" t="s">
        <v>53</v>
      </c>
      <c r="M1756" s="37" t="s">
        <v>104</v>
      </c>
      <c r="N1756" s="39" t="n">
        <v>45379</v>
      </c>
      <c r="O1756" s="41" t="s">
        <v>23</v>
      </c>
      <c r="P1756" s="41" t="s">
        <v>105</v>
      </c>
      <c r="Q1756" s="42"/>
      <c r="R1756" s="41"/>
      <c r="S1756" s="42"/>
      <c r="T1756" s="41"/>
    </row>
    <row r="1757" customFormat="false" ht="13.5" hidden="false" customHeight="true" outlineLevel="0" collapsed="false">
      <c r="A1757" s="37" t="n">
        <v>1754</v>
      </c>
      <c r="B1757" s="37" t="n">
        <v>4151</v>
      </c>
      <c r="C1757" s="38" t="s">
        <v>8018</v>
      </c>
      <c r="D1757" s="37" t="s">
        <v>100</v>
      </c>
      <c r="E1757" s="39" t="n">
        <v>31352</v>
      </c>
      <c r="F1757" s="37" t="n">
        <f aca="true">IFERROR(DATEDIF(E1757,TODAY(),"Y"),"")</f>
        <v>40</v>
      </c>
      <c r="G1757" s="40" t="s">
        <v>8019</v>
      </c>
      <c r="H1757" s="40"/>
      <c r="I1757" s="38" t="s">
        <v>8020</v>
      </c>
      <c r="J1757" s="38" t="s">
        <v>15</v>
      </c>
      <c r="K1757" s="38" t="s">
        <v>8021</v>
      </c>
      <c r="L1757" s="38" t="s">
        <v>46</v>
      </c>
      <c r="M1757" s="37" t="s">
        <v>120</v>
      </c>
      <c r="N1757" s="39" t="n">
        <v>45380</v>
      </c>
      <c r="O1757" s="41" t="s">
        <v>23</v>
      </c>
      <c r="P1757" s="41" t="s">
        <v>105</v>
      </c>
      <c r="Q1757" s="42"/>
      <c r="R1757" s="41"/>
      <c r="S1757" s="42"/>
      <c r="T1757" s="41"/>
    </row>
    <row r="1758" customFormat="false" ht="13.5" hidden="false" customHeight="true" outlineLevel="0" collapsed="false">
      <c r="A1758" s="37" t="n">
        <v>1755</v>
      </c>
      <c r="B1758" s="37" t="n">
        <v>4152</v>
      </c>
      <c r="C1758" s="38" t="s">
        <v>8022</v>
      </c>
      <c r="D1758" s="37" t="s">
        <v>100</v>
      </c>
      <c r="E1758" s="39" t="n">
        <v>31033</v>
      </c>
      <c r="F1758" s="37" t="n">
        <f aca="true">IFERROR(DATEDIF(E1758,TODAY(),"Y"),"")</f>
        <v>41</v>
      </c>
      <c r="G1758" s="40" t="s">
        <v>8023</v>
      </c>
      <c r="H1758" s="40"/>
      <c r="I1758" s="38" t="s">
        <v>8024</v>
      </c>
      <c r="J1758" s="38"/>
      <c r="K1758" s="38" t="s">
        <v>8025</v>
      </c>
      <c r="L1758" s="38" t="s">
        <v>44</v>
      </c>
      <c r="M1758" s="37" t="s">
        <v>177</v>
      </c>
      <c r="N1758" s="39" t="n">
        <v>45380</v>
      </c>
      <c r="O1758" s="41" t="s">
        <v>23</v>
      </c>
      <c r="P1758" s="41" t="s">
        <v>105</v>
      </c>
      <c r="Q1758" s="42"/>
      <c r="R1758" s="41"/>
      <c r="S1758" s="42"/>
      <c r="T1758" s="41"/>
    </row>
    <row r="1759" customFormat="false" ht="13.5" hidden="false" customHeight="true" outlineLevel="0" collapsed="false">
      <c r="A1759" s="37" t="n">
        <v>1756</v>
      </c>
      <c r="B1759" s="37" t="n">
        <v>4153</v>
      </c>
      <c r="C1759" s="38" t="s">
        <v>8026</v>
      </c>
      <c r="D1759" s="37" t="s">
        <v>100</v>
      </c>
      <c r="E1759" s="39" t="n">
        <v>30087</v>
      </c>
      <c r="F1759" s="37" t="n">
        <f aca="true">IFERROR(DATEDIF(E1759,TODAY(),"Y"),"")</f>
        <v>44</v>
      </c>
      <c r="G1759" s="40" t="s">
        <v>8027</v>
      </c>
      <c r="H1759" s="40" t="s">
        <v>8028</v>
      </c>
      <c r="I1759" s="38" t="s">
        <v>8029</v>
      </c>
      <c r="J1759" s="38" t="s">
        <v>15</v>
      </c>
      <c r="K1759" s="38" t="s">
        <v>8030</v>
      </c>
      <c r="L1759" s="38" t="s">
        <v>50</v>
      </c>
      <c r="M1759" s="37" t="s">
        <v>120</v>
      </c>
      <c r="N1759" s="39" t="n">
        <v>45381</v>
      </c>
      <c r="O1759" s="41" t="s">
        <v>23</v>
      </c>
      <c r="P1759" s="41" t="s">
        <v>105</v>
      </c>
      <c r="Q1759" s="42"/>
      <c r="R1759" s="41"/>
      <c r="S1759" s="42"/>
      <c r="T1759" s="41"/>
    </row>
    <row r="1760" customFormat="false" ht="13.5" hidden="false" customHeight="true" outlineLevel="0" collapsed="false">
      <c r="A1760" s="37" t="n">
        <v>1757</v>
      </c>
      <c r="B1760" s="37" t="n">
        <v>4154</v>
      </c>
      <c r="C1760" s="38" t="s">
        <v>8031</v>
      </c>
      <c r="D1760" s="37" t="s">
        <v>100</v>
      </c>
      <c r="E1760" s="39" t="n">
        <v>29366</v>
      </c>
      <c r="F1760" s="37" t="n">
        <f aca="true">IFERROR(DATEDIF(E1760,TODAY(),"Y"),"")</f>
        <v>46</v>
      </c>
      <c r="G1760" s="40" t="s">
        <v>8032</v>
      </c>
      <c r="H1760" s="40"/>
      <c r="I1760" s="38" t="s">
        <v>8033</v>
      </c>
      <c r="J1760" s="38" t="s">
        <v>15</v>
      </c>
      <c r="K1760" s="38" t="s">
        <v>8034</v>
      </c>
      <c r="L1760" s="38" t="s">
        <v>53</v>
      </c>
      <c r="M1760" s="37" t="s">
        <v>120</v>
      </c>
      <c r="N1760" s="39" t="n">
        <v>45381</v>
      </c>
      <c r="O1760" s="41" t="s">
        <v>23</v>
      </c>
      <c r="P1760" s="41" t="s">
        <v>105</v>
      </c>
      <c r="Q1760" s="42"/>
      <c r="R1760" s="41"/>
      <c r="S1760" s="42"/>
      <c r="T1760" s="41"/>
    </row>
    <row r="1761" customFormat="false" ht="13.5" hidden="false" customHeight="true" outlineLevel="0" collapsed="false">
      <c r="A1761" s="37" t="n">
        <v>1758</v>
      </c>
      <c r="B1761" s="37" t="n">
        <v>4155</v>
      </c>
      <c r="C1761" s="38" t="s">
        <v>8035</v>
      </c>
      <c r="D1761" s="37" t="s">
        <v>100</v>
      </c>
      <c r="E1761" s="39" t="n">
        <v>27520</v>
      </c>
      <c r="F1761" s="37" t="n">
        <f aca="true">IFERROR(DATEDIF(E1761,TODAY(),"Y"),"")</f>
        <v>51</v>
      </c>
      <c r="G1761" s="40" t="s">
        <v>8036</v>
      </c>
      <c r="H1761" s="40"/>
      <c r="I1761" s="38" t="s">
        <v>8037</v>
      </c>
      <c r="J1761" s="38" t="s">
        <v>15</v>
      </c>
      <c r="K1761" s="38" t="s">
        <v>8038</v>
      </c>
      <c r="L1761" s="38" t="s">
        <v>53</v>
      </c>
      <c r="M1761" s="37" t="s">
        <v>120</v>
      </c>
      <c r="N1761" s="39" t="n">
        <v>45397</v>
      </c>
      <c r="O1761" s="41" t="s">
        <v>23</v>
      </c>
      <c r="P1761" s="41" t="s">
        <v>105</v>
      </c>
      <c r="Q1761" s="42"/>
      <c r="R1761" s="41"/>
      <c r="S1761" s="42"/>
      <c r="T1761" s="41"/>
    </row>
    <row r="1762" customFormat="false" ht="13.5" hidden="false" customHeight="true" outlineLevel="0" collapsed="false">
      <c r="A1762" s="37" t="n">
        <v>1759</v>
      </c>
      <c r="B1762" s="37" t="n">
        <v>4156</v>
      </c>
      <c r="C1762" s="38" t="s">
        <v>8039</v>
      </c>
      <c r="D1762" s="37" t="s">
        <v>100</v>
      </c>
      <c r="E1762" s="39" t="n">
        <v>28991</v>
      </c>
      <c r="F1762" s="37" t="n">
        <f aca="true">IFERROR(DATEDIF(E1762,TODAY(),"Y"),"")</f>
        <v>47</v>
      </c>
      <c r="G1762" s="40" t="s">
        <v>8040</v>
      </c>
      <c r="H1762" s="40"/>
      <c r="I1762" s="38" t="s">
        <v>8041</v>
      </c>
      <c r="J1762" s="38" t="s">
        <v>16</v>
      </c>
      <c r="K1762" s="38" t="s">
        <v>8042</v>
      </c>
      <c r="L1762" s="38" t="s">
        <v>53</v>
      </c>
      <c r="M1762" s="37" t="s">
        <v>177</v>
      </c>
      <c r="N1762" s="39" t="n">
        <v>45397</v>
      </c>
      <c r="O1762" s="41" t="s">
        <v>23</v>
      </c>
      <c r="P1762" s="41" t="s">
        <v>105</v>
      </c>
      <c r="Q1762" s="42"/>
      <c r="R1762" s="41"/>
      <c r="S1762" s="42"/>
      <c r="T1762" s="41"/>
    </row>
    <row r="1763" customFormat="false" ht="13.5" hidden="false" customHeight="true" outlineLevel="0" collapsed="false">
      <c r="A1763" s="37" t="n">
        <v>1760</v>
      </c>
      <c r="B1763" s="37" t="n">
        <v>4157</v>
      </c>
      <c r="C1763" s="38" t="s">
        <v>8043</v>
      </c>
      <c r="D1763" s="37" t="s">
        <v>100</v>
      </c>
      <c r="E1763" s="39" t="n">
        <v>30385</v>
      </c>
      <c r="F1763" s="37" t="n">
        <f aca="true">IFERROR(DATEDIF(E1763,TODAY(),"Y"),"")</f>
        <v>43</v>
      </c>
      <c r="G1763" s="40" t="s">
        <v>8044</v>
      </c>
      <c r="H1763" s="40"/>
      <c r="I1763" s="38" t="s">
        <v>8045</v>
      </c>
      <c r="J1763" s="38" t="s">
        <v>15</v>
      </c>
      <c r="K1763" s="38" t="s">
        <v>8046</v>
      </c>
      <c r="L1763" s="38" t="s">
        <v>48</v>
      </c>
      <c r="M1763" s="37" t="s">
        <v>120</v>
      </c>
      <c r="N1763" s="39" t="n">
        <v>45397</v>
      </c>
      <c r="O1763" s="41" t="s">
        <v>23</v>
      </c>
      <c r="P1763" s="41" t="s">
        <v>105</v>
      </c>
      <c r="Q1763" s="42"/>
      <c r="R1763" s="41"/>
      <c r="S1763" s="42"/>
      <c r="T1763" s="41"/>
    </row>
    <row r="1764" customFormat="false" ht="13.5" hidden="false" customHeight="true" outlineLevel="0" collapsed="false">
      <c r="A1764" s="37" t="n">
        <v>1761</v>
      </c>
      <c r="B1764" s="37" t="n">
        <v>4158</v>
      </c>
      <c r="C1764" s="38" t="s">
        <v>8047</v>
      </c>
      <c r="D1764" s="37" t="s">
        <v>100</v>
      </c>
      <c r="E1764" s="39" t="n">
        <v>29262</v>
      </c>
      <c r="F1764" s="37" t="n">
        <f aca="true">IFERROR(DATEDIF(E1764,TODAY(),"Y"),"")</f>
        <v>46</v>
      </c>
      <c r="G1764" s="40" t="s">
        <v>8048</v>
      </c>
      <c r="H1764" s="40"/>
      <c r="I1764" s="38" t="s">
        <v>8049</v>
      </c>
      <c r="J1764" s="38" t="s">
        <v>15</v>
      </c>
      <c r="K1764" s="38" t="s">
        <v>8050</v>
      </c>
      <c r="L1764" s="38" t="s">
        <v>45</v>
      </c>
      <c r="M1764" s="37" t="s">
        <v>120</v>
      </c>
      <c r="N1764" s="39" t="n">
        <v>45399</v>
      </c>
      <c r="O1764" s="41" t="s">
        <v>23</v>
      </c>
      <c r="P1764" s="41" t="s">
        <v>105</v>
      </c>
      <c r="Q1764" s="42"/>
      <c r="R1764" s="41"/>
      <c r="S1764" s="42"/>
      <c r="T1764" s="41"/>
    </row>
    <row r="1765" customFormat="false" ht="13.5" hidden="false" customHeight="true" outlineLevel="0" collapsed="false">
      <c r="A1765" s="37" t="n">
        <v>1762</v>
      </c>
      <c r="B1765" s="37" t="n">
        <v>4159</v>
      </c>
      <c r="C1765" s="38" t="s">
        <v>8051</v>
      </c>
      <c r="D1765" s="37" t="s">
        <v>100</v>
      </c>
      <c r="E1765" s="39" t="n">
        <v>31872</v>
      </c>
      <c r="F1765" s="37" t="n">
        <f aca="true">IFERROR(DATEDIF(E1765,TODAY(),"Y"),"")</f>
        <v>39</v>
      </c>
      <c r="G1765" s="40" t="s">
        <v>8052</v>
      </c>
      <c r="H1765" s="40"/>
      <c r="I1765" s="38" t="s">
        <v>8053</v>
      </c>
      <c r="J1765" s="38" t="s">
        <v>15</v>
      </c>
      <c r="K1765" s="38" t="s">
        <v>8054</v>
      </c>
      <c r="L1765" s="38" t="s">
        <v>53</v>
      </c>
      <c r="M1765" s="37" t="s">
        <v>177</v>
      </c>
      <c r="N1765" s="39" t="n">
        <v>45400</v>
      </c>
      <c r="O1765" s="41" t="s">
        <v>23</v>
      </c>
      <c r="P1765" s="41" t="s">
        <v>105</v>
      </c>
      <c r="Q1765" s="42"/>
      <c r="R1765" s="41"/>
      <c r="S1765" s="42"/>
      <c r="T1765" s="41"/>
    </row>
    <row r="1766" customFormat="false" ht="13.5" hidden="false" customHeight="true" outlineLevel="0" collapsed="false">
      <c r="A1766" s="37" t="n">
        <v>1763</v>
      </c>
      <c r="B1766" s="37" t="n">
        <v>4160</v>
      </c>
      <c r="C1766" s="38" t="s">
        <v>8055</v>
      </c>
      <c r="D1766" s="37" t="s">
        <v>100</v>
      </c>
      <c r="E1766" s="39" t="n">
        <v>28797</v>
      </c>
      <c r="F1766" s="37" t="n">
        <f aca="true">IFERROR(DATEDIF(E1766,TODAY(),"Y"),"")</f>
        <v>47</v>
      </c>
      <c r="G1766" s="40" t="s">
        <v>8056</v>
      </c>
      <c r="H1766" s="40"/>
      <c r="I1766" s="38" t="s">
        <v>8057</v>
      </c>
      <c r="J1766" s="38" t="s">
        <v>16</v>
      </c>
      <c r="K1766" s="38" t="s">
        <v>8058</v>
      </c>
      <c r="L1766" s="38" t="s">
        <v>50</v>
      </c>
      <c r="M1766" s="37" t="s">
        <v>190</v>
      </c>
      <c r="N1766" s="39" t="n">
        <v>45402</v>
      </c>
      <c r="O1766" s="41" t="s">
        <v>23</v>
      </c>
      <c r="P1766" s="41" t="s">
        <v>105</v>
      </c>
      <c r="Q1766" s="42"/>
      <c r="R1766" s="41"/>
      <c r="S1766" s="42"/>
      <c r="T1766" s="41"/>
    </row>
    <row r="1767" customFormat="false" ht="13.5" hidden="false" customHeight="true" outlineLevel="0" collapsed="false">
      <c r="A1767" s="37" t="n">
        <v>1764</v>
      </c>
      <c r="B1767" s="37" t="n">
        <v>4161</v>
      </c>
      <c r="C1767" s="38" t="s">
        <v>8059</v>
      </c>
      <c r="D1767" s="37" t="s">
        <v>100</v>
      </c>
      <c r="E1767" s="39" t="n">
        <v>32510</v>
      </c>
      <c r="F1767" s="37" t="n">
        <f aca="true">IFERROR(DATEDIF(E1767,TODAY(),"Y"),"")</f>
        <v>37</v>
      </c>
      <c r="G1767" s="40" t="s">
        <v>8060</v>
      </c>
      <c r="H1767" s="40" t="s">
        <v>8061</v>
      </c>
      <c r="I1767" s="38" t="s">
        <v>8062</v>
      </c>
      <c r="J1767" s="38"/>
      <c r="K1767" s="38" t="s">
        <v>8063</v>
      </c>
      <c r="L1767" s="38" t="s">
        <v>50</v>
      </c>
      <c r="M1767" s="37" t="s">
        <v>231</v>
      </c>
      <c r="N1767" s="39" t="n">
        <v>45430</v>
      </c>
      <c r="O1767" s="41" t="s">
        <v>23</v>
      </c>
      <c r="P1767" s="41" t="s">
        <v>105</v>
      </c>
      <c r="Q1767" s="42"/>
      <c r="R1767" s="41"/>
      <c r="S1767" s="42"/>
      <c r="T1767" s="41"/>
    </row>
    <row r="1768" customFormat="false" ht="13.5" hidden="false" customHeight="true" outlineLevel="0" collapsed="false">
      <c r="A1768" s="37" t="n">
        <v>1765</v>
      </c>
      <c r="B1768" s="37" t="n">
        <v>4162</v>
      </c>
      <c r="C1768" s="38" t="s">
        <v>8064</v>
      </c>
      <c r="D1768" s="37" t="s">
        <v>100</v>
      </c>
      <c r="E1768" s="39" t="n">
        <v>32503</v>
      </c>
      <c r="F1768" s="37" t="n">
        <f aca="true">IFERROR(DATEDIF(E1768,TODAY(),"Y"),"")</f>
        <v>37</v>
      </c>
      <c r="G1768" s="40" t="s">
        <v>8065</v>
      </c>
      <c r="H1768" s="40"/>
      <c r="I1768" s="38" t="s">
        <v>8066</v>
      </c>
      <c r="J1768" s="38" t="s">
        <v>16</v>
      </c>
      <c r="K1768" s="38" t="s">
        <v>8067</v>
      </c>
      <c r="L1768" s="38" t="s">
        <v>47</v>
      </c>
      <c r="M1768" s="37" t="s">
        <v>120</v>
      </c>
      <c r="N1768" s="39" t="n">
        <v>45430</v>
      </c>
      <c r="O1768" s="41" t="s">
        <v>23</v>
      </c>
      <c r="P1768" s="41" t="s">
        <v>105</v>
      </c>
      <c r="Q1768" s="42"/>
      <c r="R1768" s="41"/>
      <c r="S1768" s="42"/>
      <c r="T1768" s="41"/>
    </row>
    <row r="1769" customFormat="false" ht="13.5" hidden="false" customHeight="true" outlineLevel="0" collapsed="false">
      <c r="A1769" s="37" t="n">
        <v>1766</v>
      </c>
      <c r="B1769" s="37" t="n">
        <v>4163</v>
      </c>
      <c r="C1769" s="38" t="s">
        <v>8068</v>
      </c>
      <c r="D1769" s="37" t="s">
        <v>100</v>
      </c>
      <c r="E1769" s="39" t="n">
        <v>31552</v>
      </c>
      <c r="F1769" s="37" t="n">
        <f aca="true">IFERROR(DATEDIF(E1769,TODAY(),"Y"),"")</f>
        <v>40</v>
      </c>
      <c r="G1769" s="40" t="s">
        <v>8069</v>
      </c>
      <c r="H1769" s="40" t="s">
        <v>8070</v>
      </c>
      <c r="I1769" s="38" t="s">
        <v>8071</v>
      </c>
      <c r="J1769" s="38" t="s">
        <v>16</v>
      </c>
      <c r="K1769" s="38" t="s">
        <v>8072</v>
      </c>
      <c r="L1769" s="38" t="s">
        <v>54</v>
      </c>
      <c r="M1769" s="37" t="s">
        <v>177</v>
      </c>
      <c r="N1769" s="39" t="n">
        <v>45439</v>
      </c>
      <c r="O1769" s="41" t="s">
        <v>23</v>
      </c>
      <c r="P1769" s="41" t="s">
        <v>105</v>
      </c>
      <c r="Q1769" s="42"/>
      <c r="R1769" s="41"/>
      <c r="S1769" s="42"/>
      <c r="T1769" s="41"/>
    </row>
    <row r="1770" customFormat="false" ht="13.5" hidden="false" customHeight="true" outlineLevel="0" collapsed="false">
      <c r="A1770" s="37" t="n">
        <v>1767</v>
      </c>
      <c r="B1770" s="37" t="n">
        <v>4164</v>
      </c>
      <c r="C1770" s="38" t="s">
        <v>8073</v>
      </c>
      <c r="D1770" s="37" t="s">
        <v>100</v>
      </c>
      <c r="E1770" s="39" t="n">
        <v>28118</v>
      </c>
      <c r="F1770" s="37" t="n">
        <f aca="true">IFERROR(DATEDIF(E1770,TODAY(),"Y"),"")</f>
        <v>49</v>
      </c>
      <c r="G1770" s="40" t="s">
        <v>8074</v>
      </c>
      <c r="H1770" s="40"/>
      <c r="I1770" s="38" t="s">
        <v>8075</v>
      </c>
      <c r="J1770" s="38" t="s">
        <v>16</v>
      </c>
      <c r="K1770" s="38" t="s">
        <v>8076</v>
      </c>
      <c r="L1770" s="38" t="s">
        <v>44</v>
      </c>
      <c r="M1770" s="37" t="s">
        <v>177</v>
      </c>
      <c r="N1770" s="39" t="n">
        <v>45440</v>
      </c>
      <c r="O1770" s="41" t="s">
        <v>23</v>
      </c>
      <c r="P1770" s="41" t="s">
        <v>105</v>
      </c>
      <c r="Q1770" s="42"/>
      <c r="R1770" s="41"/>
      <c r="S1770" s="42"/>
      <c r="T1770" s="41"/>
    </row>
    <row r="1771" customFormat="false" ht="13.5" hidden="false" customHeight="true" outlineLevel="0" collapsed="false">
      <c r="A1771" s="37" t="n">
        <v>1768</v>
      </c>
      <c r="B1771" s="37" t="n">
        <v>4165</v>
      </c>
      <c r="C1771" s="38" t="s">
        <v>8077</v>
      </c>
      <c r="D1771" s="37" t="s">
        <v>100</v>
      </c>
      <c r="E1771" s="39" t="n">
        <v>27535</v>
      </c>
      <c r="F1771" s="37" t="n">
        <f aca="true">IFERROR(DATEDIF(E1771,TODAY(),"Y"),"")</f>
        <v>51</v>
      </c>
      <c r="G1771" s="40" t="s">
        <v>8078</v>
      </c>
      <c r="H1771" s="40" t="s">
        <v>8079</v>
      </c>
      <c r="I1771" s="38" t="s">
        <v>8080</v>
      </c>
      <c r="J1771" s="38" t="s">
        <v>15</v>
      </c>
      <c r="K1771" s="38" t="s">
        <v>8081</v>
      </c>
      <c r="L1771" s="38" t="s">
        <v>44</v>
      </c>
      <c r="M1771" s="37" t="s">
        <v>177</v>
      </c>
      <c r="N1771" s="39" t="n">
        <v>45441</v>
      </c>
      <c r="O1771" s="41" t="s">
        <v>23</v>
      </c>
      <c r="P1771" s="41" t="s">
        <v>105</v>
      </c>
      <c r="Q1771" s="42"/>
      <c r="R1771" s="41"/>
      <c r="S1771" s="42"/>
      <c r="T1771" s="41"/>
    </row>
    <row r="1772" customFormat="false" ht="13.5" hidden="false" customHeight="true" outlineLevel="0" collapsed="false">
      <c r="A1772" s="37" t="n">
        <v>1769</v>
      </c>
      <c r="B1772" s="37" t="n">
        <v>4166</v>
      </c>
      <c r="C1772" s="38" t="s">
        <v>7921</v>
      </c>
      <c r="D1772" s="37" t="s">
        <v>100</v>
      </c>
      <c r="E1772" s="39" t="n">
        <v>30079</v>
      </c>
      <c r="F1772" s="37" t="n">
        <f aca="true">IFERROR(DATEDIF(E1772,TODAY(),"Y"),"")</f>
        <v>44</v>
      </c>
      <c r="G1772" s="40" t="s">
        <v>8082</v>
      </c>
      <c r="H1772" s="40" t="s">
        <v>8083</v>
      </c>
      <c r="I1772" s="38" t="s">
        <v>8084</v>
      </c>
      <c r="J1772" s="38" t="s">
        <v>15</v>
      </c>
      <c r="K1772" s="38" t="s">
        <v>8085</v>
      </c>
      <c r="L1772" s="43" t="s">
        <v>58</v>
      </c>
      <c r="M1772" s="37" t="s">
        <v>120</v>
      </c>
      <c r="N1772" s="39" t="n">
        <v>45472</v>
      </c>
      <c r="O1772" s="41" t="s">
        <v>23</v>
      </c>
      <c r="P1772" s="41" t="s">
        <v>105</v>
      </c>
      <c r="Q1772" s="42"/>
      <c r="R1772" s="41"/>
      <c r="S1772" s="42"/>
      <c r="T1772" s="41"/>
    </row>
    <row r="1773" customFormat="false" ht="13.5" hidden="false" customHeight="true" outlineLevel="0" collapsed="false">
      <c r="A1773" s="37" t="n">
        <v>1770</v>
      </c>
      <c r="B1773" s="37" t="n">
        <v>4167</v>
      </c>
      <c r="C1773" s="38" t="s">
        <v>8086</v>
      </c>
      <c r="D1773" s="37" t="s">
        <v>100</v>
      </c>
      <c r="E1773" s="39" t="n">
        <v>29361</v>
      </c>
      <c r="F1773" s="37" t="n">
        <f aca="true">IFERROR(DATEDIF(E1773,TODAY(),"Y"),"")</f>
        <v>46</v>
      </c>
      <c r="G1773" s="40" t="s">
        <v>8087</v>
      </c>
      <c r="H1773" s="40" t="s">
        <v>8088</v>
      </c>
      <c r="I1773" s="38" t="s">
        <v>8089</v>
      </c>
      <c r="J1773" s="38" t="s">
        <v>15</v>
      </c>
      <c r="K1773" s="38" t="s">
        <v>8090</v>
      </c>
      <c r="L1773" s="38" t="s">
        <v>50</v>
      </c>
      <c r="M1773" s="37" t="s">
        <v>120</v>
      </c>
      <c r="N1773" s="39" t="n">
        <v>45472</v>
      </c>
      <c r="O1773" s="41" t="s">
        <v>23</v>
      </c>
      <c r="P1773" s="41" t="s">
        <v>105</v>
      </c>
      <c r="Q1773" s="42"/>
      <c r="R1773" s="41"/>
      <c r="S1773" s="42"/>
      <c r="T1773" s="41"/>
    </row>
    <row r="1774" customFormat="false" ht="13.5" hidden="false" customHeight="true" outlineLevel="0" collapsed="false">
      <c r="A1774" s="37" t="n">
        <v>1771</v>
      </c>
      <c r="B1774" s="37" t="n">
        <v>4168</v>
      </c>
      <c r="C1774" s="38" t="s">
        <v>8091</v>
      </c>
      <c r="D1774" s="37" t="s">
        <v>100</v>
      </c>
      <c r="E1774" s="39" t="n">
        <v>32284</v>
      </c>
      <c r="F1774" s="37" t="n">
        <f aca="true">IFERROR(DATEDIF(E1774,TODAY(),"Y"),"")</f>
        <v>38</v>
      </c>
      <c r="G1774" s="40" t="s">
        <v>8092</v>
      </c>
      <c r="H1774" s="40"/>
      <c r="I1774" s="38" t="s">
        <v>8093</v>
      </c>
      <c r="J1774" s="38" t="s">
        <v>18</v>
      </c>
      <c r="K1774" s="38" t="s">
        <v>8094</v>
      </c>
      <c r="L1774" s="38" t="s">
        <v>47</v>
      </c>
      <c r="M1774" s="37" t="s">
        <v>104</v>
      </c>
      <c r="N1774" s="39" t="n">
        <v>45472</v>
      </c>
      <c r="O1774" s="41" t="s">
        <v>23</v>
      </c>
      <c r="P1774" s="41" t="s">
        <v>105</v>
      </c>
      <c r="Q1774" s="42"/>
      <c r="R1774" s="41"/>
      <c r="S1774" s="42"/>
      <c r="T1774" s="41"/>
    </row>
    <row r="1775" customFormat="false" ht="13.5" hidden="false" customHeight="true" outlineLevel="0" collapsed="false">
      <c r="A1775" s="37" t="n">
        <v>1772</v>
      </c>
      <c r="B1775" s="37" t="n">
        <v>4169</v>
      </c>
      <c r="C1775" s="38" t="s">
        <v>8095</v>
      </c>
      <c r="D1775" s="37" t="s">
        <v>100</v>
      </c>
      <c r="E1775" s="39" t="n">
        <v>27905</v>
      </c>
      <c r="F1775" s="37" t="n">
        <f aca="true">IFERROR(DATEDIF(E1775,TODAY(),"Y"),"")</f>
        <v>50</v>
      </c>
      <c r="G1775" s="40" t="s">
        <v>8096</v>
      </c>
      <c r="H1775" s="40"/>
      <c r="I1775" s="38" t="s">
        <v>8097</v>
      </c>
      <c r="J1775" s="38" t="s">
        <v>15</v>
      </c>
      <c r="K1775" s="38" t="s">
        <v>8098</v>
      </c>
      <c r="L1775" s="38" t="s">
        <v>54</v>
      </c>
      <c r="M1775" s="37" t="s">
        <v>120</v>
      </c>
      <c r="N1775" s="39" t="n">
        <v>45474</v>
      </c>
      <c r="O1775" s="41" t="s">
        <v>23</v>
      </c>
      <c r="P1775" s="41" t="s">
        <v>105</v>
      </c>
      <c r="Q1775" s="42"/>
      <c r="R1775" s="41"/>
      <c r="S1775" s="42"/>
      <c r="T1775" s="41"/>
    </row>
    <row r="1776" customFormat="false" ht="13.5" hidden="false" customHeight="true" outlineLevel="0" collapsed="false">
      <c r="A1776" s="37" t="n">
        <v>1773</v>
      </c>
      <c r="B1776" s="37" t="n">
        <v>4170</v>
      </c>
      <c r="C1776" s="38" t="s">
        <v>8099</v>
      </c>
      <c r="D1776" s="37" t="s">
        <v>100</v>
      </c>
      <c r="E1776" s="39" t="n">
        <v>32405</v>
      </c>
      <c r="F1776" s="37" t="n">
        <f aca="true">IFERROR(DATEDIF(E1776,TODAY(),"Y"),"")</f>
        <v>37</v>
      </c>
      <c r="G1776" s="40" t="s">
        <v>8100</v>
      </c>
      <c r="H1776" s="40" t="s">
        <v>8101</v>
      </c>
      <c r="I1776" s="38" t="s">
        <v>8102</v>
      </c>
      <c r="J1776" s="38" t="s">
        <v>16</v>
      </c>
      <c r="K1776" s="38" t="s">
        <v>8103</v>
      </c>
      <c r="L1776" s="38" t="s">
        <v>43</v>
      </c>
      <c r="M1776" s="37" t="s">
        <v>120</v>
      </c>
      <c r="N1776" s="39" t="n">
        <v>45476</v>
      </c>
      <c r="O1776" s="41" t="s">
        <v>23</v>
      </c>
      <c r="P1776" s="41" t="s">
        <v>105</v>
      </c>
      <c r="Q1776" s="42"/>
      <c r="R1776" s="41"/>
      <c r="S1776" s="42"/>
      <c r="T1776" s="41"/>
    </row>
    <row r="1777" customFormat="false" ht="13.5" hidden="false" customHeight="true" outlineLevel="0" collapsed="false">
      <c r="A1777" s="37" t="n">
        <v>1774</v>
      </c>
      <c r="B1777" s="37" t="n">
        <v>4171</v>
      </c>
      <c r="C1777" s="38" t="s">
        <v>8104</v>
      </c>
      <c r="D1777" s="37" t="s">
        <v>100</v>
      </c>
      <c r="E1777" s="39" t="n">
        <v>25569</v>
      </c>
      <c r="F1777" s="37" t="n">
        <f aca="true">IFERROR(DATEDIF(E1777,TODAY(),"Y"),"")</f>
        <v>56</v>
      </c>
      <c r="G1777" s="40" t="s">
        <v>8105</v>
      </c>
      <c r="H1777" s="40"/>
      <c r="I1777" s="38" t="s">
        <v>8106</v>
      </c>
      <c r="J1777" s="38" t="s">
        <v>15</v>
      </c>
      <c r="K1777" s="38" t="s">
        <v>8107</v>
      </c>
      <c r="L1777" s="38" t="s">
        <v>51</v>
      </c>
      <c r="M1777" s="37" t="s">
        <v>104</v>
      </c>
      <c r="N1777" s="39" t="n">
        <v>45477</v>
      </c>
      <c r="O1777" s="41" t="s">
        <v>23</v>
      </c>
      <c r="P1777" s="41" t="s">
        <v>105</v>
      </c>
      <c r="Q1777" s="42"/>
      <c r="R1777" s="41"/>
      <c r="S1777" s="42"/>
      <c r="T1777" s="41"/>
    </row>
    <row r="1778" customFormat="false" ht="13.5" hidden="false" customHeight="true" outlineLevel="0" collapsed="false">
      <c r="A1778" s="37" t="n">
        <v>1775</v>
      </c>
      <c r="B1778" s="37" t="n">
        <v>4172</v>
      </c>
      <c r="C1778" s="38" t="s">
        <v>8108</v>
      </c>
      <c r="D1778" s="37" t="s">
        <v>100</v>
      </c>
      <c r="E1778" s="39" t="n">
        <v>26083</v>
      </c>
      <c r="F1778" s="37" t="n">
        <f aca="true">IFERROR(DATEDIF(E1778,TODAY(),"Y"),"")</f>
        <v>55</v>
      </c>
      <c r="G1778" s="40" t="s">
        <v>8109</v>
      </c>
      <c r="H1778" s="40" t="s">
        <v>8110</v>
      </c>
      <c r="I1778" s="38" t="s">
        <v>8111</v>
      </c>
      <c r="J1778" s="38" t="s">
        <v>15</v>
      </c>
      <c r="K1778" s="38" t="s">
        <v>8112</v>
      </c>
      <c r="L1778" s="38" t="s">
        <v>43</v>
      </c>
      <c r="M1778" s="37" t="s">
        <v>120</v>
      </c>
      <c r="N1778" s="39" t="n">
        <v>45478</v>
      </c>
      <c r="O1778" s="41" t="s">
        <v>23</v>
      </c>
      <c r="P1778" s="41" t="s">
        <v>105</v>
      </c>
      <c r="Q1778" s="42"/>
      <c r="R1778" s="41"/>
      <c r="S1778" s="42"/>
      <c r="T1778" s="41"/>
    </row>
    <row r="1779" customFormat="false" ht="13.5" hidden="false" customHeight="true" outlineLevel="0" collapsed="false">
      <c r="A1779" s="37" t="n">
        <v>1776</v>
      </c>
      <c r="B1779" s="37" t="n">
        <v>4173</v>
      </c>
      <c r="C1779" s="38" t="s">
        <v>8113</v>
      </c>
      <c r="D1779" s="37" t="s">
        <v>100</v>
      </c>
      <c r="E1779" s="39" t="n">
        <v>27166</v>
      </c>
      <c r="F1779" s="37" t="n">
        <f aca="true">IFERROR(DATEDIF(E1779,TODAY(),"Y"),"")</f>
        <v>52</v>
      </c>
      <c r="G1779" s="40" t="s">
        <v>8114</v>
      </c>
      <c r="H1779" s="40" t="s">
        <v>8115</v>
      </c>
      <c r="I1779" s="38" t="s">
        <v>8116</v>
      </c>
      <c r="J1779" s="38" t="s">
        <v>15</v>
      </c>
      <c r="K1779" s="38" t="s">
        <v>8117</v>
      </c>
      <c r="L1779" s="38" t="s">
        <v>55</v>
      </c>
      <c r="M1779" s="37" t="s">
        <v>120</v>
      </c>
      <c r="N1779" s="39" t="n">
        <v>45478</v>
      </c>
      <c r="O1779" s="41" t="s">
        <v>23</v>
      </c>
      <c r="P1779" s="41" t="s">
        <v>105</v>
      </c>
      <c r="Q1779" s="42"/>
      <c r="R1779" s="41"/>
      <c r="S1779" s="42"/>
      <c r="T1779" s="41"/>
    </row>
    <row r="1780" customFormat="false" ht="13.5" hidden="false" customHeight="true" outlineLevel="0" collapsed="false">
      <c r="A1780" s="37" t="n">
        <v>1777</v>
      </c>
      <c r="B1780" s="37" t="n">
        <v>4174</v>
      </c>
      <c r="C1780" s="38" t="s">
        <v>8118</v>
      </c>
      <c r="D1780" s="37" t="s">
        <v>100</v>
      </c>
      <c r="E1780" s="39" t="n">
        <v>27180</v>
      </c>
      <c r="F1780" s="37" t="n">
        <f aca="true">IFERROR(DATEDIF(E1780,TODAY(),"Y"),"")</f>
        <v>52</v>
      </c>
      <c r="G1780" s="40" t="s">
        <v>8119</v>
      </c>
      <c r="H1780" s="40" t="s">
        <v>8120</v>
      </c>
      <c r="I1780" s="38" t="s">
        <v>8121</v>
      </c>
      <c r="J1780" s="38"/>
      <c r="K1780" s="38" t="s">
        <v>8122</v>
      </c>
      <c r="L1780" s="38" t="s">
        <v>47</v>
      </c>
      <c r="M1780" s="37" t="s">
        <v>120</v>
      </c>
      <c r="N1780" s="39" t="n">
        <v>45479</v>
      </c>
      <c r="O1780" s="41" t="s">
        <v>23</v>
      </c>
      <c r="P1780" s="41" t="s">
        <v>105</v>
      </c>
      <c r="Q1780" s="42"/>
      <c r="R1780" s="41"/>
      <c r="S1780" s="42"/>
      <c r="T1780" s="41"/>
    </row>
    <row r="1781" customFormat="false" ht="13.5" hidden="false" customHeight="true" outlineLevel="0" collapsed="false">
      <c r="A1781" s="37" t="n">
        <v>1778</v>
      </c>
      <c r="B1781" s="37" t="n">
        <v>4175</v>
      </c>
      <c r="C1781" s="38" t="s">
        <v>8123</v>
      </c>
      <c r="D1781" s="37" t="s">
        <v>100</v>
      </c>
      <c r="E1781" s="39" t="n">
        <v>35703</v>
      </c>
      <c r="F1781" s="37" t="n">
        <f aca="true">IFERROR(DATEDIF(E1781,TODAY(),"Y"),"")</f>
        <v>28</v>
      </c>
      <c r="G1781" s="40" t="s">
        <v>8124</v>
      </c>
      <c r="H1781" s="40"/>
      <c r="I1781" s="38" t="s">
        <v>8125</v>
      </c>
      <c r="J1781" s="38" t="s">
        <v>15</v>
      </c>
      <c r="K1781" s="38" t="s">
        <v>8126</v>
      </c>
      <c r="L1781" s="38" t="s">
        <v>47</v>
      </c>
      <c r="M1781" s="37" t="s">
        <v>104</v>
      </c>
      <c r="N1781" s="39" t="n">
        <v>45479</v>
      </c>
      <c r="O1781" s="41" t="s">
        <v>23</v>
      </c>
      <c r="P1781" s="41" t="s">
        <v>105</v>
      </c>
      <c r="Q1781" s="42"/>
      <c r="R1781" s="41"/>
      <c r="S1781" s="42"/>
      <c r="T1781" s="41"/>
    </row>
    <row r="1782" customFormat="false" ht="13.5" hidden="false" customHeight="true" outlineLevel="0" collapsed="false">
      <c r="A1782" s="37" t="n">
        <v>1779</v>
      </c>
      <c r="B1782" s="37" t="n">
        <v>4176</v>
      </c>
      <c r="C1782" s="38" t="s">
        <v>8127</v>
      </c>
      <c r="D1782" s="37" t="s">
        <v>100</v>
      </c>
      <c r="E1782" s="39" t="n">
        <v>25914</v>
      </c>
      <c r="F1782" s="37" t="n">
        <f aca="true">IFERROR(DATEDIF(E1782,TODAY(),"Y"),"")</f>
        <v>55</v>
      </c>
      <c r="G1782" s="40" t="s">
        <v>8128</v>
      </c>
      <c r="H1782" s="40" t="s">
        <v>8129</v>
      </c>
      <c r="I1782" s="38" t="s">
        <v>8130</v>
      </c>
      <c r="J1782" s="38" t="s">
        <v>16</v>
      </c>
      <c r="K1782" s="38" t="s">
        <v>8131</v>
      </c>
      <c r="L1782" s="38" t="s">
        <v>47</v>
      </c>
      <c r="M1782" s="37" t="s">
        <v>231</v>
      </c>
      <c r="N1782" s="39" t="n">
        <v>45481</v>
      </c>
      <c r="O1782" s="41" t="s">
        <v>23</v>
      </c>
      <c r="P1782" s="41" t="s">
        <v>105</v>
      </c>
      <c r="Q1782" s="42"/>
      <c r="R1782" s="41"/>
      <c r="S1782" s="42"/>
      <c r="T1782" s="41"/>
    </row>
    <row r="1783" customFormat="false" ht="13.5" hidden="false" customHeight="true" outlineLevel="0" collapsed="false">
      <c r="A1783" s="37" t="n">
        <v>1780</v>
      </c>
      <c r="B1783" s="37" t="n">
        <v>4177</v>
      </c>
      <c r="C1783" s="38" t="s">
        <v>8132</v>
      </c>
      <c r="D1783" s="37" t="s">
        <v>100</v>
      </c>
      <c r="E1783" s="39" t="n">
        <v>28255</v>
      </c>
      <c r="F1783" s="37" t="n">
        <f aca="true">IFERROR(DATEDIF(E1783,TODAY(),"Y"),"")</f>
        <v>49</v>
      </c>
      <c r="G1783" s="40" t="s">
        <v>8133</v>
      </c>
      <c r="H1783" s="40" t="s">
        <v>8134</v>
      </c>
      <c r="I1783" s="38" t="s">
        <v>8135</v>
      </c>
      <c r="J1783" s="38" t="s">
        <v>15</v>
      </c>
      <c r="K1783" s="38" t="s">
        <v>8136</v>
      </c>
      <c r="L1783" s="38" t="s">
        <v>54</v>
      </c>
      <c r="M1783" s="37"/>
      <c r="N1783" s="39" t="n">
        <v>45484</v>
      </c>
      <c r="O1783" s="41" t="s">
        <v>23</v>
      </c>
      <c r="P1783" s="41" t="s">
        <v>105</v>
      </c>
      <c r="Q1783" s="42"/>
      <c r="R1783" s="41"/>
      <c r="S1783" s="42"/>
      <c r="T1783" s="41"/>
    </row>
    <row r="1784" customFormat="false" ht="13.5" hidden="false" customHeight="true" outlineLevel="0" collapsed="false">
      <c r="A1784" s="37" t="n">
        <v>1781</v>
      </c>
      <c r="B1784" s="37" t="n">
        <v>4178</v>
      </c>
      <c r="C1784" s="38" t="s">
        <v>8137</v>
      </c>
      <c r="D1784" s="37" t="s">
        <v>100</v>
      </c>
      <c r="E1784" s="39" t="n">
        <v>29000</v>
      </c>
      <c r="F1784" s="37" t="n">
        <f aca="true">IFERROR(DATEDIF(E1784,TODAY(),"Y"),"")</f>
        <v>47</v>
      </c>
      <c r="G1784" s="40" t="s">
        <v>8138</v>
      </c>
      <c r="H1784" s="40"/>
      <c r="I1784" s="38" t="s">
        <v>8139</v>
      </c>
      <c r="J1784" s="38" t="s">
        <v>15</v>
      </c>
      <c r="K1784" s="38" t="s">
        <v>8140</v>
      </c>
      <c r="L1784" s="38" t="s">
        <v>43</v>
      </c>
      <c r="M1784" s="37" t="s">
        <v>120</v>
      </c>
      <c r="N1784" s="39" t="n">
        <v>45484</v>
      </c>
      <c r="O1784" s="41" t="s">
        <v>23</v>
      </c>
      <c r="P1784" s="41" t="s">
        <v>105</v>
      </c>
      <c r="Q1784" s="42"/>
      <c r="R1784" s="41"/>
      <c r="S1784" s="42"/>
      <c r="T1784" s="41"/>
    </row>
    <row r="1785" customFormat="false" ht="13.5" hidden="false" customHeight="true" outlineLevel="0" collapsed="false">
      <c r="A1785" s="37" t="n">
        <v>1782</v>
      </c>
      <c r="B1785" s="37" t="n">
        <v>4179</v>
      </c>
      <c r="C1785" s="38" t="s">
        <v>8141</v>
      </c>
      <c r="D1785" s="37" t="s">
        <v>100</v>
      </c>
      <c r="E1785" s="39" t="n">
        <v>28621</v>
      </c>
      <c r="F1785" s="37" t="n">
        <f aca="true">IFERROR(DATEDIF(E1785,TODAY(),"Y"),"")</f>
        <v>48</v>
      </c>
      <c r="G1785" s="40" t="s">
        <v>8142</v>
      </c>
      <c r="H1785" s="40"/>
      <c r="I1785" s="38" t="s">
        <v>8143</v>
      </c>
      <c r="J1785" s="38" t="s">
        <v>15</v>
      </c>
      <c r="K1785" s="38" t="s">
        <v>8144</v>
      </c>
      <c r="L1785" s="38" t="s">
        <v>47</v>
      </c>
      <c r="M1785" s="37" t="s">
        <v>231</v>
      </c>
      <c r="N1785" s="39" t="n">
        <v>45495</v>
      </c>
      <c r="O1785" s="41" t="s">
        <v>23</v>
      </c>
      <c r="P1785" s="41" t="s">
        <v>105</v>
      </c>
      <c r="Q1785" s="42"/>
      <c r="R1785" s="41"/>
      <c r="S1785" s="42"/>
      <c r="T1785" s="41"/>
    </row>
    <row r="1786" customFormat="false" ht="13.5" hidden="false" customHeight="true" outlineLevel="0" collapsed="false">
      <c r="A1786" s="37" t="n">
        <v>1783</v>
      </c>
      <c r="B1786" s="37" t="n">
        <v>4180</v>
      </c>
      <c r="C1786" s="38" t="s">
        <v>8145</v>
      </c>
      <c r="D1786" s="37" t="s">
        <v>100</v>
      </c>
      <c r="E1786" s="39" t="n">
        <v>28255</v>
      </c>
      <c r="F1786" s="37" t="n">
        <f aca="true">IFERROR(DATEDIF(E1786,TODAY(),"Y"),"")</f>
        <v>49</v>
      </c>
      <c r="G1786" s="40" t="s">
        <v>8146</v>
      </c>
      <c r="H1786" s="40" t="s">
        <v>8147</v>
      </c>
      <c r="I1786" s="38" t="s">
        <v>8148</v>
      </c>
      <c r="J1786" s="38" t="s">
        <v>15</v>
      </c>
      <c r="K1786" s="38" t="s">
        <v>8149</v>
      </c>
      <c r="L1786" s="38" t="s">
        <v>54</v>
      </c>
      <c r="M1786" s="37" t="s">
        <v>120</v>
      </c>
      <c r="N1786" s="39" t="n">
        <v>45498</v>
      </c>
      <c r="O1786" s="41" t="s">
        <v>23</v>
      </c>
      <c r="P1786" s="41" t="s">
        <v>105</v>
      </c>
      <c r="Q1786" s="42"/>
      <c r="R1786" s="41"/>
      <c r="S1786" s="42"/>
      <c r="T1786" s="41"/>
    </row>
    <row r="1787" customFormat="false" ht="13.5" hidden="false" customHeight="true" outlineLevel="0" collapsed="false">
      <c r="A1787" s="37" t="n">
        <v>1784</v>
      </c>
      <c r="B1787" s="37" t="n">
        <v>4181</v>
      </c>
      <c r="C1787" s="38" t="s">
        <v>8150</v>
      </c>
      <c r="D1787" s="37" t="s">
        <v>100</v>
      </c>
      <c r="E1787" s="39" t="n">
        <v>31249</v>
      </c>
      <c r="F1787" s="37" t="n">
        <f aca="true">IFERROR(DATEDIF(E1787,TODAY(),"Y"),"")</f>
        <v>41</v>
      </c>
      <c r="G1787" s="40" t="s">
        <v>8151</v>
      </c>
      <c r="H1787" s="40" t="s">
        <v>8152</v>
      </c>
      <c r="I1787" s="38" t="s">
        <v>8153</v>
      </c>
      <c r="J1787" s="38"/>
      <c r="K1787" s="38" t="s">
        <v>8154</v>
      </c>
      <c r="L1787" s="38" t="s">
        <v>53</v>
      </c>
      <c r="M1787" s="37" t="s">
        <v>104</v>
      </c>
      <c r="N1787" s="39" t="n">
        <v>45498</v>
      </c>
      <c r="O1787" s="41" t="s">
        <v>23</v>
      </c>
      <c r="P1787" s="41" t="s">
        <v>105</v>
      </c>
      <c r="Q1787" s="42"/>
      <c r="R1787" s="41"/>
      <c r="S1787" s="42"/>
      <c r="T1787" s="41"/>
    </row>
    <row r="1788" customFormat="false" ht="13.5" hidden="false" customHeight="true" outlineLevel="0" collapsed="false">
      <c r="A1788" s="37" t="n">
        <v>1785</v>
      </c>
      <c r="B1788" s="37" t="n">
        <v>4182</v>
      </c>
      <c r="C1788" s="38" t="s">
        <v>8155</v>
      </c>
      <c r="D1788" s="37" t="s">
        <v>100</v>
      </c>
      <c r="E1788" s="39" t="n">
        <v>29321</v>
      </c>
      <c r="F1788" s="37" t="n">
        <f aca="true">IFERROR(DATEDIF(E1788,TODAY(),"Y"),"")</f>
        <v>46</v>
      </c>
      <c r="G1788" s="40" t="s">
        <v>8156</v>
      </c>
      <c r="H1788" s="40" t="s">
        <v>8157</v>
      </c>
      <c r="I1788" s="38" t="s">
        <v>8158</v>
      </c>
      <c r="J1788" s="38" t="s">
        <v>16</v>
      </c>
      <c r="K1788" s="38" t="s">
        <v>8159</v>
      </c>
      <c r="L1788" s="38" t="s">
        <v>55</v>
      </c>
      <c r="M1788" s="37" t="s">
        <v>104</v>
      </c>
      <c r="N1788" s="39" t="n">
        <v>45514</v>
      </c>
      <c r="O1788" s="41" t="s">
        <v>23</v>
      </c>
      <c r="P1788" s="41" t="s">
        <v>105</v>
      </c>
      <c r="Q1788" s="42"/>
      <c r="R1788" s="41"/>
      <c r="S1788" s="42"/>
      <c r="T1788" s="41"/>
    </row>
    <row r="1789" customFormat="false" ht="13.5" hidden="false" customHeight="true" outlineLevel="0" collapsed="false">
      <c r="A1789" s="37" t="n">
        <v>1786</v>
      </c>
      <c r="B1789" s="37" t="n">
        <v>4183</v>
      </c>
      <c r="C1789" s="38" t="s">
        <v>8160</v>
      </c>
      <c r="D1789" s="37" t="s">
        <v>100</v>
      </c>
      <c r="E1789" s="39" t="n">
        <v>22803</v>
      </c>
      <c r="F1789" s="37" t="n">
        <f aca="true">IFERROR(DATEDIF(E1789,TODAY(),"Y"),"")</f>
        <v>64</v>
      </c>
      <c r="G1789" s="40" t="s">
        <v>8161</v>
      </c>
      <c r="H1789" s="40"/>
      <c r="I1789" s="38" t="s">
        <v>8162</v>
      </c>
      <c r="J1789" s="38"/>
      <c r="K1789" s="38" t="s">
        <v>8163</v>
      </c>
      <c r="L1789" s="38" t="s">
        <v>55</v>
      </c>
      <c r="M1789" s="37" t="s">
        <v>120</v>
      </c>
      <c r="N1789" s="39" t="n">
        <v>45517</v>
      </c>
      <c r="O1789" s="41" t="s">
        <v>23</v>
      </c>
      <c r="P1789" s="41" t="s">
        <v>105</v>
      </c>
      <c r="Q1789" s="42"/>
      <c r="R1789" s="41"/>
      <c r="S1789" s="42"/>
      <c r="T1789" s="41"/>
    </row>
    <row r="1790" customFormat="false" ht="13.5" hidden="false" customHeight="true" outlineLevel="0" collapsed="false">
      <c r="A1790" s="37" t="n">
        <v>1787</v>
      </c>
      <c r="B1790" s="37" t="n">
        <v>4184</v>
      </c>
      <c r="C1790" s="38" t="s">
        <v>8164</v>
      </c>
      <c r="D1790" s="37" t="s">
        <v>100</v>
      </c>
      <c r="E1790" s="39" t="n">
        <v>35241</v>
      </c>
      <c r="F1790" s="37" t="n">
        <f aca="true">IFERROR(DATEDIF(E1790,TODAY(),"Y"),"")</f>
        <v>30</v>
      </c>
      <c r="G1790" s="40" t="s">
        <v>8165</v>
      </c>
      <c r="H1790" s="40" t="s">
        <v>8166</v>
      </c>
      <c r="I1790" s="38" t="s">
        <v>8167</v>
      </c>
      <c r="J1790" s="38" t="s">
        <v>16</v>
      </c>
      <c r="K1790" s="38" t="s">
        <v>8168</v>
      </c>
      <c r="L1790" s="38" t="s">
        <v>54</v>
      </c>
      <c r="M1790" s="37" t="s">
        <v>120</v>
      </c>
      <c r="N1790" s="39" t="n">
        <v>45523</v>
      </c>
      <c r="O1790" s="41" t="s">
        <v>23</v>
      </c>
      <c r="P1790" s="41" t="s">
        <v>105</v>
      </c>
      <c r="Q1790" s="42"/>
      <c r="R1790" s="41"/>
      <c r="S1790" s="42"/>
      <c r="T1790" s="41"/>
    </row>
    <row r="1791" customFormat="false" ht="13.5" hidden="false" customHeight="true" outlineLevel="0" collapsed="false">
      <c r="A1791" s="37" t="n">
        <v>1788</v>
      </c>
      <c r="B1791" s="37" t="n">
        <v>4185</v>
      </c>
      <c r="C1791" s="38" t="s">
        <v>8169</v>
      </c>
      <c r="D1791" s="37" t="s">
        <v>100</v>
      </c>
      <c r="E1791" s="39" t="n">
        <v>32647</v>
      </c>
      <c r="F1791" s="37" t="n">
        <f aca="true">IFERROR(DATEDIF(E1791,TODAY(),"Y"),"")</f>
        <v>37</v>
      </c>
      <c r="G1791" s="40" t="s">
        <v>8170</v>
      </c>
      <c r="H1791" s="40" t="s">
        <v>8171</v>
      </c>
      <c r="I1791" s="38" t="s">
        <v>8172</v>
      </c>
      <c r="J1791" s="38" t="s">
        <v>15</v>
      </c>
      <c r="K1791" s="38" t="s">
        <v>8173</v>
      </c>
      <c r="L1791" s="38" t="s">
        <v>47</v>
      </c>
      <c r="M1791" s="37" t="s">
        <v>745</v>
      </c>
      <c r="N1791" s="39" t="n">
        <v>45524</v>
      </c>
      <c r="O1791" s="41" t="s">
        <v>23</v>
      </c>
      <c r="P1791" s="41" t="s">
        <v>105</v>
      </c>
      <c r="Q1791" s="42"/>
      <c r="R1791" s="41"/>
      <c r="S1791" s="42"/>
      <c r="T1791" s="41"/>
    </row>
    <row r="1792" customFormat="false" ht="13.5" hidden="false" customHeight="true" outlineLevel="0" collapsed="false">
      <c r="A1792" s="37" t="n">
        <v>1789</v>
      </c>
      <c r="B1792" s="37" t="n">
        <v>4186</v>
      </c>
      <c r="C1792" s="38" t="s">
        <v>8174</v>
      </c>
      <c r="D1792" s="37" t="s">
        <v>100</v>
      </c>
      <c r="E1792" s="39" t="n">
        <v>32259</v>
      </c>
      <c r="F1792" s="37" t="n">
        <f aca="true">IFERROR(DATEDIF(E1792,TODAY(),"Y"),"")</f>
        <v>38</v>
      </c>
      <c r="G1792" s="40" t="s">
        <v>8175</v>
      </c>
      <c r="H1792" s="40" t="s">
        <v>8176</v>
      </c>
      <c r="I1792" s="38" t="s">
        <v>8177</v>
      </c>
      <c r="J1792" s="38" t="s">
        <v>15</v>
      </c>
      <c r="K1792" s="38" t="s">
        <v>8178</v>
      </c>
      <c r="L1792" s="38" t="s">
        <v>53</v>
      </c>
      <c r="M1792" s="37" t="s">
        <v>177</v>
      </c>
      <c r="N1792" s="39" t="n">
        <v>45534</v>
      </c>
      <c r="O1792" s="41" t="s">
        <v>23</v>
      </c>
      <c r="P1792" s="41" t="s">
        <v>105</v>
      </c>
      <c r="Q1792" s="42"/>
      <c r="R1792" s="41"/>
      <c r="S1792" s="42"/>
      <c r="T1792" s="41"/>
    </row>
    <row r="1793" customFormat="false" ht="13.5" hidden="false" customHeight="true" outlineLevel="0" collapsed="false">
      <c r="A1793" s="37" t="n">
        <v>1790</v>
      </c>
      <c r="B1793" s="37" t="n">
        <v>4187</v>
      </c>
      <c r="C1793" s="38" t="s">
        <v>8179</v>
      </c>
      <c r="D1793" s="37" t="s">
        <v>100</v>
      </c>
      <c r="E1793" s="39" t="n">
        <v>28631</v>
      </c>
      <c r="F1793" s="37" t="n">
        <f aca="true">IFERROR(DATEDIF(E1793,TODAY(),"Y"),"")</f>
        <v>48</v>
      </c>
      <c r="G1793" s="40" t="s">
        <v>8180</v>
      </c>
      <c r="H1793" s="40" t="s">
        <v>8181</v>
      </c>
      <c r="I1793" s="38" t="s">
        <v>8182</v>
      </c>
      <c r="J1793" s="38"/>
      <c r="K1793" s="38" t="s">
        <v>8183</v>
      </c>
      <c r="L1793" s="38" t="s">
        <v>53</v>
      </c>
      <c r="M1793" s="37" t="s">
        <v>177</v>
      </c>
      <c r="N1793" s="39" t="n">
        <v>45534</v>
      </c>
      <c r="O1793" s="41" t="s">
        <v>23</v>
      </c>
      <c r="P1793" s="41" t="s">
        <v>105</v>
      </c>
      <c r="Q1793" s="42"/>
      <c r="R1793" s="41"/>
      <c r="S1793" s="42"/>
      <c r="T1793" s="41"/>
    </row>
    <row r="1794" customFormat="false" ht="13.5" hidden="false" customHeight="true" outlineLevel="0" collapsed="false">
      <c r="A1794" s="37" t="n">
        <v>1791</v>
      </c>
      <c r="B1794" s="37" t="n">
        <v>4188</v>
      </c>
      <c r="C1794" s="38" t="s">
        <v>8184</v>
      </c>
      <c r="D1794" s="37" t="s">
        <v>100</v>
      </c>
      <c r="E1794" s="39" t="n">
        <v>28968</v>
      </c>
      <c r="F1794" s="37" t="n">
        <f aca="true">IFERROR(DATEDIF(E1794,TODAY(),"Y"),"")</f>
        <v>47</v>
      </c>
      <c r="G1794" s="40" t="s">
        <v>8185</v>
      </c>
      <c r="H1794" s="40"/>
      <c r="I1794" s="38" t="s">
        <v>8186</v>
      </c>
      <c r="J1794" s="38"/>
      <c r="K1794" s="38" t="s">
        <v>8187</v>
      </c>
      <c r="L1794" s="38" t="s">
        <v>43</v>
      </c>
      <c r="M1794" s="37" t="s">
        <v>231</v>
      </c>
      <c r="N1794" s="39" t="n">
        <v>45539</v>
      </c>
      <c r="O1794" s="41" t="s">
        <v>23</v>
      </c>
      <c r="P1794" s="41" t="s">
        <v>105</v>
      </c>
      <c r="Q1794" s="42"/>
      <c r="R1794" s="41"/>
      <c r="S1794" s="42"/>
      <c r="T1794" s="41"/>
    </row>
    <row r="1795" customFormat="false" ht="13.5" hidden="false" customHeight="true" outlineLevel="0" collapsed="false">
      <c r="A1795" s="37" t="n">
        <v>1792</v>
      </c>
      <c r="B1795" s="37" t="n">
        <v>4189</v>
      </c>
      <c r="C1795" s="38" t="s">
        <v>8188</v>
      </c>
      <c r="D1795" s="37" t="s">
        <v>100</v>
      </c>
      <c r="E1795" s="39" t="n">
        <v>27145</v>
      </c>
      <c r="F1795" s="37" t="n">
        <f aca="true">IFERROR(DATEDIF(E1795,TODAY(),"Y"),"")</f>
        <v>52</v>
      </c>
      <c r="G1795" s="40" t="s">
        <v>8189</v>
      </c>
      <c r="H1795" s="40"/>
      <c r="I1795" s="38" t="s">
        <v>8190</v>
      </c>
      <c r="J1795" s="38" t="s">
        <v>16</v>
      </c>
      <c r="K1795" s="38" t="s">
        <v>8191</v>
      </c>
      <c r="L1795" s="38" t="s">
        <v>46</v>
      </c>
      <c r="M1795" s="37" t="s">
        <v>177</v>
      </c>
      <c r="N1795" s="39" t="n">
        <v>45549</v>
      </c>
      <c r="O1795" s="41" t="s">
        <v>23</v>
      </c>
      <c r="P1795" s="41" t="s">
        <v>105</v>
      </c>
      <c r="Q1795" s="42"/>
      <c r="R1795" s="41"/>
      <c r="S1795" s="42"/>
      <c r="T1795" s="41"/>
    </row>
    <row r="1796" customFormat="false" ht="13.5" hidden="false" customHeight="true" outlineLevel="0" collapsed="false">
      <c r="A1796" s="37" t="n">
        <v>1793</v>
      </c>
      <c r="B1796" s="37" t="n">
        <v>4190</v>
      </c>
      <c r="C1796" s="38" t="s">
        <v>8192</v>
      </c>
      <c r="D1796" s="37" t="s">
        <v>100</v>
      </c>
      <c r="E1796" s="39" t="n">
        <v>36050</v>
      </c>
      <c r="F1796" s="37" t="n">
        <f aca="true">IFERROR(DATEDIF(E1796,TODAY(),"Y"),"")</f>
        <v>27</v>
      </c>
      <c r="G1796" s="40" t="s">
        <v>8193</v>
      </c>
      <c r="H1796" s="40" t="s">
        <v>6880</v>
      </c>
      <c r="I1796" s="38" t="s">
        <v>8194</v>
      </c>
      <c r="J1796" s="38" t="s">
        <v>15</v>
      </c>
      <c r="K1796" s="38" t="s">
        <v>8195</v>
      </c>
      <c r="L1796" s="38" t="s">
        <v>55</v>
      </c>
      <c r="M1796" s="37"/>
      <c r="N1796" s="39" t="n">
        <v>45562</v>
      </c>
      <c r="O1796" s="41" t="s">
        <v>23</v>
      </c>
      <c r="P1796" s="41" t="s">
        <v>105</v>
      </c>
      <c r="Q1796" s="42"/>
      <c r="R1796" s="41"/>
      <c r="S1796" s="42"/>
      <c r="T1796" s="41"/>
    </row>
    <row r="1797" customFormat="false" ht="13.5" hidden="false" customHeight="true" outlineLevel="0" collapsed="false">
      <c r="A1797" s="37" t="n">
        <v>1794</v>
      </c>
      <c r="B1797" s="37" t="n">
        <v>4191</v>
      </c>
      <c r="C1797" s="38" t="s">
        <v>8196</v>
      </c>
      <c r="D1797" s="37" t="s">
        <v>100</v>
      </c>
      <c r="E1797" s="39" t="n">
        <v>30097</v>
      </c>
      <c r="F1797" s="37" t="n">
        <f aca="true">IFERROR(DATEDIF(E1797,TODAY(),"Y"),"")</f>
        <v>44</v>
      </c>
      <c r="G1797" s="40" t="s">
        <v>8197</v>
      </c>
      <c r="H1797" s="40" t="s">
        <v>8198</v>
      </c>
      <c r="I1797" s="38" t="s">
        <v>8199</v>
      </c>
      <c r="J1797" s="38" t="s">
        <v>16</v>
      </c>
      <c r="K1797" s="38" t="s">
        <v>8200</v>
      </c>
      <c r="L1797" s="38" t="s">
        <v>55</v>
      </c>
      <c r="M1797" s="37" t="s">
        <v>177</v>
      </c>
      <c r="N1797" s="39" t="n">
        <v>45562</v>
      </c>
      <c r="O1797" s="41" t="s">
        <v>23</v>
      </c>
      <c r="P1797" s="41" t="s">
        <v>105</v>
      </c>
      <c r="Q1797" s="42"/>
      <c r="R1797" s="41"/>
      <c r="S1797" s="42"/>
      <c r="T1797" s="41"/>
    </row>
    <row r="1798" customFormat="false" ht="13.5" hidden="false" customHeight="true" outlineLevel="0" collapsed="false">
      <c r="A1798" s="37" t="n">
        <v>1795</v>
      </c>
      <c r="B1798" s="37" t="n">
        <v>4192</v>
      </c>
      <c r="C1798" s="38" t="s">
        <v>8201</v>
      </c>
      <c r="D1798" s="37" t="s">
        <v>100</v>
      </c>
      <c r="E1798" s="39" t="n">
        <v>29639</v>
      </c>
      <c r="F1798" s="37" t="n">
        <f aca="true">IFERROR(DATEDIF(E1798,TODAY(),"Y"),"")</f>
        <v>45</v>
      </c>
      <c r="G1798" s="40" t="s">
        <v>8202</v>
      </c>
      <c r="H1798" s="40" t="s">
        <v>8203</v>
      </c>
      <c r="I1798" s="38" t="s">
        <v>8204</v>
      </c>
      <c r="J1798" s="38" t="s">
        <v>16</v>
      </c>
      <c r="K1798" s="38" t="s">
        <v>8205</v>
      </c>
      <c r="L1798" s="38" t="s">
        <v>55</v>
      </c>
      <c r="M1798" s="37" t="s">
        <v>104</v>
      </c>
      <c r="N1798" s="39" t="n">
        <v>45563</v>
      </c>
      <c r="O1798" s="41" t="s">
        <v>23</v>
      </c>
      <c r="P1798" s="41" t="s">
        <v>105</v>
      </c>
      <c r="Q1798" s="42"/>
      <c r="R1798" s="41"/>
      <c r="S1798" s="42"/>
      <c r="T1798" s="41"/>
    </row>
    <row r="1799" customFormat="false" ht="13.5" hidden="false" customHeight="true" outlineLevel="0" collapsed="false">
      <c r="A1799" s="37" t="n">
        <v>1796</v>
      </c>
      <c r="B1799" s="37" t="n">
        <v>4193</v>
      </c>
      <c r="C1799" s="38" t="s">
        <v>8206</v>
      </c>
      <c r="D1799" s="37" t="s">
        <v>100</v>
      </c>
      <c r="E1799" s="39" t="n">
        <v>32032</v>
      </c>
      <c r="F1799" s="37" t="n">
        <f aca="true">IFERROR(DATEDIF(E1799,TODAY(),"Y"),"")</f>
        <v>38</v>
      </c>
      <c r="G1799" s="40" t="s">
        <v>8207</v>
      </c>
      <c r="H1799" s="40" t="s">
        <v>8208</v>
      </c>
      <c r="I1799" s="38" t="s">
        <v>8209</v>
      </c>
      <c r="J1799" s="38" t="s">
        <v>15</v>
      </c>
      <c r="K1799" s="38" t="s">
        <v>8210</v>
      </c>
      <c r="L1799" s="38" t="s">
        <v>46</v>
      </c>
      <c r="M1799" s="37" t="s">
        <v>177</v>
      </c>
      <c r="N1799" s="39" t="n">
        <v>45563</v>
      </c>
      <c r="O1799" s="41" t="s">
        <v>23</v>
      </c>
      <c r="P1799" s="41" t="s">
        <v>105</v>
      </c>
      <c r="Q1799" s="42"/>
      <c r="R1799" s="41"/>
      <c r="S1799" s="42"/>
      <c r="T1799" s="41"/>
    </row>
    <row r="1800" customFormat="false" ht="13.5" hidden="false" customHeight="true" outlineLevel="0" collapsed="false">
      <c r="A1800" s="37" t="n">
        <v>1797</v>
      </c>
      <c r="B1800" s="37" t="n">
        <v>4194</v>
      </c>
      <c r="C1800" s="38" t="s">
        <v>8211</v>
      </c>
      <c r="D1800" s="37" t="s">
        <v>100</v>
      </c>
      <c r="E1800" s="39" t="n">
        <v>30069</v>
      </c>
      <c r="F1800" s="37" t="n">
        <f aca="true">IFERROR(DATEDIF(E1800,TODAY(),"Y"),"")</f>
        <v>44</v>
      </c>
      <c r="G1800" s="40" t="s">
        <v>8212</v>
      </c>
      <c r="H1800" s="40" t="s">
        <v>8213</v>
      </c>
      <c r="I1800" s="38" t="s">
        <v>8214</v>
      </c>
      <c r="J1800" s="38"/>
      <c r="K1800" s="38" t="s">
        <v>8215</v>
      </c>
      <c r="L1800" s="38" t="s">
        <v>53</v>
      </c>
      <c r="M1800" s="37" t="s">
        <v>177</v>
      </c>
      <c r="N1800" s="39" t="n">
        <v>45579</v>
      </c>
      <c r="O1800" s="41" t="s">
        <v>23</v>
      </c>
      <c r="P1800" s="41" t="s">
        <v>105</v>
      </c>
      <c r="Q1800" s="42"/>
      <c r="R1800" s="41"/>
      <c r="S1800" s="42"/>
      <c r="T1800" s="41"/>
    </row>
    <row r="1801" customFormat="false" ht="13.5" hidden="false" customHeight="true" outlineLevel="0" collapsed="false">
      <c r="A1801" s="37" t="n">
        <v>1798</v>
      </c>
      <c r="B1801" s="37" t="n">
        <v>4195</v>
      </c>
      <c r="C1801" s="38" t="s">
        <v>8216</v>
      </c>
      <c r="D1801" s="37" t="s">
        <v>100</v>
      </c>
      <c r="E1801" s="39" t="n">
        <v>28934</v>
      </c>
      <c r="F1801" s="37" t="n">
        <f aca="true">IFERROR(DATEDIF(E1801,TODAY(),"Y"),"")</f>
        <v>47</v>
      </c>
      <c r="G1801" s="40" t="s">
        <v>8217</v>
      </c>
      <c r="H1801" s="40" t="s">
        <v>8218</v>
      </c>
      <c r="I1801" s="38" t="s">
        <v>8219</v>
      </c>
      <c r="J1801" s="38" t="s">
        <v>16</v>
      </c>
      <c r="K1801" s="38" t="s">
        <v>8220</v>
      </c>
      <c r="L1801" s="38" t="s">
        <v>43</v>
      </c>
      <c r="M1801" s="37" t="s">
        <v>104</v>
      </c>
      <c r="N1801" s="39" t="n">
        <v>45579</v>
      </c>
      <c r="O1801" s="41" t="s">
        <v>23</v>
      </c>
      <c r="P1801" s="41" t="s">
        <v>105</v>
      </c>
      <c r="Q1801" s="42"/>
      <c r="R1801" s="41"/>
      <c r="S1801" s="42"/>
      <c r="T1801" s="41"/>
    </row>
    <row r="1802" customFormat="false" ht="13.5" hidden="false" customHeight="true" outlineLevel="0" collapsed="false">
      <c r="A1802" s="37" t="n">
        <v>1799</v>
      </c>
      <c r="B1802" s="37" t="n">
        <v>4196</v>
      </c>
      <c r="C1802" s="38" t="s">
        <v>8221</v>
      </c>
      <c r="D1802" s="37" t="s">
        <v>100</v>
      </c>
      <c r="E1802" s="39" t="n">
        <v>29970</v>
      </c>
      <c r="F1802" s="37" t="n">
        <f aca="true">IFERROR(DATEDIF(E1802,TODAY(),"Y"),"")</f>
        <v>44</v>
      </c>
      <c r="G1802" s="40" t="s">
        <v>8222</v>
      </c>
      <c r="H1802" s="40" t="s">
        <v>8223</v>
      </c>
      <c r="I1802" s="38" t="s">
        <v>8224</v>
      </c>
      <c r="J1802" s="38" t="s">
        <v>15</v>
      </c>
      <c r="K1802" s="38" t="s">
        <v>8225</v>
      </c>
      <c r="L1802" s="38" t="s">
        <v>53</v>
      </c>
      <c r="M1802" s="37"/>
      <c r="N1802" s="39" t="n">
        <v>45598</v>
      </c>
      <c r="O1802" s="41" t="s">
        <v>23</v>
      </c>
      <c r="P1802" s="41" t="s">
        <v>105</v>
      </c>
      <c r="Q1802" s="42"/>
      <c r="R1802" s="41"/>
      <c r="S1802" s="42"/>
      <c r="T1802" s="41"/>
    </row>
    <row r="1803" customFormat="false" ht="13.5" hidden="false" customHeight="true" outlineLevel="0" collapsed="false">
      <c r="A1803" s="37" t="n">
        <v>1800</v>
      </c>
      <c r="B1803" s="37" t="n">
        <v>4197</v>
      </c>
      <c r="C1803" s="38" t="s">
        <v>8226</v>
      </c>
      <c r="D1803" s="37" t="s">
        <v>100</v>
      </c>
      <c r="E1803" s="39" t="n">
        <v>26073</v>
      </c>
      <c r="F1803" s="37" t="n">
        <f aca="true">IFERROR(DATEDIF(E1803,TODAY(),"Y"),"")</f>
        <v>55</v>
      </c>
      <c r="G1803" s="40" t="s">
        <v>8227</v>
      </c>
      <c r="H1803" s="40" t="s">
        <v>8228</v>
      </c>
      <c r="I1803" s="38" t="s">
        <v>8229</v>
      </c>
      <c r="J1803" s="38"/>
      <c r="K1803" s="38" t="s">
        <v>8230</v>
      </c>
      <c r="L1803" s="38" t="s">
        <v>43</v>
      </c>
      <c r="M1803" s="37" t="s">
        <v>120</v>
      </c>
      <c r="N1803" s="39" t="n">
        <v>45600</v>
      </c>
      <c r="O1803" s="41" t="s">
        <v>23</v>
      </c>
      <c r="P1803" s="41" t="s">
        <v>105</v>
      </c>
      <c r="Q1803" s="42"/>
      <c r="R1803" s="41"/>
      <c r="S1803" s="42"/>
      <c r="T1803" s="41"/>
    </row>
    <row r="1804" customFormat="false" ht="13.5" hidden="false" customHeight="true" outlineLevel="0" collapsed="false">
      <c r="A1804" s="37" t="n">
        <v>1801</v>
      </c>
      <c r="B1804" s="37" t="n">
        <v>4198</v>
      </c>
      <c r="C1804" s="38" t="s">
        <v>8231</v>
      </c>
      <c r="D1804" s="37" t="s">
        <v>100</v>
      </c>
      <c r="E1804" s="39" t="n">
        <v>30092</v>
      </c>
      <c r="F1804" s="37" t="n">
        <f aca="true">IFERROR(DATEDIF(E1804,TODAY(),"Y"),"")</f>
        <v>44</v>
      </c>
      <c r="G1804" s="40" t="s">
        <v>8232</v>
      </c>
      <c r="H1804" s="40"/>
      <c r="I1804" s="38" t="s">
        <v>8233</v>
      </c>
      <c r="J1804" s="38" t="s">
        <v>16</v>
      </c>
      <c r="K1804" s="38" t="s">
        <v>8234</v>
      </c>
      <c r="L1804" s="38" t="s">
        <v>43</v>
      </c>
      <c r="M1804" s="37" t="s">
        <v>104</v>
      </c>
      <c r="N1804" s="39" t="n">
        <v>45600</v>
      </c>
      <c r="O1804" s="41" t="s">
        <v>23</v>
      </c>
      <c r="P1804" s="41" t="s">
        <v>105</v>
      </c>
      <c r="Q1804" s="42"/>
      <c r="R1804" s="41"/>
      <c r="S1804" s="42"/>
      <c r="T1804" s="41"/>
    </row>
    <row r="1805" customFormat="false" ht="13.5" hidden="false" customHeight="true" outlineLevel="0" collapsed="false">
      <c r="A1805" s="37" t="n">
        <v>1802</v>
      </c>
      <c r="B1805" s="37" t="n">
        <v>4199</v>
      </c>
      <c r="C1805" s="38" t="s">
        <v>8235</v>
      </c>
      <c r="D1805" s="37" t="s">
        <v>100</v>
      </c>
      <c r="E1805" s="39" t="n">
        <v>30538</v>
      </c>
      <c r="F1805" s="37" t="n">
        <f aca="true">IFERROR(DATEDIF(E1805,TODAY(),"Y"),"")</f>
        <v>43</v>
      </c>
      <c r="G1805" s="40" t="s">
        <v>8236</v>
      </c>
      <c r="H1805" s="40"/>
      <c r="I1805" s="38" t="s">
        <v>8237</v>
      </c>
      <c r="J1805" s="38" t="s">
        <v>15</v>
      </c>
      <c r="K1805" s="38" t="s">
        <v>8238</v>
      </c>
      <c r="L1805" s="38" t="s">
        <v>51</v>
      </c>
      <c r="M1805" s="37" t="s">
        <v>231</v>
      </c>
      <c r="N1805" s="39" t="n">
        <v>45610</v>
      </c>
      <c r="O1805" s="41" t="s">
        <v>23</v>
      </c>
      <c r="P1805" s="41" t="s">
        <v>105</v>
      </c>
      <c r="Q1805" s="42"/>
      <c r="R1805" s="41"/>
      <c r="S1805" s="42"/>
      <c r="T1805" s="41"/>
    </row>
    <row r="1806" customFormat="false" ht="13.5" hidden="false" customHeight="true" outlineLevel="0" collapsed="false">
      <c r="A1806" s="37" t="n">
        <v>1803</v>
      </c>
      <c r="B1806" s="37" t="n">
        <v>4200</v>
      </c>
      <c r="C1806" s="38" t="s">
        <v>8239</v>
      </c>
      <c r="D1806" s="37" t="s">
        <v>100</v>
      </c>
      <c r="E1806" s="39" t="n">
        <v>26911</v>
      </c>
      <c r="F1806" s="37" t="n">
        <f aca="true">IFERROR(DATEDIF(E1806,TODAY(),"Y"),"")</f>
        <v>52</v>
      </c>
      <c r="G1806" s="40" t="s">
        <v>8240</v>
      </c>
      <c r="H1806" s="40"/>
      <c r="I1806" s="38" t="s">
        <v>8241</v>
      </c>
      <c r="J1806" s="38" t="s">
        <v>16</v>
      </c>
      <c r="K1806" s="38" t="s">
        <v>8242</v>
      </c>
      <c r="L1806" s="38" t="s">
        <v>43</v>
      </c>
      <c r="M1806" s="37" t="s">
        <v>104</v>
      </c>
      <c r="N1806" s="39" t="n">
        <v>45612</v>
      </c>
      <c r="O1806" s="41" t="s">
        <v>23</v>
      </c>
      <c r="P1806" s="41" t="s">
        <v>105</v>
      </c>
      <c r="Q1806" s="42"/>
      <c r="R1806" s="41"/>
      <c r="S1806" s="42"/>
      <c r="T1806" s="41"/>
    </row>
    <row r="1807" customFormat="false" ht="13.5" hidden="false" customHeight="true" outlineLevel="0" collapsed="false">
      <c r="A1807" s="37" t="n">
        <v>1804</v>
      </c>
      <c r="B1807" s="37" t="n">
        <v>4201</v>
      </c>
      <c r="C1807" s="38" t="s">
        <v>8243</v>
      </c>
      <c r="D1807" s="37" t="s">
        <v>100</v>
      </c>
      <c r="E1807" s="39" t="n">
        <v>27910</v>
      </c>
      <c r="F1807" s="37" t="n">
        <f aca="true">IFERROR(DATEDIF(E1807,TODAY(),"Y"),"")</f>
        <v>50</v>
      </c>
      <c r="G1807" s="40" t="s">
        <v>8244</v>
      </c>
      <c r="H1807" s="40" t="s">
        <v>8245</v>
      </c>
      <c r="I1807" s="38" t="s">
        <v>8246</v>
      </c>
      <c r="J1807" s="38"/>
      <c r="K1807" s="38" t="s">
        <v>8247</v>
      </c>
      <c r="L1807" s="38" t="s">
        <v>43</v>
      </c>
      <c r="M1807" s="37" t="s">
        <v>177</v>
      </c>
      <c r="N1807" s="39" t="n">
        <v>45619</v>
      </c>
      <c r="O1807" s="41" t="s">
        <v>23</v>
      </c>
      <c r="P1807" s="41" t="s">
        <v>105</v>
      </c>
      <c r="Q1807" s="42"/>
      <c r="R1807" s="41"/>
      <c r="S1807" s="42"/>
      <c r="T1807" s="41"/>
    </row>
    <row r="1808" customFormat="false" ht="13.5" hidden="false" customHeight="true" outlineLevel="0" collapsed="false">
      <c r="A1808" s="37" t="n">
        <v>1805</v>
      </c>
      <c r="B1808" s="37" t="n">
        <v>4202</v>
      </c>
      <c r="C1808" s="38" t="s">
        <v>8248</v>
      </c>
      <c r="D1808" s="37" t="s">
        <v>100</v>
      </c>
      <c r="E1808" s="39" t="n">
        <v>32365</v>
      </c>
      <c r="F1808" s="37" t="n">
        <f aca="true">IFERROR(DATEDIF(E1808,TODAY(),"Y"),"")</f>
        <v>38</v>
      </c>
      <c r="G1808" s="40" t="s">
        <v>8249</v>
      </c>
      <c r="H1808" s="40"/>
      <c r="I1808" s="38" t="s">
        <v>8250</v>
      </c>
      <c r="J1808" s="38"/>
      <c r="K1808" s="38" t="s">
        <v>8251</v>
      </c>
      <c r="L1808" s="38" t="s">
        <v>43</v>
      </c>
      <c r="M1808" s="37" t="s">
        <v>120</v>
      </c>
      <c r="N1808" s="39" t="n">
        <v>45619</v>
      </c>
      <c r="O1808" s="41" t="s">
        <v>23</v>
      </c>
      <c r="P1808" s="41" t="s">
        <v>105</v>
      </c>
      <c r="Q1808" s="42"/>
      <c r="R1808" s="41"/>
      <c r="S1808" s="42"/>
      <c r="T1808" s="41"/>
    </row>
    <row r="1809" customFormat="false" ht="13.5" hidden="false" customHeight="true" outlineLevel="0" collapsed="false">
      <c r="A1809" s="37" t="n">
        <v>1806</v>
      </c>
      <c r="B1809" s="37" t="n">
        <v>4203</v>
      </c>
      <c r="C1809" s="38" t="s">
        <v>8252</v>
      </c>
      <c r="D1809" s="37" t="s">
        <v>100</v>
      </c>
      <c r="E1809" s="39" t="n">
        <v>33127</v>
      </c>
      <c r="F1809" s="37" t="n">
        <f aca="true">IFERROR(DATEDIF(E1809,TODAY(),"Y"),"")</f>
        <v>35</v>
      </c>
      <c r="G1809" s="40" t="s">
        <v>8253</v>
      </c>
      <c r="H1809" s="40"/>
      <c r="I1809" s="38" t="s">
        <v>8254</v>
      </c>
      <c r="J1809" s="38"/>
      <c r="K1809" s="38" t="s">
        <v>8255</v>
      </c>
      <c r="L1809" s="38" t="s">
        <v>47</v>
      </c>
      <c r="M1809" s="37" t="s">
        <v>2436</v>
      </c>
      <c r="N1809" s="39" t="n">
        <v>45621</v>
      </c>
      <c r="O1809" s="41" t="s">
        <v>23</v>
      </c>
      <c r="P1809" s="41" t="s">
        <v>105</v>
      </c>
      <c r="Q1809" s="42"/>
      <c r="R1809" s="41"/>
      <c r="S1809" s="42"/>
      <c r="T1809" s="41"/>
    </row>
    <row r="1810" customFormat="false" ht="13.5" hidden="false" customHeight="true" outlineLevel="0" collapsed="false">
      <c r="A1810" s="37" t="n">
        <v>1807</v>
      </c>
      <c r="B1810" s="37" t="n">
        <v>4204</v>
      </c>
      <c r="C1810" s="38" t="s">
        <v>8256</v>
      </c>
      <c r="D1810" s="37" t="s">
        <v>100</v>
      </c>
      <c r="E1810" s="39" t="n">
        <v>29252</v>
      </c>
      <c r="F1810" s="37" t="n">
        <f aca="true">IFERROR(DATEDIF(E1810,TODAY(),"Y"),"")</f>
        <v>46</v>
      </c>
      <c r="G1810" s="40" t="s">
        <v>8257</v>
      </c>
      <c r="H1810" s="40"/>
      <c r="I1810" s="38" t="s">
        <v>8258</v>
      </c>
      <c r="J1810" s="38"/>
      <c r="K1810" s="38" t="s">
        <v>8259</v>
      </c>
      <c r="L1810" s="38" t="s">
        <v>43</v>
      </c>
      <c r="M1810" s="37" t="s">
        <v>231</v>
      </c>
      <c r="N1810" s="39" t="n">
        <v>45621</v>
      </c>
      <c r="O1810" s="41" t="s">
        <v>23</v>
      </c>
      <c r="P1810" s="41" t="s">
        <v>105</v>
      </c>
      <c r="Q1810" s="42"/>
      <c r="R1810" s="41"/>
      <c r="S1810" s="42"/>
      <c r="T1810" s="41"/>
    </row>
    <row r="1811" customFormat="false" ht="13.5" hidden="false" customHeight="true" outlineLevel="0" collapsed="false">
      <c r="A1811" s="37" t="n">
        <v>1808</v>
      </c>
      <c r="B1811" s="37" t="n">
        <v>4205</v>
      </c>
      <c r="C1811" s="38" t="s">
        <v>8260</v>
      </c>
      <c r="D1811" s="37" t="s">
        <v>100</v>
      </c>
      <c r="E1811" s="39" t="n">
        <v>31921</v>
      </c>
      <c r="F1811" s="37" t="n">
        <f aca="true">IFERROR(DATEDIF(E1811,TODAY(),"Y"),"")</f>
        <v>39</v>
      </c>
      <c r="G1811" s="40" t="s">
        <v>8261</v>
      </c>
      <c r="H1811" s="40" t="s">
        <v>8262</v>
      </c>
      <c r="I1811" s="38" t="s">
        <v>8263</v>
      </c>
      <c r="J1811" s="38"/>
      <c r="K1811" s="38" t="s">
        <v>8264</v>
      </c>
      <c r="L1811" s="38" t="s">
        <v>48</v>
      </c>
      <c r="M1811" s="37" t="s">
        <v>231</v>
      </c>
      <c r="N1811" s="39" t="n">
        <v>45625</v>
      </c>
      <c r="O1811" s="41" t="s">
        <v>23</v>
      </c>
      <c r="P1811" s="41" t="s">
        <v>105</v>
      </c>
      <c r="Q1811" s="42"/>
      <c r="R1811" s="41"/>
      <c r="S1811" s="42"/>
      <c r="T1811" s="41"/>
    </row>
    <row r="1812" customFormat="false" ht="13.5" hidden="false" customHeight="true" outlineLevel="0" collapsed="false">
      <c r="A1812" s="37" t="n">
        <v>1809</v>
      </c>
      <c r="B1812" s="37" t="n">
        <v>4206</v>
      </c>
      <c r="C1812" s="38" t="s">
        <v>8265</v>
      </c>
      <c r="D1812" s="37" t="s">
        <v>100</v>
      </c>
      <c r="E1812" s="39" t="n">
        <v>27905</v>
      </c>
      <c r="F1812" s="37" t="n">
        <f aca="true">IFERROR(DATEDIF(E1812,TODAY(),"Y"),"")</f>
        <v>50</v>
      </c>
      <c r="G1812" s="40" t="s">
        <v>8266</v>
      </c>
      <c r="H1812" s="40"/>
      <c r="I1812" s="38" t="s">
        <v>8267</v>
      </c>
      <c r="J1812" s="38" t="s">
        <v>16</v>
      </c>
      <c r="K1812" s="38" t="s">
        <v>8268</v>
      </c>
      <c r="L1812" s="38" t="s">
        <v>53</v>
      </c>
      <c r="M1812" s="37" t="s">
        <v>177</v>
      </c>
      <c r="N1812" s="39" t="n">
        <v>45625</v>
      </c>
      <c r="O1812" s="41" t="s">
        <v>23</v>
      </c>
      <c r="P1812" s="41" t="s">
        <v>105</v>
      </c>
      <c r="Q1812" s="42"/>
      <c r="R1812" s="41"/>
      <c r="S1812" s="42"/>
      <c r="T1812" s="41"/>
    </row>
    <row r="1813" customFormat="false" ht="13.5" hidden="false" customHeight="true" outlineLevel="0" collapsed="false">
      <c r="A1813" s="37" t="n">
        <v>1810</v>
      </c>
      <c r="B1813" s="37" t="n">
        <v>4207</v>
      </c>
      <c r="C1813" s="38" t="s">
        <v>8269</v>
      </c>
      <c r="D1813" s="37" t="s">
        <v>100</v>
      </c>
      <c r="E1813" s="39" t="n">
        <v>27436</v>
      </c>
      <c r="F1813" s="37" t="n">
        <f aca="true">IFERROR(DATEDIF(E1813,TODAY(),"Y"),"")</f>
        <v>51</v>
      </c>
      <c r="G1813" s="40" t="s">
        <v>8270</v>
      </c>
      <c r="H1813" s="40" t="s">
        <v>8271</v>
      </c>
      <c r="I1813" s="38" t="s">
        <v>8272</v>
      </c>
      <c r="J1813" s="38" t="s">
        <v>15</v>
      </c>
      <c r="K1813" s="38" t="s">
        <v>8273</v>
      </c>
      <c r="L1813" s="38" t="s">
        <v>47</v>
      </c>
      <c r="M1813" s="37" t="s">
        <v>120</v>
      </c>
      <c r="N1813" s="39" t="n">
        <v>45625</v>
      </c>
      <c r="O1813" s="41" t="s">
        <v>23</v>
      </c>
      <c r="P1813" s="41" t="s">
        <v>105</v>
      </c>
      <c r="Q1813" s="42"/>
      <c r="R1813" s="41"/>
      <c r="S1813" s="42"/>
      <c r="T1813" s="41"/>
    </row>
    <row r="1814" customFormat="false" ht="13.5" hidden="false" customHeight="true" outlineLevel="0" collapsed="false">
      <c r="A1814" s="37" t="n">
        <v>1811</v>
      </c>
      <c r="B1814" s="37" t="n">
        <v>4208</v>
      </c>
      <c r="C1814" s="38" t="s">
        <v>8274</v>
      </c>
      <c r="D1814" s="37" t="s">
        <v>100</v>
      </c>
      <c r="E1814" s="39" t="n">
        <v>32959</v>
      </c>
      <c r="F1814" s="37" t="n">
        <f aca="true">IFERROR(DATEDIF(E1814,TODAY(),"Y"),"")</f>
        <v>36</v>
      </c>
      <c r="G1814" s="40" t="s">
        <v>8275</v>
      </c>
      <c r="H1814" s="40"/>
      <c r="I1814" s="38" t="s">
        <v>8276</v>
      </c>
      <c r="J1814" s="38" t="s">
        <v>15</v>
      </c>
      <c r="K1814" s="38" t="s">
        <v>8277</v>
      </c>
      <c r="L1814" s="38" t="s">
        <v>48</v>
      </c>
      <c r="M1814" s="37" t="s">
        <v>120</v>
      </c>
      <c r="N1814" s="39" t="n">
        <v>45632</v>
      </c>
      <c r="O1814" s="41" t="s">
        <v>23</v>
      </c>
      <c r="P1814" s="41" t="s">
        <v>105</v>
      </c>
      <c r="Q1814" s="42"/>
      <c r="R1814" s="41"/>
      <c r="S1814" s="42"/>
      <c r="T1814" s="41"/>
    </row>
    <row r="1815" customFormat="false" ht="13.5" hidden="false" customHeight="true" outlineLevel="0" collapsed="false">
      <c r="A1815" s="37" t="n">
        <v>1812</v>
      </c>
      <c r="B1815" s="37" t="n">
        <v>4209</v>
      </c>
      <c r="C1815" s="38" t="s">
        <v>8278</v>
      </c>
      <c r="D1815" s="37" t="s">
        <v>100</v>
      </c>
      <c r="E1815" s="39" t="n">
        <v>31725</v>
      </c>
      <c r="F1815" s="37" t="n">
        <f aca="true">IFERROR(DATEDIF(E1815,TODAY(),"Y"),"")</f>
        <v>39</v>
      </c>
      <c r="G1815" s="40" t="s">
        <v>8279</v>
      </c>
      <c r="H1815" s="40"/>
      <c r="I1815" s="38" t="s">
        <v>8280</v>
      </c>
      <c r="J1815" s="38" t="s">
        <v>15</v>
      </c>
      <c r="K1815" s="38" t="s">
        <v>8281</v>
      </c>
      <c r="L1815" s="38" t="s">
        <v>56</v>
      </c>
      <c r="M1815" s="37" t="s">
        <v>104</v>
      </c>
      <c r="N1815" s="39" t="n">
        <v>45632</v>
      </c>
      <c r="O1815" s="41" t="s">
        <v>23</v>
      </c>
      <c r="P1815" s="41" t="s">
        <v>105</v>
      </c>
      <c r="Q1815" s="42"/>
      <c r="R1815" s="41"/>
      <c r="S1815" s="42"/>
      <c r="T1815" s="41"/>
    </row>
    <row r="1816" customFormat="false" ht="13.5" hidden="false" customHeight="true" outlineLevel="0" collapsed="false">
      <c r="A1816" s="37" t="n">
        <v>1813</v>
      </c>
      <c r="B1816" s="37" t="n">
        <v>4210</v>
      </c>
      <c r="C1816" s="38" t="s">
        <v>8282</v>
      </c>
      <c r="D1816" s="37" t="s">
        <v>100</v>
      </c>
      <c r="E1816" s="39" t="n">
        <v>27507</v>
      </c>
      <c r="F1816" s="37" t="n">
        <f aca="true">IFERROR(DATEDIF(E1816,TODAY(),"Y"),"")</f>
        <v>51</v>
      </c>
      <c r="G1816" s="40" t="s">
        <v>8283</v>
      </c>
      <c r="H1816" s="40" t="s">
        <v>8284</v>
      </c>
      <c r="I1816" s="38" t="s">
        <v>8285</v>
      </c>
      <c r="J1816" s="38" t="s">
        <v>15</v>
      </c>
      <c r="K1816" s="38" t="s">
        <v>8286</v>
      </c>
      <c r="L1816" s="38" t="s">
        <v>54</v>
      </c>
      <c r="M1816" s="37" t="s">
        <v>120</v>
      </c>
      <c r="N1816" s="39" t="n">
        <v>45632</v>
      </c>
      <c r="O1816" s="41" t="s">
        <v>23</v>
      </c>
      <c r="P1816" s="41" t="s">
        <v>105</v>
      </c>
      <c r="Q1816" s="42"/>
      <c r="R1816" s="41"/>
      <c r="S1816" s="42"/>
      <c r="T1816" s="41"/>
    </row>
    <row r="1817" customFormat="false" ht="13.5" hidden="false" customHeight="true" outlineLevel="0" collapsed="false">
      <c r="A1817" s="37" t="n">
        <v>1814</v>
      </c>
      <c r="B1817" s="37" t="n">
        <v>4211</v>
      </c>
      <c r="C1817" s="38" t="s">
        <v>8287</v>
      </c>
      <c r="D1817" s="37" t="s">
        <v>100</v>
      </c>
      <c r="E1817" s="39" t="n">
        <v>24914</v>
      </c>
      <c r="F1817" s="37" t="n">
        <f aca="true">IFERROR(DATEDIF(E1817,TODAY(),"Y"),"")</f>
        <v>58</v>
      </c>
      <c r="G1817" s="40" t="s">
        <v>8288</v>
      </c>
      <c r="H1817" s="40"/>
      <c r="I1817" s="38" t="s">
        <v>8289</v>
      </c>
      <c r="J1817" s="38" t="s">
        <v>16</v>
      </c>
      <c r="K1817" s="38" t="s">
        <v>8290</v>
      </c>
      <c r="L1817" s="38" t="s">
        <v>55</v>
      </c>
      <c r="M1817" s="37"/>
      <c r="N1817" s="39" t="n">
        <v>45633</v>
      </c>
      <c r="O1817" s="41" t="s">
        <v>23</v>
      </c>
      <c r="P1817" s="41" t="s">
        <v>105</v>
      </c>
      <c r="Q1817" s="42"/>
      <c r="R1817" s="41"/>
      <c r="S1817" s="42"/>
      <c r="T1817" s="41"/>
    </row>
    <row r="1818" customFormat="false" ht="13.5" hidden="false" customHeight="true" outlineLevel="0" collapsed="false">
      <c r="A1818" s="37" t="n">
        <v>1815</v>
      </c>
      <c r="B1818" s="37" t="n">
        <v>4212</v>
      </c>
      <c r="C1818" s="38" t="s">
        <v>8291</v>
      </c>
      <c r="D1818" s="37" t="s">
        <v>100</v>
      </c>
      <c r="E1818" s="39" t="n">
        <v>27904</v>
      </c>
      <c r="F1818" s="37" t="n">
        <f aca="true">IFERROR(DATEDIF(E1818,TODAY(),"Y"),"")</f>
        <v>50</v>
      </c>
      <c r="G1818" s="40" t="s">
        <v>8292</v>
      </c>
      <c r="H1818" s="40" t="s">
        <v>8293</v>
      </c>
      <c r="I1818" s="38" t="s">
        <v>8294</v>
      </c>
      <c r="J1818" s="38" t="s">
        <v>15</v>
      </c>
      <c r="K1818" s="38" t="s">
        <v>8295</v>
      </c>
      <c r="L1818" s="38" t="s">
        <v>55</v>
      </c>
      <c r="M1818" s="37" t="s">
        <v>104</v>
      </c>
      <c r="N1818" s="39" t="n">
        <v>45639</v>
      </c>
      <c r="O1818" s="41" t="s">
        <v>23</v>
      </c>
      <c r="P1818" s="41" t="s">
        <v>105</v>
      </c>
      <c r="Q1818" s="42"/>
      <c r="R1818" s="41"/>
      <c r="S1818" s="42"/>
      <c r="T1818" s="41"/>
    </row>
    <row r="1819" customFormat="false" ht="13.5" hidden="false" customHeight="true" outlineLevel="0" collapsed="false">
      <c r="A1819" s="37" t="n">
        <v>1816</v>
      </c>
      <c r="B1819" s="37" t="n">
        <v>4213</v>
      </c>
      <c r="C1819" s="38" t="s">
        <v>8296</v>
      </c>
      <c r="D1819" s="37" t="s">
        <v>100</v>
      </c>
      <c r="E1819" s="39" t="n">
        <v>21331</v>
      </c>
      <c r="F1819" s="37" t="n">
        <f aca="true">IFERROR(DATEDIF(E1819,TODAY(),"Y"),"")</f>
        <v>68</v>
      </c>
      <c r="G1819" s="40" t="s">
        <v>8297</v>
      </c>
      <c r="H1819" s="40" t="s">
        <v>8298</v>
      </c>
      <c r="I1819" s="38" t="s">
        <v>8299</v>
      </c>
      <c r="J1819" s="38" t="s">
        <v>15</v>
      </c>
      <c r="K1819" s="38" t="s">
        <v>8300</v>
      </c>
      <c r="L1819" s="38" t="s">
        <v>51</v>
      </c>
      <c r="M1819" s="37" t="s">
        <v>120</v>
      </c>
      <c r="N1819" s="39" t="n">
        <v>45645</v>
      </c>
      <c r="O1819" s="41" t="s">
        <v>23</v>
      </c>
      <c r="P1819" s="41" t="s">
        <v>105</v>
      </c>
      <c r="Q1819" s="42"/>
      <c r="R1819" s="41"/>
      <c r="S1819" s="42"/>
      <c r="T1819" s="41"/>
    </row>
    <row r="1820" customFormat="false" ht="13.5" hidden="false" customHeight="true" outlineLevel="0" collapsed="false">
      <c r="A1820" s="37" t="n">
        <v>1817</v>
      </c>
      <c r="B1820" s="37" t="n">
        <v>4214</v>
      </c>
      <c r="C1820" s="38" t="s">
        <v>8301</v>
      </c>
      <c r="D1820" s="37" t="s">
        <v>100</v>
      </c>
      <c r="E1820" s="39" t="n">
        <v>24622</v>
      </c>
      <c r="F1820" s="37" t="n">
        <f aca="true">IFERROR(DATEDIF(E1820,TODAY(),"Y"),"")</f>
        <v>59</v>
      </c>
      <c r="G1820" s="40" t="s">
        <v>8302</v>
      </c>
      <c r="H1820" s="40" t="s">
        <v>8303</v>
      </c>
      <c r="I1820" s="38" t="s">
        <v>8304</v>
      </c>
      <c r="J1820" s="38" t="s">
        <v>15</v>
      </c>
      <c r="K1820" s="38" t="s">
        <v>8305</v>
      </c>
      <c r="L1820" s="38" t="s">
        <v>53</v>
      </c>
      <c r="M1820" s="37" t="s">
        <v>177</v>
      </c>
      <c r="N1820" s="39" t="n">
        <v>45645</v>
      </c>
      <c r="O1820" s="41" t="s">
        <v>23</v>
      </c>
      <c r="P1820" s="41" t="s">
        <v>105</v>
      </c>
      <c r="Q1820" s="42"/>
      <c r="R1820" s="41"/>
      <c r="S1820" s="42"/>
      <c r="T1820" s="41"/>
    </row>
    <row r="1821" customFormat="false" ht="13.5" hidden="false" customHeight="true" outlineLevel="0" collapsed="false">
      <c r="A1821" s="37" t="n">
        <v>1818</v>
      </c>
      <c r="B1821" s="37" t="n">
        <v>4215</v>
      </c>
      <c r="C1821" s="38" t="s">
        <v>8306</v>
      </c>
      <c r="D1821" s="37" t="s">
        <v>100</v>
      </c>
      <c r="E1821" s="39" t="n">
        <v>24150</v>
      </c>
      <c r="F1821" s="37" t="n">
        <f aca="true">IFERROR(DATEDIF(E1821,TODAY(),"Y"),"")</f>
        <v>60</v>
      </c>
      <c r="G1821" s="40" t="s">
        <v>8307</v>
      </c>
      <c r="H1821" s="40" t="s">
        <v>8308</v>
      </c>
      <c r="I1821" s="38" t="s">
        <v>8309</v>
      </c>
      <c r="J1821" s="38" t="s">
        <v>16</v>
      </c>
      <c r="K1821" s="38"/>
      <c r="L1821" s="43" t="s">
        <v>58</v>
      </c>
      <c r="M1821" s="37" t="s">
        <v>177</v>
      </c>
      <c r="N1821" s="39" t="n">
        <v>45659</v>
      </c>
      <c r="O1821" s="41" t="s">
        <v>23</v>
      </c>
      <c r="P1821" s="41" t="s">
        <v>105</v>
      </c>
      <c r="Q1821" s="42"/>
      <c r="R1821" s="41"/>
      <c r="S1821" s="42"/>
      <c r="T1821" s="41"/>
    </row>
    <row r="1822" customFormat="false" ht="13.5" hidden="false" customHeight="true" outlineLevel="0" collapsed="false">
      <c r="A1822" s="37" t="n">
        <v>1819</v>
      </c>
      <c r="B1822" s="37" t="n">
        <v>4216</v>
      </c>
      <c r="C1822" s="38" t="s">
        <v>8310</v>
      </c>
      <c r="D1822" s="37" t="s">
        <v>100</v>
      </c>
      <c r="E1822" s="39" t="n">
        <v>32333</v>
      </c>
      <c r="F1822" s="37" t="n">
        <f aca="true">IFERROR(DATEDIF(E1822,TODAY(),"Y"),"")</f>
        <v>38</v>
      </c>
      <c r="G1822" s="40" t="s">
        <v>8311</v>
      </c>
      <c r="H1822" s="40"/>
      <c r="I1822" s="38" t="s">
        <v>8312</v>
      </c>
      <c r="J1822" s="38"/>
      <c r="K1822" s="38" t="s">
        <v>8313</v>
      </c>
      <c r="L1822" s="38" t="s">
        <v>47</v>
      </c>
      <c r="M1822" s="37" t="s">
        <v>120</v>
      </c>
      <c r="N1822" s="39" t="n">
        <v>45660</v>
      </c>
      <c r="O1822" s="41" t="s">
        <v>23</v>
      </c>
      <c r="P1822" s="41" t="s">
        <v>105</v>
      </c>
      <c r="Q1822" s="42"/>
      <c r="R1822" s="41"/>
      <c r="S1822" s="42"/>
      <c r="T1822" s="41"/>
    </row>
    <row r="1823" customFormat="false" ht="13.5" hidden="false" customHeight="true" outlineLevel="0" collapsed="false">
      <c r="A1823" s="37" t="n">
        <v>1820</v>
      </c>
      <c r="B1823" s="37" t="n">
        <v>4217</v>
      </c>
      <c r="C1823" s="38" t="s">
        <v>8314</v>
      </c>
      <c r="D1823" s="37" t="s">
        <v>100</v>
      </c>
      <c r="E1823" s="39" t="n">
        <v>26951</v>
      </c>
      <c r="F1823" s="37" t="n">
        <f aca="true">IFERROR(DATEDIF(E1823,TODAY(),"Y"),"")</f>
        <v>52</v>
      </c>
      <c r="G1823" s="40" t="s">
        <v>8315</v>
      </c>
      <c r="H1823" s="40"/>
      <c r="I1823" s="38" t="s">
        <v>8316</v>
      </c>
      <c r="J1823" s="38" t="s">
        <v>16</v>
      </c>
      <c r="K1823" s="38" t="s">
        <v>8317</v>
      </c>
      <c r="L1823" s="38" t="s">
        <v>43</v>
      </c>
      <c r="M1823" s="37" t="s">
        <v>120</v>
      </c>
      <c r="N1823" s="39" t="n">
        <v>45680</v>
      </c>
      <c r="O1823" s="41" t="s">
        <v>23</v>
      </c>
      <c r="P1823" s="41" t="s">
        <v>105</v>
      </c>
      <c r="Q1823" s="42"/>
      <c r="R1823" s="41"/>
      <c r="S1823" s="42"/>
      <c r="T1823" s="41"/>
    </row>
    <row r="1824" customFormat="false" ht="13.5" hidden="false" customHeight="true" outlineLevel="0" collapsed="false">
      <c r="A1824" s="37" t="n">
        <v>1821</v>
      </c>
      <c r="B1824" s="37" t="n">
        <v>4218</v>
      </c>
      <c r="C1824" s="38" t="s">
        <v>8318</v>
      </c>
      <c r="D1824" s="37" t="s">
        <v>100</v>
      </c>
      <c r="E1824" s="39" t="n">
        <v>31550</v>
      </c>
      <c r="F1824" s="37" t="n">
        <f aca="true">IFERROR(DATEDIF(E1824,TODAY(),"Y"),"")</f>
        <v>40</v>
      </c>
      <c r="G1824" s="40" t="s">
        <v>8319</v>
      </c>
      <c r="H1824" s="40"/>
      <c r="I1824" s="38" t="s">
        <v>8320</v>
      </c>
      <c r="J1824" s="38" t="s">
        <v>15</v>
      </c>
      <c r="K1824" s="38" t="s">
        <v>8321</v>
      </c>
      <c r="L1824" s="38" t="s">
        <v>48</v>
      </c>
      <c r="M1824" s="37" t="s">
        <v>190</v>
      </c>
      <c r="N1824" s="39" t="n">
        <v>45680</v>
      </c>
      <c r="O1824" s="41" t="s">
        <v>23</v>
      </c>
      <c r="P1824" s="41" t="s">
        <v>105</v>
      </c>
      <c r="Q1824" s="42"/>
      <c r="R1824" s="41"/>
      <c r="S1824" s="42"/>
      <c r="T1824" s="41"/>
    </row>
    <row r="1825" customFormat="false" ht="13.5" hidden="false" customHeight="true" outlineLevel="0" collapsed="false">
      <c r="A1825" s="37" t="n">
        <v>1822</v>
      </c>
      <c r="B1825" s="37" t="n">
        <v>4219</v>
      </c>
      <c r="C1825" s="38" t="s">
        <v>8322</v>
      </c>
      <c r="D1825" s="37" t="s">
        <v>100</v>
      </c>
      <c r="E1825" s="39" t="n">
        <v>28600</v>
      </c>
      <c r="F1825" s="37" t="n">
        <f aca="true">IFERROR(DATEDIF(E1825,TODAY(),"Y"),"")</f>
        <v>48</v>
      </c>
      <c r="G1825" s="40" t="s">
        <v>8323</v>
      </c>
      <c r="H1825" s="40"/>
      <c r="I1825" s="38" t="s">
        <v>8324</v>
      </c>
      <c r="J1825" s="38" t="s">
        <v>16</v>
      </c>
      <c r="K1825" s="38" t="s">
        <v>8325</v>
      </c>
      <c r="L1825" s="38" t="s">
        <v>43</v>
      </c>
      <c r="M1825" s="37" t="s">
        <v>120</v>
      </c>
      <c r="N1825" s="39" t="n">
        <v>45680</v>
      </c>
      <c r="O1825" s="41" t="s">
        <v>23</v>
      </c>
      <c r="P1825" s="41" t="s">
        <v>105</v>
      </c>
      <c r="Q1825" s="42"/>
      <c r="R1825" s="41"/>
      <c r="S1825" s="42"/>
      <c r="T1825" s="41"/>
    </row>
    <row r="1826" customFormat="false" ht="13.5" hidden="false" customHeight="true" outlineLevel="0" collapsed="false">
      <c r="A1826" s="37" t="n">
        <v>1823</v>
      </c>
      <c r="B1826" s="37" t="n">
        <v>4220</v>
      </c>
      <c r="C1826" s="38" t="s">
        <v>8326</v>
      </c>
      <c r="D1826" s="37" t="s">
        <v>100</v>
      </c>
      <c r="E1826" s="39" t="n">
        <v>26450</v>
      </c>
      <c r="F1826" s="37" t="n">
        <f aca="true">IFERROR(DATEDIF(E1826,TODAY(),"Y"),"")</f>
        <v>54</v>
      </c>
      <c r="G1826" s="40" t="s">
        <v>8327</v>
      </c>
      <c r="H1826" s="40" t="s">
        <v>8328</v>
      </c>
      <c r="I1826" s="38" t="s">
        <v>8329</v>
      </c>
      <c r="J1826" s="38" t="s">
        <v>15</v>
      </c>
      <c r="K1826" s="38" t="s">
        <v>8330</v>
      </c>
      <c r="L1826" s="38" t="s">
        <v>54</v>
      </c>
      <c r="M1826" s="37" t="s">
        <v>177</v>
      </c>
      <c r="N1826" s="39" t="n">
        <v>45681</v>
      </c>
      <c r="O1826" s="41" t="s">
        <v>23</v>
      </c>
      <c r="P1826" s="41" t="s">
        <v>105</v>
      </c>
      <c r="Q1826" s="42"/>
      <c r="R1826" s="41"/>
      <c r="S1826" s="42"/>
      <c r="T1826" s="41"/>
    </row>
    <row r="1827" customFormat="false" ht="13.5" hidden="false" customHeight="true" outlineLevel="0" collapsed="false">
      <c r="A1827" s="37" t="n">
        <v>1824</v>
      </c>
      <c r="B1827" s="37" t="n">
        <v>4221</v>
      </c>
      <c r="C1827" s="38" t="s">
        <v>8331</v>
      </c>
      <c r="D1827" s="37" t="s">
        <v>100</v>
      </c>
      <c r="E1827" s="39" t="n">
        <v>32610</v>
      </c>
      <c r="F1827" s="37" t="n">
        <f aca="true">IFERROR(DATEDIF(E1827,TODAY(),"Y"),"")</f>
        <v>37</v>
      </c>
      <c r="G1827" s="40" t="s">
        <v>8332</v>
      </c>
      <c r="H1827" s="40"/>
      <c r="I1827" s="38" t="s">
        <v>8333</v>
      </c>
      <c r="J1827" s="38" t="s">
        <v>16</v>
      </c>
      <c r="K1827" s="38" t="s">
        <v>8334</v>
      </c>
      <c r="L1827" s="38" t="s">
        <v>48</v>
      </c>
      <c r="M1827" s="37" t="s">
        <v>104</v>
      </c>
      <c r="N1827" s="39" t="n">
        <v>45681</v>
      </c>
      <c r="O1827" s="41" t="s">
        <v>23</v>
      </c>
      <c r="P1827" s="41" t="s">
        <v>105</v>
      </c>
      <c r="Q1827" s="42"/>
      <c r="R1827" s="41"/>
      <c r="S1827" s="42"/>
      <c r="T1827" s="41"/>
    </row>
    <row r="1828" customFormat="false" ht="13.5" hidden="false" customHeight="true" outlineLevel="0" collapsed="false">
      <c r="A1828" s="37" t="n">
        <v>1825</v>
      </c>
      <c r="B1828" s="37" t="n">
        <v>4222</v>
      </c>
      <c r="C1828" s="38" t="s">
        <v>8335</v>
      </c>
      <c r="D1828" s="37" t="s">
        <v>100</v>
      </c>
      <c r="E1828" s="39" t="n">
        <v>29372</v>
      </c>
      <c r="F1828" s="37" t="n">
        <f aca="true">IFERROR(DATEDIF(E1828,TODAY(),"Y"),"")</f>
        <v>46</v>
      </c>
      <c r="G1828" s="40" t="s">
        <v>8336</v>
      </c>
      <c r="H1828" s="40"/>
      <c r="I1828" s="38" t="s">
        <v>8337</v>
      </c>
      <c r="J1828" s="38" t="s">
        <v>16</v>
      </c>
      <c r="K1828" s="38" t="s">
        <v>8338</v>
      </c>
      <c r="L1828" s="38" t="s">
        <v>48</v>
      </c>
      <c r="M1828" s="37" t="s">
        <v>177</v>
      </c>
      <c r="N1828" s="39" t="n">
        <v>45689</v>
      </c>
      <c r="O1828" s="41" t="s">
        <v>23</v>
      </c>
      <c r="P1828" s="41" t="s">
        <v>105</v>
      </c>
      <c r="Q1828" s="42"/>
      <c r="R1828" s="41"/>
      <c r="S1828" s="42"/>
      <c r="T1828" s="41"/>
    </row>
    <row r="1829" customFormat="false" ht="13.5" hidden="false" customHeight="true" outlineLevel="0" collapsed="false">
      <c r="A1829" s="37" t="n">
        <v>1826</v>
      </c>
      <c r="B1829" s="37" t="n">
        <v>4223</v>
      </c>
      <c r="C1829" s="38" t="s">
        <v>8339</v>
      </c>
      <c r="D1829" s="37" t="s">
        <v>100</v>
      </c>
      <c r="E1829" s="39" t="n">
        <v>32703</v>
      </c>
      <c r="F1829" s="37" t="n">
        <f aca="true">IFERROR(DATEDIF(E1829,TODAY(),"Y"),"")</f>
        <v>37</v>
      </c>
      <c r="G1829" s="40" t="s">
        <v>8340</v>
      </c>
      <c r="H1829" s="40" t="s">
        <v>8341</v>
      </c>
      <c r="I1829" s="38" t="s">
        <v>8342</v>
      </c>
      <c r="J1829" s="38" t="s">
        <v>15</v>
      </c>
      <c r="K1829" s="38" t="s">
        <v>8343</v>
      </c>
      <c r="L1829" s="38" t="s">
        <v>43</v>
      </c>
      <c r="M1829" s="37" t="s">
        <v>104</v>
      </c>
      <c r="N1829" s="39" t="n">
        <v>45693</v>
      </c>
      <c r="O1829" s="41" t="s">
        <v>23</v>
      </c>
      <c r="P1829" s="41" t="s">
        <v>105</v>
      </c>
      <c r="Q1829" s="42"/>
      <c r="R1829" s="41"/>
      <c r="S1829" s="42"/>
      <c r="T1829" s="41"/>
    </row>
    <row r="1830" customFormat="false" ht="13.5" hidden="false" customHeight="true" outlineLevel="0" collapsed="false">
      <c r="A1830" s="37" t="n">
        <v>1827</v>
      </c>
      <c r="B1830" s="37" t="n">
        <v>4224</v>
      </c>
      <c r="C1830" s="38" t="s">
        <v>8344</v>
      </c>
      <c r="D1830" s="37" t="s">
        <v>100</v>
      </c>
      <c r="E1830" s="39" t="n">
        <v>29736</v>
      </c>
      <c r="F1830" s="37" t="n">
        <f aca="true">IFERROR(DATEDIF(E1830,TODAY(),"Y"),"")</f>
        <v>45</v>
      </c>
      <c r="G1830" s="40" t="s">
        <v>8345</v>
      </c>
      <c r="H1830" s="40"/>
      <c r="I1830" s="38" t="s">
        <v>8346</v>
      </c>
      <c r="J1830" s="38" t="s">
        <v>15</v>
      </c>
      <c r="K1830" s="38" t="s">
        <v>8347</v>
      </c>
      <c r="L1830" s="38" t="s">
        <v>54</v>
      </c>
      <c r="M1830" s="37" t="s">
        <v>788</v>
      </c>
      <c r="N1830" s="39" t="n">
        <v>45696</v>
      </c>
      <c r="O1830" s="41" t="s">
        <v>23</v>
      </c>
      <c r="P1830" s="41" t="s">
        <v>105</v>
      </c>
      <c r="Q1830" s="42"/>
      <c r="R1830" s="41"/>
      <c r="S1830" s="42"/>
      <c r="T1830" s="41"/>
    </row>
    <row r="1831" customFormat="false" ht="13.5" hidden="false" customHeight="true" outlineLevel="0" collapsed="false">
      <c r="A1831" s="37" t="n">
        <v>1828</v>
      </c>
      <c r="B1831" s="37" t="n">
        <v>4225</v>
      </c>
      <c r="C1831" s="38" t="s">
        <v>8348</v>
      </c>
      <c r="D1831" s="37" t="s">
        <v>100</v>
      </c>
      <c r="E1831" s="39" t="n">
        <v>30461</v>
      </c>
      <c r="F1831" s="37" t="n">
        <f aca="true">IFERROR(DATEDIF(E1831,TODAY(),"Y"),"")</f>
        <v>43</v>
      </c>
      <c r="G1831" s="40" t="s">
        <v>8349</v>
      </c>
      <c r="H1831" s="40"/>
      <c r="I1831" s="38" t="s">
        <v>8350</v>
      </c>
      <c r="J1831" s="38" t="s">
        <v>15</v>
      </c>
      <c r="K1831" s="38" t="s">
        <v>8351</v>
      </c>
      <c r="L1831" s="38" t="s">
        <v>48</v>
      </c>
      <c r="M1831" s="37" t="s">
        <v>177</v>
      </c>
      <c r="N1831" s="39" t="n">
        <v>45696</v>
      </c>
      <c r="O1831" s="41" t="s">
        <v>23</v>
      </c>
      <c r="P1831" s="41" t="s">
        <v>105</v>
      </c>
      <c r="Q1831" s="42"/>
      <c r="R1831" s="41"/>
      <c r="S1831" s="42"/>
      <c r="T1831" s="41"/>
    </row>
    <row r="1832" customFormat="false" ht="13.5" hidden="false" customHeight="true" outlineLevel="0" collapsed="false">
      <c r="A1832" s="37" t="n">
        <v>1829</v>
      </c>
      <c r="B1832" s="37" t="n">
        <v>4227</v>
      </c>
      <c r="C1832" s="38" t="s">
        <v>8352</v>
      </c>
      <c r="D1832" s="37" t="s">
        <v>100</v>
      </c>
      <c r="E1832" s="39" t="n">
        <v>31281</v>
      </c>
      <c r="F1832" s="37" t="n">
        <f aca="true">IFERROR(DATEDIF(E1832,TODAY(),"Y"),"")</f>
        <v>40</v>
      </c>
      <c r="G1832" s="40" t="s">
        <v>8353</v>
      </c>
      <c r="H1832" s="40" t="s">
        <v>8354</v>
      </c>
      <c r="I1832" s="38" t="s">
        <v>8355</v>
      </c>
      <c r="J1832" s="38" t="s">
        <v>15</v>
      </c>
      <c r="K1832" s="38" t="s">
        <v>8356</v>
      </c>
      <c r="L1832" s="38" t="s">
        <v>55</v>
      </c>
      <c r="M1832" s="37" t="s">
        <v>120</v>
      </c>
      <c r="N1832" s="39" t="n">
        <v>45703</v>
      </c>
      <c r="O1832" s="41" t="s">
        <v>23</v>
      </c>
      <c r="P1832" s="41" t="s">
        <v>105</v>
      </c>
      <c r="Q1832" s="42"/>
      <c r="R1832" s="41"/>
      <c r="S1832" s="42"/>
      <c r="T1832" s="41"/>
    </row>
    <row r="1833" customFormat="false" ht="13.5" hidden="false" customHeight="true" outlineLevel="0" collapsed="false">
      <c r="A1833" s="37" t="n">
        <v>1830</v>
      </c>
      <c r="B1833" s="37" t="n">
        <v>4228</v>
      </c>
      <c r="C1833" s="38" t="s">
        <v>8357</v>
      </c>
      <c r="D1833" s="37" t="s">
        <v>100</v>
      </c>
      <c r="E1833" s="39" t="n">
        <v>33935</v>
      </c>
      <c r="F1833" s="37" t="n">
        <f aca="true">IFERROR(DATEDIF(E1833,TODAY(),"Y"),"")</f>
        <v>33</v>
      </c>
      <c r="G1833" s="40" t="s">
        <v>8358</v>
      </c>
      <c r="H1833" s="40"/>
      <c r="I1833" s="38" t="s">
        <v>8359</v>
      </c>
      <c r="J1833" s="38"/>
      <c r="K1833" s="38" t="s">
        <v>8360</v>
      </c>
      <c r="L1833" s="38" t="s">
        <v>47</v>
      </c>
      <c r="M1833" s="37"/>
      <c r="N1833" s="39" t="n">
        <v>45709</v>
      </c>
      <c r="O1833" s="41" t="s">
        <v>23</v>
      </c>
      <c r="P1833" s="41" t="s">
        <v>105</v>
      </c>
      <c r="Q1833" s="42"/>
      <c r="R1833" s="41"/>
      <c r="S1833" s="42"/>
      <c r="T1833" s="41"/>
    </row>
    <row r="1834" customFormat="false" ht="13.5" hidden="false" customHeight="true" outlineLevel="0" collapsed="false">
      <c r="A1834" s="37" t="n">
        <v>1831</v>
      </c>
      <c r="B1834" s="37" t="n">
        <v>4229</v>
      </c>
      <c r="C1834" s="38" t="s">
        <v>8361</v>
      </c>
      <c r="D1834" s="37" t="s">
        <v>100</v>
      </c>
      <c r="E1834" s="39" t="n">
        <v>26657</v>
      </c>
      <c r="F1834" s="37" t="n">
        <f aca="true">IFERROR(DATEDIF(E1834,TODAY(),"Y"),"")</f>
        <v>53</v>
      </c>
      <c r="G1834" s="40" t="s">
        <v>8362</v>
      </c>
      <c r="H1834" s="40"/>
      <c r="I1834" s="38" t="s">
        <v>8363</v>
      </c>
      <c r="J1834" s="38" t="s">
        <v>16</v>
      </c>
      <c r="K1834" s="38" t="s">
        <v>8364</v>
      </c>
      <c r="L1834" s="38" t="s">
        <v>49</v>
      </c>
      <c r="M1834" s="37" t="s">
        <v>104</v>
      </c>
      <c r="N1834" s="39" t="n">
        <v>45712</v>
      </c>
      <c r="O1834" s="41" t="s">
        <v>23</v>
      </c>
      <c r="P1834" s="41" t="s">
        <v>105</v>
      </c>
      <c r="Q1834" s="42"/>
      <c r="R1834" s="41"/>
      <c r="S1834" s="42"/>
      <c r="T1834" s="41"/>
    </row>
    <row r="1835" customFormat="false" ht="13.5" hidden="false" customHeight="true" outlineLevel="0" collapsed="false">
      <c r="A1835" s="37" t="n">
        <v>1832</v>
      </c>
      <c r="B1835" s="37" t="n">
        <v>4230</v>
      </c>
      <c r="C1835" s="38" t="s">
        <v>8365</v>
      </c>
      <c r="D1835" s="37" t="s">
        <v>100</v>
      </c>
      <c r="E1835" s="39" t="n">
        <v>24586</v>
      </c>
      <c r="F1835" s="37" t="n">
        <f aca="true">IFERROR(DATEDIF(E1835,TODAY(),"Y"),"")</f>
        <v>59</v>
      </c>
      <c r="G1835" s="40" t="s">
        <v>8366</v>
      </c>
      <c r="H1835" s="40"/>
      <c r="I1835" s="38" t="s">
        <v>8367</v>
      </c>
      <c r="J1835" s="38" t="s">
        <v>15</v>
      </c>
      <c r="K1835" s="38" t="s">
        <v>8368</v>
      </c>
      <c r="L1835" s="38" t="s">
        <v>53</v>
      </c>
      <c r="M1835" s="37" t="s">
        <v>231</v>
      </c>
      <c r="N1835" s="39" t="n">
        <v>45713</v>
      </c>
      <c r="O1835" s="41" t="s">
        <v>23</v>
      </c>
      <c r="P1835" s="41" t="s">
        <v>105</v>
      </c>
      <c r="Q1835" s="42"/>
      <c r="R1835" s="41"/>
      <c r="S1835" s="42"/>
      <c r="T1835" s="41"/>
    </row>
    <row r="1836" customFormat="false" ht="13.5" hidden="false" customHeight="true" outlineLevel="0" collapsed="false">
      <c r="A1836" s="37" t="n">
        <v>1833</v>
      </c>
      <c r="B1836" s="37" t="n">
        <v>4231</v>
      </c>
      <c r="C1836" s="38" t="s">
        <v>8369</v>
      </c>
      <c r="D1836" s="37" t="s">
        <v>100</v>
      </c>
      <c r="E1836" s="39" t="n">
        <v>32280</v>
      </c>
      <c r="F1836" s="37" t="n">
        <f aca="true">IFERROR(DATEDIF(E1836,TODAY(),"Y"),"")</f>
        <v>38</v>
      </c>
      <c r="G1836" s="40" t="s">
        <v>8370</v>
      </c>
      <c r="H1836" s="40"/>
      <c r="I1836" s="38" t="s">
        <v>8371</v>
      </c>
      <c r="J1836" s="38" t="s">
        <v>18</v>
      </c>
      <c r="K1836" s="38" t="s">
        <v>8372</v>
      </c>
      <c r="L1836" s="38" t="s">
        <v>48</v>
      </c>
      <c r="M1836" s="37" t="s">
        <v>104</v>
      </c>
      <c r="N1836" s="39" t="n">
        <v>45724</v>
      </c>
      <c r="O1836" s="41" t="s">
        <v>23</v>
      </c>
      <c r="P1836" s="41" t="s">
        <v>105</v>
      </c>
      <c r="Q1836" s="42"/>
      <c r="R1836" s="41"/>
      <c r="S1836" s="42"/>
      <c r="T1836" s="41"/>
    </row>
    <row r="1837" customFormat="false" ht="13.5" hidden="false" customHeight="true" outlineLevel="0" collapsed="false">
      <c r="A1837" s="37" t="n">
        <v>1834</v>
      </c>
      <c r="B1837" s="37" t="n">
        <v>4232</v>
      </c>
      <c r="C1837" s="38" t="s">
        <v>8373</v>
      </c>
      <c r="D1837" s="37" t="s">
        <v>100</v>
      </c>
      <c r="E1837" s="39" t="n">
        <v>32794</v>
      </c>
      <c r="F1837" s="37" t="n">
        <f aca="true">IFERROR(DATEDIF(E1837,TODAY(),"Y"),"")</f>
        <v>36</v>
      </c>
      <c r="G1837" s="40" t="s">
        <v>8374</v>
      </c>
      <c r="H1837" s="40" t="s">
        <v>8375</v>
      </c>
      <c r="I1837" s="38"/>
      <c r="J1837" s="38" t="s">
        <v>16</v>
      </c>
      <c r="K1837" s="38" t="s">
        <v>8376</v>
      </c>
      <c r="L1837" s="38" t="s">
        <v>50</v>
      </c>
      <c r="M1837" s="37"/>
      <c r="N1837" s="39" t="n">
        <v>45726</v>
      </c>
      <c r="O1837" s="41" t="s">
        <v>23</v>
      </c>
      <c r="P1837" s="41" t="s">
        <v>105</v>
      </c>
      <c r="Q1837" s="42"/>
      <c r="R1837" s="41"/>
      <c r="S1837" s="42"/>
      <c r="T1837" s="41"/>
    </row>
    <row r="1838" customFormat="false" ht="13.5" hidden="false" customHeight="true" outlineLevel="0" collapsed="false">
      <c r="A1838" s="37" t="n">
        <v>1835</v>
      </c>
      <c r="B1838" s="37" t="n">
        <v>4233</v>
      </c>
      <c r="C1838" s="38" t="s">
        <v>8377</v>
      </c>
      <c r="D1838" s="37" t="s">
        <v>100</v>
      </c>
      <c r="E1838" s="39" t="n">
        <v>32212</v>
      </c>
      <c r="F1838" s="37" t="n">
        <f aca="true">IFERROR(DATEDIF(E1838,TODAY(),"Y"),"")</f>
        <v>38</v>
      </c>
      <c r="G1838" s="40" t="s">
        <v>8378</v>
      </c>
      <c r="H1838" s="40" t="s">
        <v>8379</v>
      </c>
      <c r="I1838" s="38" t="s">
        <v>8380</v>
      </c>
      <c r="J1838" s="38" t="s">
        <v>15</v>
      </c>
      <c r="K1838" s="38" t="s">
        <v>8381</v>
      </c>
      <c r="L1838" s="38" t="s">
        <v>48</v>
      </c>
      <c r="M1838" s="37" t="s">
        <v>120</v>
      </c>
      <c r="N1838" s="39" t="n">
        <v>45740</v>
      </c>
      <c r="O1838" s="41" t="s">
        <v>23</v>
      </c>
      <c r="P1838" s="41" t="s">
        <v>105</v>
      </c>
      <c r="Q1838" s="42"/>
      <c r="R1838" s="41"/>
      <c r="S1838" s="42"/>
      <c r="T1838" s="41"/>
    </row>
    <row r="1839" customFormat="false" ht="13.5" hidden="false" customHeight="true" outlineLevel="0" collapsed="false">
      <c r="A1839" s="37" t="n">
        <v>1836</v>
      </c>
      <c r="B1839" s="37" t="n">
        <v>4234</v>
      </c>
      <c r="C1839" s="38" t="s">
        <v>8382</v>
      </c>
      <c r="D1839" s="37" t="s">
        <v>100</v>
      </c>
      <c r="E1839" s="39" t="n">
        <v>30082</v>
      </c>
      <c r="F1839" s="37" t="n">
        <f aca="true">IFERROR(DATEDIF(E1839,TODAY(),"Y"),"")</f>
        <v>44</v>
      </c>
      <c r="G1839" s="40" t="s">
        <v>8383</v>
      </c>
      <c r="H1839" s="40" t="s">
        <v>8384</v>
      </c>
      <c r="I1839" s="38" t="s">
        <v>8385</v>
      </c>
      <c r="J1839" s="38"/>
      <c r="K1839" s="38" t="s">
        <v>8386</v>
      </c>
      <c r="L1839" s="38" t="s">
        <v>46</v>
      </c>
      <c r="M1839" s="37" t="s">
        <v>177</v>
      </c>
      <c r="N1839" s="39" t="n">
        <v>45744</v>
      </c>
      <c r="O1839" s="41" t="s">
        <v>23</v>
      </c>
      <c r="P1839" s="41" t="s">
        <v>105</v>
      </c>
      <c r="Q1839" s="42"/>
      <c r="R1839" s="41"/>
      <c r="S1839" s="42"/>
      <c r="T1839" s="41"/>
    </row>
    <row r="1840" customFormat="false" ht="13.5" hidden="false" customHeight="true" outlineLevel="0" collapsed="false">
      <c r="A1840" s="37" t="n">
        <v>1837</v>
      </c>
      <c r="B1840" s="37" t="n">
        <v>4235</v>
      </c>
      <c r="C1840" s="38" t="s">
        <v>8387</v>
      </c>
      <c r="D1840" s="37" t="s">
        <v>100</v>
      </c>
      <c r="E1840" s="39" t="n">
        <v>28515</v>
      </c>
      <c r="F1840" s="37" t="n">
        <f aca="true">IFERROR(DATEDIF(E1840,TODAY(),"Y"),"")</f>
        <v>48</v>
      </c>
      <c r="G1840" s="40" t="s">
        <v>8388</v>
      </c>
      <c r="H1840" s="40"/>
      <c r="I1840" s="38" t="s">
        <v>8389</v>
      </c>
      <c r="J1840" s="38"/>
      <c r="K1840" s="38" t="s">
        <v>8390</v>
      </c>
      <c r="L1840" s="38" t="s">
        <v>46</v>
      </c>
      <c r="M1840" s="37" t="s">
        <v>120</v>
      </c>
      <c r="N1840" s="39" t="n">
        <v>45749</v>
      </c>
      <c r="O1840" s="41" t="s">
        <v>23</v>
      </c>
      <c r="P1840" s="41" t="s">
        <v>105</v>
      </c>
      <c r="Q1840" s="42"/>
      <c r="R1840" s="41"/>
      <c r="S1840" s="42"/>
      <c r="T1840" s="41"/>
    </row>
    <row r="1841" customFormat="false" ht="13.5" hidden="false" customHeight="true" outlineLevel="0" collapsed="false">
      <c r="A1841" s="37" t="n">
        <v>1838</v>
      </c>
      <c r="B1841" s="37" t="n">
        <v>4236</v>
      </c>
      <c r="C1841" s="38" t="s">
        <v>8391</v>
      </c>
      <c r="D1841" s="37" t="s">
        <v>100</v>
      </c>
      <c r="E1841" s="39" t="n">
        <v>31876</v>
      </c>
      <c r="F1841" s="37" t="n">
        <f aca="true">IFERROR(DATEDIF(E1841,TODAY(),"Y"),"")</f>
        <v>39</v>
      </c>
      <c r="G1841" s="40" t="s">
        <v>8392</v>
      </c>
      <c r="H1841" s="40"/>
      <c r="I1841" s="38" t="s">
        <v>8393</v>
      </c>
      <c r="J1841" s="38"/>
      <c r="K1841" s="38" t="s">
        <v>8394</v>
      </c>
      <c r="L1841" s="38" t="s">
        <v>43</v>
      </c>
      <c r="M1841" s="37" t="s">
        <v>120</v>
      </c>
      <c r="N1841" s="39" t="n">
        <v>45750</v>
      </c>
      <c r="O1841" s="41" t="s">
        <v>23</v>
      </c>
      <c r="P1841" s="41" t="s">
        <v>105</v>
      </c>
      <c r="Q1841" s="42"/>
      <c r="R1841" s="41"/>
      <c r="S1841" s="42"/>
      <c r="T1841" s="41"/>
    </row>
    <row r="1842" customFormat="false" ht="13.5" hidden="false" customHeight="true" outlineLevel="0" collapsed="false">
      <c r="A1842" s="37" t="n">
        <v>1839</v>
      </c>
      <c r="B1842" s="37" t="n">
        <v>4237</v>
      </c>
      <c r="C1842" s="38" t="s">
        <v>8395</v>
      </c>
      <c r="D1842" s="37" t="s">
        <v>100</v>
      </c>
      <c r="E1842" s="39" t="n">
        <v>27180</v>
      </c>
      <c r="F1842" s="37" t="n">
        <f aca="true">IFERROR(DATEDIF(E1842,TODAY(),"Y"),"")</f>
        <v>52</v>
      </c>
      <c r="G1842" s="40" t="s">
        <v>8396</v>
      </c>
      <c r="H1842" s="40"/>
      <c r="I1842" s="38" t="s">
        <v>8397</v>
      </c>
      <c r="J1842" s="38"/>
      <c r="K1842" s="38" t="s">
        <v>8398</v>
      </c>
      <c r="L1842" s="38" t="s">
        <v>48</v>
      </c>
      <c r="M1842" s="37" t="s">
        <v>231</v>
      </c>
      <c r="N1842" s="39" t="n">
        <v>45750</v>
      </c>
      <c r="O1842" s="41" t="s">
        <v>23</v>
      </c>
      <c r="P1842" s="41" t="s">
        <v>105</v>
      </c>
      <c r="Q1842" s="42"/>
      <c r="R1842" s="41"/>
      <c r="S1842" s="42"/>
      <c r="T1842" s="41"/>
    </row>
    <row r="1843" customFormat="false" ht="13.5" hidden="false" customHeight="true" outlineLevel="0" collapsed="false">
      <c r="A1843" s="37" t="n">
        <v>1840</v>
      </c>
      <c r="B1843" s="37" t="n">
        <v>4238</v>
      </c>
      <c r="C1843" s="38" t="s">
        <v>8399</v>
      </c>
      <c r="D1843" s="37" t="s">
        <v>100</v>
      </c>
      <c r="E1843" s="39" t="n">
        <v>27489</v>
      </c>
      <c r="F1843" s="37" t="n">
        <f aca="true">IFERROR(DATEDIF(E1843,TODAY(),"Y"),"")</f>
        <v>51</v>
      </c>
      <c r="G1843" s="40" t="s">
        <v>8400</v>
      </c>
      <c r="H1843" s="40"/>
      <c r="I1843" s="38" t="s">
        <v>8401</v>
      </c>
      <c r="J1843" s="38"/>
      <c r="K1843" s="38" t="s">
        <v>8402</v>
      </c>
      <c r="L1843" s="38" t="s">
        <v>54</v>
      </c>
      <c r="M1843" s="37" t="s">
        <v>104</v>
      </c>
      <c r="N1843" s="39" t="n">
        <v>45750</v>
      </c>
      <c r="O1843" s="41" t="s">
        <v>23</v>
      </c>
      <c r="P1843" s="41" t="s">
        <v>105</v>
      </c>
      <c r="Q1843" s="42"/>
      <c r="R1843" s="41"/>
      <c r="S1843" s="42"/>
      <c r="T1843" s="41"/>
    </row>
    <row r="1844" customFormat="false" ht="13.5" hidden="false" customHeight="true" outlineLevel="0" collapsed="false">
      <c r="A1844" s="37" t="n">
        <v>1841</v>
      </c>
      <c r="B1844" s="37" t="n">
        <v>4239</v>
      </c>
      <c r="C1844" s="38" t="s">
        <v>8403</v>
      </c>
      <c r="D1844" s="37" t="s">
        <v>100</v>
      </c>
      <c r="E1844" s="39" t="n">
        <v>28992</v>
      </c>
      <c r="F1844" s="37" t="n">
        <f aca="true">IFERROR(DATEDIF(E1844,TODAY(),"Y"),"")</f>
        <v>47</v>
      </c>
      <c r="G1844" s="40" t="s">
        <v>8404</v>
      </c>
      <c r="H1844" s="40"/>
      <c r="I1844" s="38" t="s">
        <v>8405</v>
      </c>
      <c r="J1844" s="38" t="s">
        <v>16</v>
      </c>
      <c r="K1844" s="38" t="s">
        <v>8406</v>
      </c>
      <c r="L1844" s="38" t="s">
        <v>53</v>
      </c>
      <c r="M1844" s="37" t="s">
        <v>177</v>
      </c>
      <c r="N1844" s="39" t="n">
        <v>45751</v>
      </c>
      <c r="O1844" s="41" t="s">
        <v>23</v>
      </c>
      <c r="P1844" s="41" t="s">
        <v>105</v>
      </c>
      <c r="Q1844" s="42"/>
      <c r="R1844" s="41"/>
      <c r="S1844" s="42"/>
      <c r="T1844" s="41"/>
    </row>
    <row r="1845" customFormat="false" ht="13.5" hidden="false" customHeight="true" outlineLevel="0" collapsed="false">
      <c r="A1845" s="37" t="n">
        <v>1842</v>
      </c>
      <c r="B1845" s="37" t="n">
        <v>4240</v>
      </c>
      <c r="C1845" s="38" t="s">
        <v>8407</v>
      </c>
      <c r="D1845" s="37" t="s">
        <v>100</v>
      </c>
      <c r="E1845" s="39" t="n">
        <v>30480</v>
      </c>
      <c r="F1845" s="37" t="n">
        <f aca="true">IFERROR(DATEDIF(E1845,TODAY(),"Y"),"")</f>
        <v>43</v>
      </c>
      <c r="G1845" s="40" t="s">
        <v>8408</v>
      </c>
      <c r="H1845" s="40"/>
      <c r="I1845" s="38" t="s">
        <v>8409</v>
      </c>
      <c r="J1845" s="38"/>
      <c r="K1845" s="38" t="s">
        <v>8410</v>
      </c>
      <c r="L1845" s="38" t="s">
        <v>49</v>
      </c>
      <c r="M1845" s="37" t="s">
        <v>120</v>
      </c>
      <c r="N1845" s="39" t="n">
        <v>45787</v>
      </c>
      <c r="O1845" s="41" t="s">
        <v>23</v>
      </c>
      <c r="P1845" s="41" t="s">
        <v>105</v>
      </c>
      <c r="Q1845" s="42"/>
      <c r="R1845" s="41"/>
      <c r="S1845" s="42"/>
      <c r="T1845" s="41"/>
    </row>
    <row r="1846" customFormat="false" ht="13.5" hidden="false" customHeight="true" outlineLevel="0" collapsed="false">
      <c r="A1846" s="37" t="n">
        <v>1843</v>
      </c>
      <c r="B1846" s="37" t="n">
        <v>4241</v>
      </c>
      <c r="C1846" s="38" t="s">
        <v>8411</v>
      </c>
      <c r="D1846" s="37" t="s">
        <v>100</v>
      </c>
      <c r="E1846" s="39" t="n">
        <v>29007</v>
      </c>
      <c r="F1846" s="37" t="n">
        <f aca="true">IFERROR(DATEDIF(E1846,TODAY(),"Y"),"")</f>
        <v>47</v>
      </c>
      <c r="G1846" s="40" t="s">
        <v>8412</v>
      </c>
      <c r="H1846" s="40"/>
      <c r="I1846" s="38" t="s">
        <v>8413</v>
      </c>
      <c r="J1846" s="38"/>
      <c r="K1846" s="38" t="s">
        <v>8414</v>
      </c>
      <c r="L1846" s="38" t="s">
        <v>55</v>
      </c>
      <c r="M1846" s="37" t="s">
        <v>231</v>
      </c>
      <c r="N1846" s="39" t="n">
        <v>45787</v>
      </c>
      <c r="O1846" s="41" t="s">
        <v>23</v>
      </c>
      <c r="P1846" s="41" t="s">
        <v>105</v>
      </c>
      <c r="Q1846" s="42"/>
      <c r="R1846" s="41"/>
      <c r="S1846" s="42"/>
      <c r="T1846" s="41"/>
    </row>
    <row r="1847" customFormat="false" ht="13.5" hidden="false" customHeight="true" outlineLevel="0" collapsed="false">
      <c r="A1847" s="37" t="n">
        <v>1844</v>
      </c>
      <c r="B1847" s="37" t="n">
        <v>4242</v>
      </c>
      <c r="C1847" s="38" t="s">
        <v>8415</v>
      </c>
      <c r="D1847" s="37" t="s">
        <v>100</v>
      </c>
      <c r="E1847" s="39" t="n">
        <v>30811</v>
      </c>
      <c r="F1847" s="37" t="n">
        <f aca="true">IFERROR(DATEDIF(E1847,TODAY(),"Y"),"")</f>
        <v>42</v>
      </c>
      <c r="G1847" s="40" t="s">
        <v>8416</v>
      </c>
      <c r="H1847" s="40"/>
      <c r="I1847" s="38" t="s">
        <v>8417</v>
      </c>
      <c r="J1847" s="38"/>
      <c r="K1847" s="38" t="s">
        <v>8418</v>
      </c>
      <c r="L1847" s="38" t="s">
        <v>43</v>
      </c>
      <c r="M1847" s="37" t="s">
        <v>177</v>
      </c>
      <c r="N1847" s="39" t="n">
        <v>45789</v>
      </c>
      <c r="O1847" s="41" t="s">
        <v>23</v>
      </c>
      <c r="P1847" s="41" t="s">
        <v>105</v>
      </c>
      <c r="Q1847" s="42"/>
      <c r="R1847" s="41"/>
      <c r="S1847" s="42"/>
      <c r="T1847" s="41"/>
    </row>
    <row r="1848" customFormat="false" ht="13.5" hidden="false" customHeight="true" outlineLevel="0" collapsed="false">
      <c r="A1848" s="37" t="n">
        <v>1845</v>
      </c>
      <c r="B1848" s="37" t="n">
        <v>4243</v>
      </c>
      <c r="C1848" s="38" t="s">
        <v>8419</v>
      </c>
      <c r="D1848" s="37" t="s">
        <v>100</v>
      </c>
      <c r="E1848" s="39" t="n">
        <v>30096</v>
      </c>
      <c r="F1848" s="37" t="n">
        <f aca="true">IFERROR(DATEDIF(E1848,TODAY(),"Y"),"")</f>
        <v>44</v>
      </c>
      <c r="G1848" s="40" t="s">
        <v>8420</v>
      </c>
      <c r="H1848" s="40"/>
      <c r="I1848" s="38" t="s">
        <v>8421</v>
      </c>
      <c r="J1848" s="38" t="s">
        <v>16</v>
      </c>
      <c r="K1848" s="38" t="s">
        <v>8422</v>
      </c>
      <c r="L1848" s="38" t="s">
        <v>54</v>
      </c>
      <c r="M1848" s="37" t="s">
        <v>104</v>
      </c>
      <c r="N1848" s="39" t="n">
        <v>45792</v>
      </c>
      <c r="O1848" s="41" t="s">
        <v>23</v>
      </c>
      <c r="P1848" s="41" t="s">
        <v>105</v>
      </c>
      <c r="Q1848" s="42"/>
      <c r="R1848" s="41"/>
      <c r="S1848" s="42"/>
      <c r="T1848" s="41"/>
    </row>
    <row r="1849" customFormat="false" ht="13.5" hidden="false" customHeight="true" outlineLevel="0" collapsed="false">
      <c r="A1849" s="37" t="n">
        <v>1846</v>
      </c>
      <c r="B1849" s="37" t="n">
        <v>4244</v>
      </c>
      <c r="C1849" s="38" t="s">
        <v>8423</v>
      </c>
      <c r="D1849" s="37" t="s">
        <v>100</v>
      </c>
      <c r="E1849" s="39" t="n">
        <v>31094</v>
      </c>
      <c r="F1849" s="37" t="n">
        <f aca="true">IFERROR(DATEDIF(E1849,TODAY(),"Y"),"")</f>
        <v>41</v>
      </c>
      <c r="G1849" s="40" t="s">
        <v>8424</v>
      </c>
      <c r="H1849" s="40"/>
      <c r="I1849" s="38" t="s">
        <v>8425</v>
      </c>
      <c r="J1849" s="38"/>
      <c r="K1849" s="38" t="s">
        <v>8426</v>
      </c>
      <c r="L1849" s="38" t="s">
        <v>48</v>
      </c>
      <c r="M1849" s="37" t="s">
        <v>120</v>
      </c>
      <c r="N1849" s="39" t="n">
        <v>45811</v>
      </c>
      <c r="O1849" s="41" t="s">
        <v>23</v>
      </c>
      <c r="P1849" s="41" t="s">
        <v>105</v>
      </c>
      <c r="Q1849" s="42"/>
      <c r="R1849" s="41"/>
      <c r="S1849" s="42"/>
      <c r="T1849" s="41"/>
    </row>
    <row r="1850" customFormat="false" ht="13.5" hidden="false" customHeight="true" outlineLevel="0" collapsed="false">
      <c r="A1850" s="37" t="n">
        <v>1847</v>
      </c>
      <c r="B1850" s="37" t="n">
        <v>4245</v>
      </c>
      <c r="C1850" s="38" t="s">
        <v>8427</v>
      </c>
      <c r="D1850" s="37" t="s">
        <v>100</v>
      </c>
      <c r="E1850" s="39" t="n">
        <v>28605</v>
      </c>
      <c r="F1850" s="37" t="n">
        <f aca="true">IFERROR(DATEDIF(E1850,TODAY(),"Y"),"")</f>
        <v>48</v>
      </c>
      <c r="G1850" s="40" t="s">
        <v>8428</v>
      </c>
      <c r="H1850" s="40" t="s">
        <v>8429</v>
      </c>
      <c r="I1850" s="38" t="s">
        <v>8430</v>
      </c>
      <c r="J1850" s="38"/>
      <c r="K1850" s="38" t="s">
        <v>8431</v>
      </c>
      <c r="L1850" s="38" t="s">
        <v>51</v>
      </c>
      <c r="M1850" s="37" t="s">
        <v>104</v>
      </c>
      <c r="N1850" s="39" t="n">
        <v>45818</v>
      </c>
      <c r="O1850" s="41" t="s">
        <v>23</v>
      </c>
      <c r="P1850" s="41" t="s">
        <v>105</v>
      </c>
      <c r="Q1850" s="42"/>
      <c r="R1850" s="41"/>
      <c r="S1850" s="42"/>
      <c r="T1850" s="41"/>
    </row>
    <row r="1851" customFormat="false" ht="13.5" hidden="false" customHeight="true" outlineLevel="0" collapsed="false">
      <c r="A1851" s="37" t="n">
        <v>1848</v>
      </c>
      <c r="B1851" s="37" t="n">
        <v>4246</v>
      </c>
      <c r="C1851" s="38" t="s">
        <v>8432</v>
      </c>
      <c r="D1851" s="37" t="s">
        <v>100</v>
      </c>
      <c r="E1851" s="39" t="n">
        <v>36099</v>
      </c>
      <c r="F1851" s="37" t="n">
        <f aca="true">IFERROR(DATEDIF(E1851,TODAY(),"Y"),"")</f>
        <v>27</v>
      </c>
      <c r="G1851" s="40" t="s">
        <v>8433</v>
      </c>
      <c r="H1851" s="40"/>
      <c r="I1851" s="38" t="s">
        <v>8434</v>
      </c>
      <c r="J1851" s="38"/>
      <c r="K1851" s="38" t="s">
        <v>8435</v>
      </c>
      <c r="L1851" s="38" t="s">
        <v>48</v>
      </c>
      <c r="M1851" s="37" t="s">
        <v>177</v>
      </c>
      <c r="N1851" s="39" t="n">
        <v>45818</v>
      </c>
      <c r="O1851" s="41" t="s">
        <v>23</v>
      </c>
      <c r="P1851" s="41" t="s">
        <v>105</v>
      </c>
      <c r="Q1851" s="42"/>
      <c r="R1851" s="41"/>
      <c r="S1851" s="42"/>
      <c r="T1851" s="41"/>
    </row>
    <row r="1852" customFormat="false" ht="13.5" hidden="false" customHeight="true" outlineLevel="0" collapsed="false">
      <c r="A1852" s="37" t="n">
        <v>1849</v>
      </c>
      <c r="B1852" s="37" t="n">
        <v>4247</v>
      </c>
      <c r="C1852" s="38" t="s">
        <v>8436</v>
      </c>
      <c r="D1852" s="37" t="s">
        <v>100</v>
      </c>
      <c r="E1852" s="39" t="n">
        <v>27170</v>
      </c>
      <c r="F1852" s="37" t="n">
        <f aca="true">IFERROR(DATEDIF(E1852,TODAY(),"Y"),"")</f>
        <v>52</v>
      </c>
      <c r="G1852" s="40" t="s">
        <v>8437</v>
      </c>
      <c r="H1852" s="40" t="s">
        <v>8438</v>
      </c>
      <c r="I1852" s="38" t="s">
        <v>8439</v>
      </c>
      <c r="J1852" s="38" t="s">
        <v>16</v>
      </c>
      <c r="K1852" s="38" t="s">
        <v>8440</v>
      </c>
      <c r="L1852" s="38" t="s">
        <v>54</v>
      </c>
      <c r="M1852" s="37" t="s">
        <v>120</v>
      </c>
      <c r="N1852" s="39" t="n">
        <v>45820</v>
      </c>
      <c r="O1852" s="41" t="s">
        <v>23</v>
      </c>
      <c r="P1852" s="41" t="s">
        <v>105</v>
      </c>
      <c r="Q1852" s="42"/>
      <c r="R1852" s="41"/>
      <c r="S1852" s="42"/>
      <c r="T1852" s="41"/>
    </row>
    <row r="1853" customFormat="false" ht="13.5" hidden="false" customHeight="true" outlineLevel="0" collapsed="false">
      <c r="A1853" s="37" t="n">
        <v>1850</v>
      </c>
      <c r="B1853" s="37" t="n">
        <v>4248</v>
      </c>
      <c r="C1853" s="38" t="s">
        <v>8441</v>
      </c>
      <c r="D1853" s="37" t="s">
        <v>100</v>
      </c>
      <c r="E1853" s="39" t="n">
        <v>28629</v>
      </c>
      <c r="F1853" s="37" t="n">
        <f aca="true">IFERROR(DATEDIF(E1853,TODAY(),"Y"),"")</f>
        <v>48</v>
      </c>
      <c r="G1853" s="40" t="s">
        <v>8442</v>
      </c>
      <c r="H1853" s="40"/>
      <c r="I1853" s="38" t="s">
        <v>8443</v>
      </c>
      <c r="J1853" s="38"/>
      <c r="K1853" s="38" t="s">
        <v>8444</v>
      </c>
      <c r="L1853" s="38" t="s">
        <v>47</v>
      </c>
      <c r="M1853" s="37"/>
      <c r="N1853" s="39" t="n">
        <v>45826</v>
      </c>
      <c r="O1853" s="41" t="s">
        <v>23</v>
      </c>
      <c r="P1853" s="41" t="s">
        <v>105</v>
      </c>
      <c r="Q1853" s="42"/>
      <c r="R1853" s="41"/>
      <c r="S1853" s="42"/>
      <c r="T1853" s="41"/>
    </row>
    <row r="1854" customFormat="false" ht="13.5" hidden="false" customHeight="true" outlineLevel="0" collapsed="false">
      <c r="A1854" s="37" t="n">
        <v>1851</v>
      </c>
      <c r="B1854" s="37" t="n">
        <v>4249</v>
      </c>
      <c r="C1854" s="38" t="s">
        <v>8445</v>
      </c>
      <c r="D1854" s="37" t="s">
        <v>100</v>
      </c>
      <c r="E1854" s="39" t="n">
        <v>27907</v>
      </c>
      <c r="F1854" s="37" t="n">
        <f aca="true">IFERROR(DATEDIF(E1854,TODAY(),"Y"),"")</f>
        <v>50</v>
      </c>
      <c r="G1854" s="40" t="s">
        <v>8446</v>
      </c>
      <c r="H1854" s="40"/>
      <c r="I1854" s="38" t="s">
        <v>8447</v>
      </c>
      <c r="J1854" s="38"/>
      <c r="K1854" s="38" t="s">
        <v>8448</v>
      </c>
      <c r="L1854" s="38" t="s">
        <v>46</v>
      </c>
      <c r="M1854" s="37"/>
      <c r="N1854" s="39" t="n">
        <v>45826</v>
      </c>
      <c r="O1854" s="41" t="s">
        <v>23</v>
      </c>
      <c r="P1854" s="41" t="s">
        <v>105</v>
      </c>
      <c r="Q1854" s="42"/>
      <c r="R1854" s="41"/>
      <c r="S1854" s="42"/>
      <c r="T1854" s="41"/>
    </row>
    <row r="1855" customFormat="false" ht="13.5" hidden="false" customHeight="true" outlineLevel="0" collapsed="false">
      <c r="A1855" s="37" t="n">
        <v>1852</v>
      </c>
      <c r="B1855" s="37" t="n">
        <v>4250</v>
      </c>
      <c r="C1855" s="38" t="s">
        <v>8449</v>
      </c>
      <c r="D1855" s="37" t="s">
        <v>100</v>
      </c>
      <c r="E1855" s="39" t="n">
        <v>30227</v>
      </c>
      <c r="F1855" s="37" t="n">
        <f aca="true">IFERROR(DATEDIF(E1855,TODAY(),"Y"),"")</f>
        <v>43</v>
      </c>
      <c r="G1855" s="40" t="s">
        <v>8450</v>
      </c>
      <c r="H1855" s="40" t="s">
        <v>8451</v>
      </c>
      <c r="I1855" s="38" t="s">
        <v>8452</v>
      </c>
      <c r="J1855" s="38"/>
      <c r="K1855" s="38" t="s">
        <v>8453</v>
      </c>
      <c r="L1855" s="38" t="s">
        <v>43</v>
      </c>
      <c r="M1855" s="37" t="s">
        <v>104</v>
      </c>
      <c r="N1855" s="39" t="n">
        <v>45834</v>
      </c>
      <c r="O1855" s="41" t="s">
        <v>23</v>
      </c>
      <c r="P1855" s="41" t="s">
        <v>105</v>
      </c>
      <c r="Q1855" s="42"/>
      <c r="R1855" s="41"/>
      <c r="S1855" s="42"/>
      <c r="T1855" s="41"/>
    </row>
    <row r="1856" customFormat="false" ht="13.5" hidden="false" customHeight="true" outlineLevel="0" collapsed="false">
      <c r="A1856" s="37" t="n">
        <v>1853</v>
      </c>
      <c r="B1856" s="37" t="n">
        <v>4251</v>
      </c>
      <c r="C1856" s="38" t="s">
        <v>8454</v>
      </c>
      <c r="D1856" s="37" t="s">
        <v>100</v>
      </c>
      <c r="E1856" s="39" t="n">
        <v>26815</v>
      </c>
      <c r="F1856" s="37" t="n">
        <f aca="true">IFERROR(DATEDIF(E1856,TODAY(),"Y"),"")</f>
        <v>53</v>
      </c>
      <c r="G1856" s="40" t="s">
        <v>8455</v>
      </c>
      <c r="H1856" s="40"/>
      <c r="I1856" s="38" t="s">
        <v>8456</v>
      </c>
      <c r="J1856" s="38" t="s">
        <v>18</v>
      </c>
      <c r="K1856" s="38" t="s">
        <v>8457</v>
      </c>
      <c r="L1856" s="38" t="s">
        <v>53</v>
      </c>
      <c r="M1856" s="37" t="s">
        <v>120</v>
      </c>
      <c r="N1856" s="39" t="n">
        <v>45856</v>
      </c>
      <c r="O1856" s="41" t="s">
        <v>23</v>
      </c>
      <c r="P1856" s="41" t="s">
        <v>105</v>
      </c>
      <c r="Q1856" s="42"/>
      <c r="R1856" s="41"/>
      <c r="S1856" s="42"/>
      <c r="T1856" s="41"/>
    </row>
    <row r="1857" customFormat="false" ht="13.5" hidden="false" customHeight="true" outlineLevel="0" collapsed="false">
      <c r="A1857" s="37" t="n">
        <v>1854</v>
      </c>
      <c r="B1857" s="37" t="n">
        <v>4252</v>
      </c>
      <c r="C1857" s="38" t="s">
        <v>8458</v>
      </c>
      <c r="D1857" s="37" t="s">
        <v>100</v>
      </c>
      <c r="E1857" s="39" t="n">
        <v>34976</v>
      </c>
      <c r="F1857" s="37" t="n">
        <f aca="true">IFERROR(DATEDIF(E1857,TODAY(),"Y"),"")</f>
        <v>30</v>
      </c>
      <c r="G1857" s="40" t="s">
        <v>8459</v>
      </c>
      <c r="H1857" s="40"/>
      <c r="I1857" s="38" t="s">
        <v>8460</v>
      </c>
      <c r="J1857" s="38"/>
      <c r="K1857" s="38" t="s">
        <v>8461</v>
      </c>
      <c r="L1857" s="38" t="s">
        <v>46</v>
      </c>
      <c r="M1857" s="37" t="s">
        <v>104</v>
      </c>
      <c r="N1857" s="39" t="n">
        <v>45868</v>
      </c>
      <c r="O1857" s="41" t="s">
        <v>23</v>
      </c>
      <c r="P1857" s="41" t="s">
        <v>105</v>
      </c>
      <c r="Q1857" s="42"/>
      <c r="R1857" s="41"/>
      <c r="S1857" s="42"/>
      <c r="T1857" s="41"/>
    </row>
    <row r="1858" customFormat="false" ht="13.5" hidden="false" customHeight="true" outlineLevel="0" collapsed="false">
      <c r="A1858" s="37" t="n">
        <v>1855</v>
      </c>
      <c r="B1858" s="37" t="n">
        <v>4253</v>
      </c>
      <c r="C1858" s="38" t="s">
        <v>8462</v>
      </c>
      <c r="D1858" s="37" t="s">
        <v>100</v>
      </c>
      <c r="E1858" s="39" t="n">
        <v>19693</v>
      </c>
      <c r="F1858" s="37" t="n">
        <f aca="true">IFERROR(DATEDIF(E1858,TODAY(),"Y"),"")</f>
        <v>72</v>
      </c>
      <c r="G1858" s="40" t="s">
        <v>8463</v>
      </c>
      <c r="H1858" s="40"/>
      <c r="I1858" s="38" t="s">
        <v>8464</v>
      </c>
      <c r="J1858" s="38"/>
      <c r="K1858" s="38" t="s">
        <v>8465</v>
      </c>
      <c r="L1858" s="38" t="s">
        <v>53</v>
      </c>
      <c r="M1858" s="37" t="s">
        <v>104</v>
      </c>
      <c r="N1858" s="39" t="n">
        <v>45868</v>
      </c>
      <c r="O1858" s="41" t="s">
        <v>23</v>
      </c>
      <c r="P1858" s="41" t="s">
        <v>105</v>
      </c>
      <c r="Q1858" s="42"/>
      <c r="R1858" s="41"/>
      <c r="S1858" s="42"/>
      <c r="T1858" s="41"/>
    </row>
    <row r="1859" customFormat="false" ht="13.5" hidden="false" customHeight="true" outlineLevel="0" collapsed="false">
      <c r="A1859" s="37" t="n">
        <v>1856</v>
      </c>
      <c r="B1859" s="37" t="n">
        <v>4254</v>
      </c>
      <c r="C1859" s="38" t="s">
        <v>8466</v>
      </c>
      <c r="D1859" s="37" t="s">
        <v>100</v>
      </c>
      <c r="E1859" s="39" t="n">
        <v>32210</v>
      </c>
      <c r="F1859" s="37" t="n">
        <f aca="true">IFERROR(DATEDIF(E1859,TODAY(),"Y"),"")</f>
        <v>38</v>
      </c>
      <c r="G1859" s="40" t="s">
        <v>8467</v>
      </c>
      <c r="H1859" s="40"/>
      <c r="I1859" s="38" t="s">
        <v>8468</v>
      </c>
      <c r="J1859" s="38"/>
      <c r="K1859" s="38" t="s">
        <v>8469</v>
      </c>
      <c r="L1859" s="38" t="s">
        <v>55</v>
      </c>
      <c r="M1859" s="37" t="s">
        <v>104</v>
      </c>
      <c r="N1859" s="39" t="n">
        <v>45873</v>
      </c>
      <c r="O1859" s="41" t="s">
        <v>23</v>
      </c>
      <c r="P1859" s="41" t="s">
        <v>105</v>
      </c>
      <c r="Q1859" s="42"/>
      <c r="R1859" s="41"/>
      <c r="S1859" s="42"/>
      <c r="T1859" s="41"/>
    </row>
    <row r="1860" customFormat="false" ht="13.5" hidden="false" customHeight="true" outlineLevel="0" collapsed="false">
      <c r="A1860" s="37" t="n">
        <v>1857</v>
      </c>
      <c r="B1860" s="37" t="n">
        <v>4255</v>
      </c>
      <c r="C1860" s="38" t="s">
        <v>8470</v>
      </c>
      <c r="D1860" s="37" t="s">
        <v>100</v>
      </c>
      <c r="E1860" s="39" t="n">
        <v>23488</v>
      </c>
      <c r="F1860" s="37" t="n">
        <f aca="true">IFERROR(DATEDIF(E1860,TODAY(),"Y"),"")</f>
        <v>62</v>
      </c>
      <c r="G1860" s="40" t="s">
        <v>8471</v>
      </c>
      <c r="H1860" s="40" t="s">
        <v>8472</v>
      </c>
      <c r="I1860" s="38" t="s">
        <v>8473</v>
      </c>
      <c r="J1860" s="38"/>
      <c r="K1860" s="38" t="s">
        <v>8474</v>
      </c>
      <c r="L1860" s="38" t="s">
        <v>53</v>
      </c>
      <c r="M1860" s="37" t="s">
        <v>177</v>
      </c>
      <c r="N1860" s="39" t="n">
        <v>45885</v>
      </c>
      <c r="O1860" s="41" t="s">
        <v>23</v>
      </c>
      <c r="P1860" s="41" t="s">
        <v>105</v>
      </c>
      <c r="Q1860" s="42"/>
      <c r="R1860" s="41"/>
      <c r="S1860" s="42"/>
      <c r="T1860" s="41"/>
    </row>
    <row r="1861" customFormat="false" ht="13.5" hidden="false" customHeight="true" outlineLevel="0" collapsed="false">
      <c r="A1861" s="37" t="n">
        <v>1858</v>
      </c>
      <c r="B1861" s="37" t="n">
        <v>4256</v>
      </c>
      <c r="C1861" s="38" t="s">
        <v>8475</v>
      </c>
      <c r="D1861" s="37" t="s">
        <v>100</v>
      </c>
      <c r="E1861" s="39" t="n">
        <v>27866</v>
      </c>
      <c r="F1861" s="37" t="n">
        <f aca="true">IFERROR(DATEDIF(E1861,TODAY(),"Y"),"")</f>
        <v>50</v>
      </c>
      <c r="G1861" s="40" t="s">
        <v>8476</v>
      </c>
      <c r="H1861" s="40" t="s">
        <v>8477</v>
      </c>
      <c r="I1861" s="38" t="s">
        <v>8478</v>
      </c>
      <c r="J1861" s="38"/>
      <c r="K1861" s="38" t="s">
        <v>8479</v>
      </c>
      <c r="L1861" s="38" t="s">
        <v>47</v>
      </c>
      <c r="M1861" s="37" t="s">
        <v>120</v>
      </c>
      <c r="N1861" s="39" t="n">
        <v>45885</v>
      </c>
      <c r="O1861" s="41" t="s">
        <v>23</v>
      </c>
      <c r="P1861" s="41" t="s">
        <v>105</v>
      </c>
      <c r="Q1861" s="42"/>
      <c r="R1861" s="41"/>
      <c r="S1861" s="42"/>
      <c r="T1861" s="41"/>
    </row>
    <row r="1862" customFormat="false" ht="13.5" hidden="false" customHeight="true" outlineLevel="0" collapsed="false">
      <c r="A1862" s="37" t="n">
        <v>1859</v>
      </c>
      <c r="B1862" s="37" t="n">
        <v>4257</v>
      </c>
      <c r="C1862" s="38" t="s">
        <v>8480</v>
      </c>
      <c r="D1862" s="37" t="s">
        <v>100</v>
      </c>
      <c r="E1862" s="39" t="n">
        <v>31557</v>
      </c>
      <c r="F1862" s="37" t="n">
        <f aca="true">IFERROR(DATEDIF(E1862,TODAY(),"Y"),"")</f>
        <v>40</v>
      </c>
      <c r="G1862" s="40" t="s">
        <v>8481</v>
      </c>
      <c r="H1862" s="40"/>
      <c r="I1862" s="38" t="s">
        <v>8482</v>
      </c>
      <c r="J1862" s="38"/>
      <c r="K1862" s="38" t="s">
        <v>8483</v>
      </c>
      <c r="L1862" s="43" t="s">
        <v>58</v>
      </c>
      <c r="M1862" s="37" t="s">
        <v>104</v>
      </c>
      <c r="N1862" s="39" t="n">
        <v>45885</v>
      </c>
      <c r="O1862" s="41" t="s">
        <v>23</v>
      </c>
      <c r="P1862" s="41" t="s">
        <v>105</v>
      </c>
      <c r="Q1862" s="42"/>
      <c r="R1862" s="41"/>
      <c r="S1862" s="42"/>
      <c r="T1862" s="41"/>
    </row>
    <row r="1863" customFormat="false" ht="13.5" hidden="false" customHeight="true" outlineLevel="0" collapsed="false">
      <c r="A1863" s="37" t="n">
        <v>1860</v>
      </c>
      <c r="B1863" s="37" t="n">
        <v>4258</v>
      </c>
      <c r="C1863" s="38" t="s">
        <v>8484</v>
      </c>
      <c r="D1863" s="37" t="s">
        <v>100</v>
      </c>
      <c r="E1863" s="39" t="n">
        <v>31967</v>
      </c>
      <c r="F1863" s="37" t="n">
        <f aca="true">IFERROR(DATEDIF(E1863,TODAY(),"Y"),"")</f>
        <v>39</v>
      </c>
      <c r="G1863" s="40" t="s">
        <v>8485</v>
      </c>
      <c r="H1863" s="40"/>
      <c r="I1863" s="38" t="s">
        <v>8486</v>
      </c>
      <c r="J1863" s="38" t="s">
        <v>16</v>
      </c>
      <c r="K1863" s="38" t="s">
        <v>8487</v>
      </c>
      <c r="L1863" s="38" t="s">
        <v>49</v>
      </c>
      <c r="M1863" s="37" t="s">
        <v>177</v>
      </c>
      <c r="N1863" s="39" t="n">
        <v>45887</v>
      </c>
      <c r="O1863" s="41" t="s">
        <v>23</v>
      </c>
      <c r="P1863" s="41" t="s">
        <v>105</v>
      </c>
      <c r="Q1863" s="42"/>
      <c r="R1863" s="41"/>
      <c r="S1863" s="42"/>
      <c r="T1863" s="41"/>
    </row>
    <row r="1864" customFormat="false" ht="13.5" hidden="false" customHeight="true" outlineLevel="0" collapsed="false">
      <c r="A1864" s="37" t="n">
        <v>1861</v>
      </c>
      <c r="B1864" s="37" t="n">
        <v>4259</v>
      </c>
      <c r="C1864" s="38" t="s">
        <v>1733</v>
      </c>
      <c r="D1864" s="37" t="s">
        <v>100</v>
      </c>
      <c r="E1864" s="39" t="n">
        <v>24987</v>
      </c>
      <c r="F1864" s="37" t="n">
        <f aca="true">IFERROR(DATEDIF(E1864,TODAY(),"Y"),"")</f>
        <v>58</v>
      </c>
      <c r="G1864" s="40" t="s">
        <v>8488</v>
      </c>
      <c r="H1864" s="40"/>
      <c r="I1864" s="38" t="s">
        <v>8489</v>
      </c>
      <c r="J1864" s="38"/>
      <c r="K1864" s="38" t="s">
        <v>8490</v>
      </c>
      <c r="L1864" s="38" t="s">
        <v>49</v>
      </c>
      <c r="M1864" s="37" t="s">
        <v>788</v>
      </c>
      <c r="N1864" s="39" t="n">
        <v>45887</v>
      </c>
      <c r="O1864" s="41" t="s">
        <v>23</v>
      </c>
      <c r="P1864" s="41" t="s">
        <v>105</v>
      </c>
      <c r="Q1864" s="42"/>
      <c r="R1864" s="41"/>
      <c r="S1864" s="42"/>
      <c r="T1864" s="41"/>
    </row>
    <row r="1865" customFormat="false" ht="13.5" hidden="false" customHeight="true" outlineLevel="0" collapsed="false">
      <c r="A1865" s="37" t="n">
        <v>1862</v>
      </c>
      <c r="B1865" s="37" t="n">
        <v>4260</v>
      </c>
      <c r="C1865" s="38" t="s">
        <v>8491</v>
      </c>
      <c r="D1865" s="37" t="s">
        <v>100</v>
      </c>
      <c r="E1865" s="39" t="n">
        <v>32585</v>
      </c>
      <c r="F1865" s="37" t="n">
        <f aca="true">IFERROR(DATEDIF(E1865,TODAY(),"Y"),"")</f>
        <v>37</v>
      </c>
      <c r="G1865" s="40" t="s">
        <v>8492</v>
      </c>
      <c r="H1865" s="40"/>
      <c r="I1865" s="38" t="s">
        <v>8493</v>
      </c>
      <c r="J1865" s="38" t="s">
        <v>16</v>
      </c>
      <c r="K1865" s="38" t="s">
        <v>8494</v>
      </c>
      <c r="L1865" s="38" t="s">
        <v>47</v>
      </c>
      <c r="M1865" s="37" t="s">
        <v>104</v>
      </c>
      <c r="N1865" s="39" t="n">
        <v>45899</v>
      </c>
      <c r="O1865" s="41" t="s">
        <v>23</v>
      </c>
      <c r="P1865" s="41" t="s">
        <v>105</v>
      </c>
      <c r="Q1865" s="42"/>
      <c r="R1865" s="41"/>
      <c r="S1865" s="42"/>
      <c r="T1865" s="41"/>
    </row>
    <row r="1866" customFormat="false" ht="13.5" hidden="false" customHeight="true" outlineLevel="0" collapsed="false">
      <c r="A1866" s="37" t="n">
        <v>1863</v>
      </c>
      <c r="B1866" s="37" t="n">
        <v>4261</v>
      </c>
      <c r="C1866" s="38" t="s">
        <v>8495</v>
      </c>
      <c r="D1866" s="37" t="s">
        <v>100</v>
      </c>
      <c r="E1866" s="39" t="n">
        <v>27890</v>
      </c>
      <c r="F1866" s="37" t="n">
        <f aca="true">IFERROR(DATEDIF(E1866,TODAY(),"Y"),"")</f>
        <v>50</v>
      </c>
      <c r="G1866" s="40" t="s">
        <v>8496</v>
      </c>
      <c r="H1866" s="40" t="s">
        <v>8497</v>
      </c>
      <c r="I1866" s="38" t="s">
        <v>8498</v>
      </c>
      <c r="J1866" s="38" t="s">
        <v>15</v>
      </c>
      <c r="K1866" s="38" t="s">
        <v>8499</v>
      </c>
      <c r="L1866" s="38" t="s">
        <v>57</v>
      </c>
      <c r="M1866" s="37" t="s">
        <v>104</v>
      </c>
      <c r="N1866" s="39" t="n">
        <v>45908</v>
      </c>
      <c r="O1866" s="41" t="s">
        <v>23</v>
      </c>
      <c r="P1866" s="41" t="s">
        <v>105</v>
      </c>
      <c r="Q1866" s="42"/>
      <c r="R1866" s="41"/>
      <c r="S1866" s="42"/>
      <c r="T1866" s="41"/>
    </row>
    <row r="1867" customFormat="false" ht="13.5" hidden="false" customHeight="true" outlineLevel="0" collapsed="false">
      <c r="A1867" s="37" t="n">
        <v>1864</v>
      </c>
      <c r="B1867" s="37" t="n">
        <v>4262</v>
      </c>
      <c r="C1867" s="38" t="s">
        <v>8500</v>
      </c>
      <c r="D1867" s="37" t="s">
        <v>100</v>
      </c>
      <c r="E1867" s="39" t="n">
        <v>30734</v>
      </c>
      <c r="F1867" s="37" t="n">
        <f aca="true">IFERROR(DATEDIF(E1867,TODAY(),"Y"),"")</f>
        <v>42</v>
      </c>
      <c r="G1867" s="40" t="s">
        <v>8501</v>
      </c>
      <c r="H1867" s="40"/>
      <c r="I1867" s="38" t="s">
        <v>8502</v>
      </c>
      <c r="J1867" s="38" t="s">
        <v>16</v>
      </c>
      <c r="K1867" s="38" t="s">
        <v>8503</v>
      </c>
      <c r="L1867" s="38" t="s">
        <v>46</v>
      </c>
      <c r="M1867" s="37" t="s">
        <v>177</v>
      </c>
      <c r="N1867" s="39" t="n">
        <v>45912</v>
      </c>
      <c r="O1867" s="41" t="s">
        <v>23</v>
      </c>
      <c r="P1867" s="41" t="s">
        <v>105</v>
      </c>
      <c r="Q1867" s="42"/>
      <c r="R1867" s="41"/>
      <c r="S1867" s="42"/>
      <c r="T1867" s="41"/>
    </row>
    <row r="1868" customFormat="false" ht="13.5" hidden="false" customHeight="true" outlineLevel="0" collapsed="false">
      <c r="A1868" s="37" t="n">
        <v>1865</v>
      </c>
      <c r="B1868" s="37" t="n">
        <v>4263</v>
      </c>
      <c r="C1868" s="38" t="s">
        <v>8504</v>
      </c>
      <c r="D1868" s="37" t="s">
        <v>100</v>
      </c>
      <c r="E1868" s="39" t="n">
        <v>26815</v>
      </c>
      <c r="F1868" s="37" t="n">
        <f aca="true">IFERROR(DATEDIF(E1868,TODAY(),"Y"),"")</f>
        <v>53</v>
      </c>
      <c r="G1868" s="40" t="s">
        <v>8505</v>
      </c>
      <c r="H1868" s="40"/>
      <c r="I1868" s="38" t="s">
        <v>8506</v>
      </c>
      <c r="J1868" s="38" t="s">
        <v>15</v>
      </c>
      <c r="K1868" s="38" t="s">
        <v>8507</v>
      </c>
      <c r="L1868" s="38" t="s">
        <v>53</v>
      </c>
      <c r="M1868" s="37" t="s">
        <v>177</v>
      </c>
      <c r="N1868" s="39" t="n">
        <v>45913</v>
      </c>
      <c r="O1868" s="41" t="s">
        <v>23</v>
      </c>
      <c r="P1868" s="41" t="s">
        <v>105</v>
      </c>
      <c r="Q1868" s="42"/>
      <c r="R1868" s="41"/>
      <c r="S1868" s="42"/>
      <c r="T1868" s="41"/>
    </row>
    <row r="1869" customFormat="false" ht="13.5" hidden="false" customHeight="true" outlineLevel="0" collapsed="false">
      <c r="A1869" s="37" t="n">
        <v>1866</v>
      </c>
      <c r="B1869" s="37" t="n">
        <v>4264</v>
      </c>
      <c r="C1869" s="38" t="s">
        <v>8508</v>
      </c>
      <c r="D1869" s="37" t="s">
        <v>100</v>
      </c>
      <c r="E1869" s="39" t="n">
        <v>26399</v>
      </c>
      <c r="F1869" s="37" t="n">
        <f aca="true">IFERROR(DATEDIF(E1869,TODAY(),"Y"),"")</f>
        <v>54</v>
      </c>
      <c r="G1869" s="40" t="s">
        <v>8509</v>
      </c>
      <c r="H1869" s="40"/>
      <c r="I1869" s="38" t="s">
        <v>8510</v>
      </c>
      <c r="J1869" s="38"/>
      <c r="K1869" s="38" t="s">
        <v>8511</v>
      </c>
      <c r="L1869" s="38" t="s">
        <v>55</v>
      </c>
      <c r="M1869" s="37"/>
      <c r="N1869" s="39" t="n">
        <v>45920</v>
      </c>
      <c r="O1869" s="41" t="s">
        <v>23</v>
      </c>
      <c r="P1869" s="41" t="s">
        <v>105</v>
      </c>
      <c r="Q1869" s="42"/>
      <c r="R1869" s="41"/>
      <c r="S1869" s="42"/>
      <c r="T1869" s="41"/>
    </row>
    <row r="1870" customFormat="false" ht="13.5" hidden="false" customHeight="true" outlineLevel="0" collapsed="false">
      <c r="A1870" s="37" t="n">
        <v>1867</v>
      </c>
      <c r="B1870" s="37" t="n">
        <v>4265</v>
      </c>
      <c r="C1870" s="38" t="s">
        <v>8512</v>
      </c>
      <c r="D1870" s="37" t="s">
        <v>100</v>
      </c>
      <c r="E1870" s="39" t="n">
        <v>30989</v>
      </c>
      <c r="F1870" s="37" t="n">
        <f aca="true">IFERROR(DATEDIF(E1870,TODAY(),"Y"),"")</f>
        <v>41</v>
      </c>
      <c r="G1870" s="40" t="s">
        <v>8513</v>
      </c>
      <c r="H1870" s="40"/>
      <c r="I1870" s="38" t="s">
        <v>8514</v>
      </c>
      <c r="J1870" s="38" t="s">
        <v>16</v>
      </c>
      <c r="K1870" s="38" t="s">
        <v>8515</v>
      </c>
      <c r="L1870" s="38" t="s">
        <v>53</v>
      </c>
      <c r="M1870" s="37" t="s">
        <v>120</v>
      </c>
      <c r="N1870" s="39" t="n">
        <v>45937</v>
      </c>
      <c r="O1870" s="41" t="s">
        <v>23</v>
      </c>
      <c r="P1870" s="41" t="s">
        <v>105</v>
      </c>
      <c r="Q1870" s="42"/>
      <c r="R1870" s="41"/>
      <c r="S1870" s="42"/>
      <c r="T1870" s="41"/>
    </row>
    <row r="1871" customFormat="false" ht="13.5" hidden="false" customHeight="true" outlineLevel="0" collapsed="false">
      <c r="A1871" s="37" t="n">
        <v>1868</v>
      </c>
      <c r="B1871" s="37" t="n">
        <v>4266</v>
      </c>
      <c r="C1871" s="38" t="s">
        <v>8516</v>
      </c>
      <c r="D1871" s="37" t="s">
        <v>100</v>
      </c>
      <c r="E1871" s="39" t="n">
        <v>27802</v>
      </c>
      <c r="F1871" s="37" t="n">
        <f aca="true">IFERROR(DATEDIF(E1871,TODAY(),"Y"),"")</f>
        <v>50</v>
      </c>
      <c r="G1871" s="40" t="s">
        <v>8517</v>
      </c>
      <c r="H1871" s="40"/>
      <c r="I1871" s="38" t="s">
        <v>8518</v>
      </c>
      <c r="J1871" s="38"/>
      <c r="K1871" s="38" t="s">
        <v>8519</v>
      </c>
      <c r="L1871" s="38" t="s">
        <v>53</v>
      </c>
      <c r="M1871" s="37" t="s">
        <v>177</v>
      </c>
      <c r="N1871" s="39" t="n">
        <v>45943</v>
      </c>
      <c r="O1871" s="41" t="s">
        <v>23</v>
      </c>
      <c r="P1871" s="41" t="s">
        <v>105</v>
      </c>
      <c r="Q1871" s="42"/>
      <c r="R1871" s="41"/>
      <c r="S1871" s="42"/>
      <c r="T1871" s="41"/>
    </row>
    <row r="1872" customFormat="false" ht="13.5" hidden="false" customHeight="true" outlineLevel="0" collapsed="false">
      <c r="A1872" s="37" t="n">
        <v>1869</v>
      </c>
      <c r="B1872" s="37" t="n">
        <v>4267</v>
      </c>
      <c r="C1872" s="38" t="s">
        <v>8520</v>
      </c>
      <c r="D1872" s="37" t="s">
        <v>100</v>
      </c>
      <c r="E1872" s="39" t="n">
        <v>32634</v>
      </c>
      <c r="F1872" s="37" t="n">
        <f aca="true">IFERROR(DATEDIF(E1872,TODAY(),"Y"),"")</f>
        <v>37</v>
      </c>
      <c r="G1872" s="40" t="s">
        <v>8521</v>
      </c>
      <c r="H1872" s="40"/>
      <c r="I1872" s="38" t="s">
        <v>8522</v>
      </c>
      <c r="J1872" s="38"/>
      <c r="K1872" s="38" t="s">
        <v>8523</v>
      </c>
      <c r="L1872" s="38" t="s">
        <v>48</v>
      </c>
      <c r="M1872" s="37" t="s">
        <v>120</v>
      </c>
      <c r="N1872" s="39" t="n">
        <v>45968</v>
      </c>
      <c r="O1872" s="41" t="s">
        <v>23</v>
      </c>
      <c r="P1872" s="41" t="s">
        <v>105</v>
      </c>
      <c r="Q1872" s="42"/>
      <c r="R1872" s="41"/>
      <c r="S1872" s="42"/>
      <c r="T1872" s="41"/>
    </row>
    <row r="1873" customFormat="false" ht="13.5" hidden="false" customHeight="true" outlineLevel="0" collapsed="false">
      <c r="A1873" s="37" t="n">
        <v>1870</v>
      </c>
      <c r="B1873" s="37" t="n">
        <v>4268</v>
      </c>
      <c r="C1873" s="38" t="s">
        <v>8524</v>
      </c>
      <c r="D1873" s="37" t="s">
        <v>100</v>
      </c>
      <c r="E1873" s="39" t="n">
        <v>30032</v>
      </c>
      <c r="F1873" s="37" t="n">
        <f aca="true">IFERROR(DATEDIF(E1873,TODAY(),"Y"),"")</f>
        <v>44</v>
      </c>
      <c r="G1873" s="40" t="s">
        <v>8525</v>
      </c>
      <c r="H1873" s="40"/>
      <c r="I1873" s="38" t="s">
        <v>8526</v>
      </c>
      <c r="J1873" s="38"/>
      <c r="K1873" s="38" t="s">
        <v>8527</v>
      </c>
      <c r="L1873" s="38" t="s">
        <v>47</v>
      </c>
      <c r="M1873" s="37" t="s">
        <v>745</v>
      </c>
      <c r="N1873" s="39" t="n">
        <v>45969</v>
      </c>
      <c r="O1873" s="41" t="s">
        <v>23</v>
      </c>
      <c r="P1873" s="41" t="s">
        <v>105</v>
      </c>
      <c r="Q1873" s="42"/>
      <c r="R1873" s="41"/>
      <c r="S1873" s="42"/>
      <c r="T1873" s="41"/>
    </row>
    <row r="1874" customFormat="false" ht="13.5" hidden="false" customHeight="true" outlineLevel="0" collapsed="false">
      <c r="A1874" s="37" t="n">
        <v>1871</v>
      </c>
      <c r="B1874" s="37" t="n">
        <v>4269</v>
      </c>
      <c r="C1874" s="38" t="s">
        <v>8528</v>
      </c>
      <c r="D1874" s="37" t="s">
        <v>100</v>
      </c>
      <c r="E1874" s="39" t="n">
        <v>27424</v>
      </c>
      <c r="F1874" s="37" t="n">
        <f aca="true">IFERROR(DATEDIF(E1874,TODAY(),"Y"),"")</f>
        <v>51</v>
      </c>
      <c r="G1874" s="40" t="s">
        <v>8529</v>
      </c>
      <c r="H1874" s="40"/>
      <c r="I1874" s="38" t="s">
        <v>8530</v>
      </c>
      <c r="J1874" s="38"/>
      <c r="K1874" s="38" t="s">
        <v>8531</v>
      </c>
      <c r="L1874" s="38" t="s">
        <v>53</v>
      </c>
      <c r="M1874" s="37" t="s">
        <v>104</v>
      </c>
      <c r="N1874" s="39" t="n">
        <v>45975</v>
      </c>
      <c r="O1874" s="41" t="s">
        <v>23</v>
      </c>
      <c r="P1874" s="41" t="s">
        <v>105</v>
      </c>
      <c r="Q1874" s="42"/>
      <c r="R1874" s="41"/>
      <c r="S1874" s="42"/>
      <c r="T1874" s="41"/>
    </row>
    <row r="1875" customFormat="false" ht="13.5" hidden="false" customHeight="true" outlineLevel="0" collapsed="false">
      <c r="A1875" s="37" t="n">
        <v>1872</v>
      </c>
      <c r="B1875" s="37" t="n">
        <v>4270</v>
      </c>
      <c r="C1875" s="38" t="s">
        <v>8532</v>
      </c>
      <c r="D1875" s="37" t="s">
        <v>100</v>
      </c>
      <c r="E1875" s="39" t="n">
        <v>23450</v>
      </c>
      <c r="F1875" s="37" t="n">
        <f aca="true">IFERROR(DATEDIF(E1875,TODAY(),"Y"),"")</f>
        <v>62</v>
      </c>
      <c r="G1875" s="40" t="s">
        <v>8533</v>
      </c>
      <c r="H1875" s="40"/>
      <c r="I1875" s="38" t="s">
        <v>8534</v>
      </c>
      <c r="J1875" s="38"/>
      <c r="K1875" s="38" t="s">
        <v>8535</v>
      </c>
      <c r="L1875" s="38" t="s">
        <v>44</v>
      </c>
      <c r="M1875" s="37" t="s">
        <v>177</v>
      </c>
      <c r="N1875" s="39" t="n">
        <v>45978</v>
      </c>
      <c r="O1875" s="41" t="s">
        <v>23</v>
      </c>
      <c r="P1875" s="41" t="s">
        <v>105</v>
      </c>
      <c r="Q1875" s="42"/>
      <c r="R1875" s="41"/>
      <c r="S1875" s="42"/>
      <c r="T1875" s="41"/>
    </row>
    <row r="1876" customFormat="false" ht="13.5" hidden="false" customHeight="true" outlineLevel="0" collapsed="false">
      <c r="A1876" s="37" t="n">
        <v>1873</v>
      </c>
      <c r="B1876" s="37" t="n">
        <v>4271</v>
      </c>
      <c r="C1876" s="38" t="s">
        <v>8536</v>
      </c>
      <c r="D1876" s="37" t="s">
        <v>100</v>
      </c>
      <c r="E1876" s="39" t="n">
        <v>27489</v>
      </c>
      <c r="F1876" s="37" t="n">
        <f aca="true">IFERROR(DATEDIF(E1876,TODAY(),"Y"),"")</f>
        <v>51</v>
      </c>
      <c r="G1876" s="40" t="s">
        <v>8537</v>
      </c>
      <c r="H1876" s="40" t="s">
        <v>8538</v>
      </c>
      <c r="I1876" s="38" t="s">
        <v>5013</v>
      </c>
      <c r="J1876" s="38"/>
      <c r="K1876" s="38" t="s">
        <v>8539</v>
      </c>
      <c r="L1876" s="38" t="s">
        <v>47</v>
      </c>
      <c r="M1876" s="37" t="s">
        <v>120</v>
      </c>
      <c r="N1876" s="39" t="n">
        <v>45980</v>
      </c>
      <c r="O1876" s="41" t="s">
        <v>23</v>
      </c>
      <c r="P1876" s="41" t="s">
        <v>105</v>
      </c>
      <c r="Q1876" s="42"/>
      <c r="R1876" s="41"/>
      <c r="S1876" s="42"/>
      <c r="T1876" s="41"/>
    </row>
  </sheetData>
  <autoFilter ref="A3:T1876"/>
  <mergeCells count="2">
    <mergeCell ref="A1:T1"/>
    <mergeCell ref="A2:T2"/>
  </mergeCells>
  <conditionalFormatting sqref="O4:O1876">
    <cfRule type="cellIs" priority="2" operator="equal" aboveAverage="0" equalAverage="0" bottom="0" percent="0" rank="0" text="" dxfId="8">
      <formula>"Positive"</formula>
    </cfRule>
    <cfRule type="cellIs" priority="3" operator="equal" aboveAverage="0" equalAverage="0" bottom="0" percent="0" rank="0" text="" dxfId="9">
      <formula>"To Be Followed Up"</formula>
    </cfRule>
    <cfRule type="cellIs" priority="4" operator="equal" aboveAverage="0" equalAverage="0" bottom="0" percent="0" rank="0" text="" dxfId="10">
      <formula>"Negative"</formula>
    </cfRule>
    <cfRule type="cellIs" priority="5" operator="equal" aboveAverage="0" equalAverage="0" bottom="0" percent="0" rank="0" text="" dxfId="11">
      <formula>"Undecided"</formula>
    </cfRule>
  </conditionalFormatting>
  <conditionalFormatting sqref="S4:S1876">
    <cfRule type="cellIs" priority="6" operator="lessThan" aboveAverage="0" equalAverage="0" bottom="0" percent="0" rank="0" text="" dxfId="10">
      <formula>TODAY()</formula>
    </cfRule>
  </conditionalFormatting>
  <dataValidations count="3">
    <dataValidation allowBlank="false" error="Choose one of the seven campaign statuses from the drop-down." errorStyle="stop" errorTitle="Invalid status" operator="between" showDropDown="false" showErrorMessage="false" showInputMessage="false" sqref="O4:O1876" type="list">
      <formula1>Lists!$A$2:$A$8</formula1>
      <formula2>0</formula2>
    </dataValidation>
    <dataValidation allowBlank="true" errorStyle="stop" operator="between" showDropDown="false" showErrorMessage="false" showInputMessage="false" sqref="R4:R1876" type="list">
      <formula1>Lists!$B$2:$B$6</formula1>
      <formula2>0</formula2>
    </dataValidation>
    <dataValidation allowBlank="true" errorStyle="stop" operator="between" showDropDown="false" showErrorMessage="false" showInputMessage="false" sqref="P4:P1876" type="list">
      <formula1>Lists!$C$2:$C$14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5" style="0" width="22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44" t="s">
        <v>93</v>
      </c>
      <c r="B1" s="44" t="s">
        <v>96</v>
      </c>
      <c r="C1" s="44" t="s">
        <v>94</v>
      </c>
      <c r="E1" s="44" t="s">
        <v>38</v>
      </c>
      <c r="G1" s="44" t="s">
        <v>7</v>
      </c>
    </row>
    <row r="2" customFormat="false" ht="15" hidden="false" customHeight="false" outlineLevel="0" collapsed="false">
      <c r="A2" s="45" t="s">
        <v>23</v>
      </c>
      <c r="B2" s="45" t="s">
        <v>8540</v>
      </c>
      <c r="C2" s="45" t="s">
        <v>105</v>
      </c>
      <c r="E2" s="45" t="s">
        <v>43</v>
      </c>
      <c r="G2" s="45" t="s">
        <v>15</v>
      </c>
    </row>
    <row r="3" customFormat="false" ht="15" hidden="false" customHeight="false" outlineLevel="0" collapsed="false">
      <c r="A3" s="45" t="s">
        <v>10</v>
      </c>
      <c r="B3" s="45" t="s">
        <v>8541</v>
      </c>
      <c r="C3" s="45" t="s">
        <v>8542</v>
      </c>
      <c r="E3" s="45" t="s">
        <v>44</v>
      </c>
      <c r="G3" s="45" t="s">
        <v>16</v>
      </c>
    </row>
    <row r="4" customFormat="false" ht="15" hidden="false" customHeight="false" outlineLevel="0" collapsed="false">
      <c r="A4" s="45" t="s">
        <v>26</v>
      </c>
      <c r="B4" s="45" t="s">
        <v>8543</v>
      </c>
      <c r="C4" s="45" t="s">
        <v>8544</v>
      </c>
      <c r="E4" s="45" t="s">
        <v>45</v>
      </c>
      <c r="G4" s="45" t="s">
        <v>18</v>
      </c>
    </row>
    <row r="5" customFormat="false" ht="15" hidden="false" customHeight="false" outlineLevel="0" collapsed="false">
      <c r="A5" s="45" t="s">
        <v>28</v>
      </c>
      <c r="B5" s="45" t="s">
        <v>89</v>
      </c>
      <c r="C5" s="45" t="s">
        <v>8545</v>
      </c>
      <c r="E5" s="45" t="s">
        <v>46</v>
      </c>
      <c r="G5" s="45" t="s">
        <v>22</v>
      </c>
    </row>
    <row r="6" customFormat="false" ht="15" hidden="false" customHeight="false" outlineLevel="0" collapsed="false">
      <c r="A6" s="45" t="s">
        <v>13</v>
      </c>
      <c r="B6" s="45" t="s">
        <v>8546</v>
      </c>
      <c r="C6" s="45" t="s">
        <v>8547</v>
      </c>
      <c r="E6" s="45" t="s">
        <v>47</v>
      </c>
      <c r="G6" s="45" t="s">
        <v>24</v>
      </c>
    </row>
    <row r="7" customFormat="false" ht="15" hidden="false" customHeight="false" outlineLevel="0" collapsed="false">
      <c r="A7" s="45" t="s">
        <v>30</v>
      </c>
      <c r="C7" s="45" t="s">
        <v>8548</v>
      </c>
      <c r="E7" s="45" t="s">
        <v>48</v>
      </c>
      <c r="G7" s="45" t="s">
        <v>25</v>
      </c>
    </row>
    <row r="8" customFormat="false" ht="15" hidden="false" customHeight="false" outlineLevel="0" collapsed="false">
      <c r="A8" s="45" t="s">
        <v>32</v>
      </c>
      <c r="C8" s="45" t="s">
        <v>8549</v>
      </c>
      <c r="E8" s="45" t="s">
        <v>49</v>
      </c>
      <c r="G8" s="45" t="s">
        <v>27</v>
      </c>
    </row>
    <row r="9" customFormat="false" ht="15" hidden="false" customHeight="false" outlineLevel="0" collapsed="false">
      <c r="C9" s="45" t="s">
        <v>8550</v>
      </c>
      <c r="E9" s="45" t="s">
        <v>50</v>
      </c>
    </row>
    <row r="10" customFormat="false" ht="15" hidden="false" customHeight="false" outlineLevel="0" collapsed="false">
      <c r="C10" s="45" t="s">
        <v>8551</v>
      </c>
      <c r="E10" s="45" t="s">
        <v>51</v>
      </c>
    </row>
    <row r="11" customFormat="false" ht="15" hidden="false" customHeight="false" outlineLevel="0" collapsed="false">
      <c r="A11" s="46" t="s">
        <v>8552</v>
      </c>
      <c r="C11" s="45" t="s">
        <v>8553</v>
      </c>
      <c r="E11" s="45" t="s">
        <v>52</v>
      </c>
    </row>
    <row r="12" customFormat="false" ht="15" hidden="false" customHeight="false" outlineLevel="0" collapsed="false">
      <c r="C12" s="45" t="s">
        <v>8554</v>
      </c>
      <c r="E12" s="45" t="s">
        <v>53</v>
      </c>
    </row>
    <row r="13" customFormat="false" ht="15" hidden="false" customHeight="false" outlineLevel="0" collapsed="false">
      <c r="C13" s="45" t="s">
        <v>8555</v>
      </c>
      <c r="E13" s="45" t="s">
        <v>54</v>
      </c>
    </row>
    <row r="14" customFormat="false" ht="15" hidden="false" customHeight="false" outlineLevel="0" collapsed="false">
      <c r="C14" s="45" t="s">
        <v>8556</v>
      </c>
      <c r="E14" s="45" t="s">
        <v>55</v>
      </c>
    </row>
    <row r="15" customFormat="false" ht="15" hidden="false" customHeight="false" outlineLevel="0" collapsed="false">
      <c r="E15" s="45" t="s">
        <v>56</v>
      </c>
    </row>
    <row r="16" customFormat="false" ht="15" hidden="false" customHeight="false" outlineLevel="0" collapsed="false">
      <c r="E16" s="45" t="s">
        <v>57</v>
      </c>
    </row>
    <row r="17" customFormat="false" ht="15" hidden="false" customHeight="false" outlineLevel="0" collapsed="false">
      <c r="E17" s="45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2026-08-10T18:34:08Z</dcterms:created>
  <dc:creator>openpyxl</dc:creator>
  <dc:description/>
  <dc:language>en-US</dc:language>
  <cp:lastModifiedBy/>
  <dcterms:modified xsi:type="dcterms:W3CDTF">2026-08-10T18:34:14Z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